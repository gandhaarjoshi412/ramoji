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centr\Downloads\"/>
    </mc:Choice>
  </mc:AlternateContent>
  <xr:revisionPtr revIDLastSave="4707" documentId="13_ncr:1_{08C9557E-E25D-4E53-A29F-814E1E1B425A}" xr6:coauthVersionLast="47" xr6:coauthVersionMax="47" xr10:uidLastSave="{7D476D8B-8F6E-4FE7-860A-AF759249ADCE}"/>
  <bookViews>
    <workbookView xWindow="-110" yWindow="-110" windowWidth="19420" windowHeight="11500" firstSheet="17" activeTab="24" xr2:uid="{00000000-000D-0000-FFFF-FFFF00000000}"/>
  </bookViews>
  <sheets>
    <sheet name="01.08.26 " sheetId="11" r:id="rId1"/>
    <sheet name="02.08.26" sheetId="10" r:id="rId2"/>
    <sheet name="03.08.26 " sheetId="13" r:id="rId3"/>
    <sheet name="04.08.26" sheetId="12" r:id="rId4"/>
    <sheet name="05.08.26." sheetId="15" r:id="rId5"/>
    <sheet name="06.08.26" sheetId="14" r:id="rId6"/>
    <sheet name="07.08.26" sheetId="16" r:id="rId7"/>
    <sheet name="08.08.26 " sheetId="18" r:id="rId8"/>
    <sheet name="09.08.26" sheetId="17" r:id="rId9"/>
    <sheet name="10.08.26 " sheetId="20" r:id="rId10"/>
    <sheet name="Sheet1" sheetId="23" state="hidden" r:id="rId11"/>
    <sheet name="11.08.26" sheetId="19" r:id="rId12"/>
    <sheet name="12.08.26 " sheetId="22" r:id="rId13"/>
    <sheet name="13.08.26 " sheetId="24" r:id="rId14"/>
    <sheet name="14.08.26 " sheetId="25" r:id="rId15"/>
    <sheet name="15.08.26 " sheetId="26" r:id="rId16"/>
    <sheet name="16.08.26 " sheetId="27" r:id="rId17"/>
    <sheet name="17.08.26" sheetId="21" r:id="rId18"/>
    <sheet name="18.08.26" sheetId="28" r:id="rId19"/>
    <sheet name="19.08.26 " sheetId="30" r:id="rId20"/>
    <sheet name="20.08.26" sheetId="29" r:id="rId21"/>
    <sheet name="21.08.26 " sheetId="32" r:id="rId22"/>
    <sheet name="22.08.26 " sheetId="33" r:id="rId23"/>
    <sheet name="23.08.26 " sheetId="34" r:id="rId24"/>
    <sheet name="24.08.26" sheetId="31" r:id="rId25"/>
  </sheets>
  <definedNames>
    <definedName name="_xlnm.Print_Area" localSheetId="6">'07.08.26'!$A$1:$AB$49</definedName>
    <definedName name="_xlnm.Print_Area" localSheetId="11">'11.08.26'!$S$40:$AA$48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2" i="31" l="1"/>
  <c r="H31" i="31"/>
  <c r="T45" i="34"/>
  <c r="T44" i="34"/>
  <c r="T43" i="34"/>
  <c r="T42" i="34"/>
  <c r="T46" i="34" s="1"/>
  <c r="T48" i="34" s="1"/>
  <c r="B37" i="34"/>
  <c r="AA35" i="34"/>
  <c r="Z35" i="34"/>
  <c r="X35" i="34"/>
  <c r="W35" i="34"/>
  <c r="N35" i="34"/>
  <c r="O35" i="34" s="1"/>
  <c r="L35" i="34"/>
  <c r="H35" i="34"/>
  <c r="J35" i="34" s="1"/>
  <c r="AA34" i="34"/>
  <c r="Z34" i="34"/>
  <c r="X34" i="34"/>
  <c r="W34" i="34"/>
  <c r="N34" i="34"/>
  <c r="O34" i="34" s="1"/>
  <c r="L34" i="34"/>
  <c r="H34" i="34"/>
  <c r="J34" i="34" s="1"/>
  <c r="AA33" i="34"/>
  <c r="Z33" i="34"/>
  <c r="X33" i="34"/>
  <c r="W33" i="34"/>
  <c r="N33" i="34"/>
  <c r="O33" i="34" s="1"/>
  <c r="L33" i="34"/>
  <c r="H33" i="34"/>
  <c r="J33" i="34" s="1"/>
  <c r="AA32" i="34"/>
  <c r="Z32" i="34"/>
  <c r="X32" i="34"/>
  <c r="W32" i="34"/>
  <c r="N32" i="34"/>
  <c r="O32" i="34" s="1"/>
  <c r="L32" i="34"/>
  <c r="J32" i="34"/>
  <c r="AA31" i="34"/>
  <c r="Z31" i="34"/>
  <c r="X31" i="34"/>
  <c r="W31" i="34"/>
  <c r="O31" i="34"/>
  <c r="N31" i="34"/>
  <c r="L31" i="34"/>
  <c r="H31" i="34"/>
  <c r="J31" i="34" s="1"/>
  <c r="AA30" i="34"/>
  <c r="Z30" i="34"/>
  <c r="X30" i="34"/>
  <c r="W30" i="34"/>
  <c r="N30" i="34"/>
  <c r="O30" i="34" s="1"/>
  <c r="L30" i="34"/>
  <c r="H30" i="34"/>
  <c r="J30" i="34" s="1"/>
  <c r="AA29" i="34"/>
  <c r="Z29" i="34"/>
  <c r="X29" i="34"/>
  <c r="W29" i="34"/>
  <c r="N29" i="34"/>
  <c r="O29" i="34" s="1"/>
  <c r="L29" i="34"/>
  <c r="H29" i="34"/>
  <c r="J29" i="34" s="1"/>
  <c r="AA28" i="34"/>
  <c r="Z28" i="34"/>
  <c r="X28" i="34"/>
  <c r="W28" i="34"/>
  <c r="N28" i="34"/>
  <c r="O28" i="34" s="1"/>
  <c r="L28" i="34"/>
  <c r="H28" i="34"/>
  <c r="J28" i="34" s="1"/>
  <c r="AA27" i="34"/>
  <c r="AA36" i="34" s="1"/>
  <c r="Y45" i="34" s="1"/>
  <c r="Z27" i="34"/>
  <c r="Z36" i="34" s="1"/>
  <c r="X45" i="34" s="1"/>
  <c r="X27" i="34"/>
  <c r="X36" i="34" s="1"/>
  <c r="V45" i="34" s="1"/>
  <c r="W27" i="34"/>
  <c r="W36" i="34" s="1"/>
  <c r="U45" i="34" s="1"/>
  <c r="N27" i="34"/>
  <c r="O27" i="34" s="1"/>
  <c r="L27" i="34"/>
  <c r="H27" i="34"/>
  <c r="J27" i="34" s="1"/>
  <c r="AA25" i="34"/>
  <c r="Z25" i="34"/>
  <c r="X25" i="34"/>
  <c r="W25" i="34"/>
  <c r="N25" i="34"/>
  <c r="O25" i="34" s="1"/>
  <c r="L25" i="34"/>
  <c r="J25" i="34"/>
  <c r="H25" i="34"/>
  <c r="AA24" i="34"/>
  <c r="Z24" i="34"/>
  <c r="X24" i="34"/>
  <c r="W24" i="34"/>
  <c r="N24" i="34"/>
  <c r="O24" i="34" s="1"/>
  <c r="L24" i="34"/>
  <c r="H24" i="34"/>
  <c r="J24" i="34" s="1"/>
  <c r="AA23" i="34"/>
  <c r="Z23" i="34"/>
  <c r="X23" i="34"/>
  <c r="W23" i="34"/>
  <c r="N23" i="34"/>
  <c r="O23" i="34" s="1"/>
  <c r="L23" i="34"/>
  <c r="H23" i="34"/>
  <c r="J23" i="34" s="1"/>
  <c r="AA22" i="34"/>
  <c r="AA26" i="34" s="1"/>
  <c r="Y44" i="34" s="1"/>
  <c r="Z22" i="34"/>
  <c r="Z26" i="34" s="1"/>
  <c r="X44" i="34" s="1"/>
  <c r="W22" i="34"/>
  <c r="W26" i="34" s="1"/>
  <c r="U44" i="34" s="1"/>
  <c r="K22" i="34"/>
  <c r="H22" i="34"/>
  <c r="J22" i="34" s="1"/>
  <c r="AA20" i="34"/>
  <c r="AA21" i="34" s="1"/>
  <c r="Y43" i="34" s="1"/>
  <c r="Z20" i="34"/>
  <c r="Z21" i="34" s="1"/>
  <c r="X43" i="34" s="1"/>
  <c r="X20" i="34"/>
  <c r="W20" i="34"/>
  <c r="W21" i="34" s="1"/>
  <c r="U43" i="34" s="1"/>
  <c r="K20" i="34"/>
  <c r="H20" i="34"/>
  <c r="J20" i="34" s="1"/>
  <c r="AA19" i="34"/>
  <c r="Z19" i="34"/>
  <c r="X19" i="34"/>
  <c r="W19" i="34"/>
  <c r="N19" i="34"/>
  <c r="O19" i="34" s="1"/>
  <c r="L19" i="34"/>
  <c r="H19" i="34"/>
  <c r="J19" i="34" s="1"/>
  <c r="AA18" i="34"/>
  <c r="Z18" i="34"/>
  <c r="W18" i="34"/>
  <c r="K18" i="34"/>
  <c r="H18" i="34"/>
  <c r="J18" i="34" s="1"/>
  <c r="AA17" i="34"/>
  <c r="Z17" i="34"/>
  <c r="X17" i="34"/>
  <c r="W17" i="34"/>
  <c r="N17" i="34"/>
  <c r="O17" i="34" s="1"/>
  <c r="L17" i="34"/>
  <c r="H17" i="34"/>
  <c r="J17" i="34" s="1"/>
  <c r="AA16" i="34"/>
  <c r="Z16" i="34"/>
  <c r="X16" i="34"/>
  <c r="W16" i="34"/>
  <c r="N16" i="34"/>
  <c r="O16" i="34" s="1"/>
  <c r="L16" i="34"/>
  <c r="H16" i="34"/>
  <c r="J16" i="34" s="1"/>
  <c r="AA15" i="34"/>
  <c r="Z15" i="34"/>
  <c r="X15" i="34"/>
  <c r="W15" i="34"/>
  <c r="N15" i="34"/>
  <c r="O15" i="34" s="1"/>
  <c r="L15" i="34"/>
  <c r="H15" i="34"/>
  <c r="J15" i="34" s="1"/>
  <c r="AA14" i="34"/>
  <c r="Z14" i="34"/>
  <c r="X14" i="34"/>
  <c r="W14" i="34"/>
  <c r="N14" i="34"/>
  <c r="O14" i="34" s="1"/>
  <c r="L14" i="34"/>
  <c r="H14" i="34"/>
  <c r="J14" i="34" s="1"/>
  <c r="AA13" i="34"/>
  <c r="Z13" i="34"/>
  <c r="X13" i="34"/>
  <c r="W13" i="34"/>
  <c r="N13" i="34"/>
  <c r="O13" i="34" s="1"/>
  <c r="L13" i="34"/>
  <c r="H13" i="34"/>
  <c r="J13" i="34" s="1"/>
  <c r="AA12" i="34"/>
  <c r="Z12" i="34"/>
  <c r="W12" i="34"/>
  <c r="K12" i="34"/>
  <c r="H12" i="34"/>
  <c r="J12" i="34" s="1"/>
  <c r="AA10" i="34"/>
  <c r="Z10" i="34"/>
  <c r="X10" i="34"/>
  <c r="W10" i="34"/>
  <c r="N10" i="34"/>
  <c r="O10" i="34" s="1"/>
  <c r="L10" i="34"/>
  <c r="H10" i="34"/>
  <c r="J10" i="34" s="1"/>
  <c r="AA9" i="34"/>
  <c r="Z9" i="34"/>
  <c r="X9" i="34"/>
  <c r="W9" i="34"/>
  <c r="N9" i="34"/>
  <c r="O9" i="34" s="1"/>
  <c r="L9" i="34"/>
  <c r="H9" i="34"/>
  <c r="J9" i="34" s="1"/>
  <c r="AA8" i="34"/>
  <c r="Z8" i="34"/>
  <c r="X8" i="34"/>
  <c r="W8" i="34"/>
  <c r="N8" i="34"/>
  <c r="O8" i="34" s="1"/>
  <c r="L8" i="34"/>
  <c r="H8" i="34"/>
  <c r="J8" i="34" s="1"/>
  <c r="AA7" i="34"/>
  <c r="Z7" i="34"/>
  <c r="X7" i="34"/>
  <c r="W7" i="34"/>
  <c r="N7" i="34"/>
  <c r="O7" i="34" s="1"/>
  <c r="L7" i="34"/>
  <c r="H7" i="34"/>
  <c r="J7" i="34" s="1"/>
  <c r="AA6" i="34"/>
  <c r="Z6" i="34"/>
  <c r="W6" i="34"/>
  <c r="K6" i="34"/>
  <c r="H6" i="34"/>
  <c r="J6" i="34" s="1"/>
  <c r="AA5" i="34"/>
  <c r="Z5" i="34"/>
  <c r="X5" i="34"/>
  <c r="W5" i="34"/>
  <c r="N5" i="34"/>
  <c r="O5" i="34" s="1"/>
  <c r="L5" i="34"/>
  <c r="H5" i="34"/>
  <c r="J5" i="34" s="1"/>
  <c r="AA4" i="34"/>
  <c r="AA11" i="34" s="1"/>
  <c r="Z4" i="34"/>
  <c r="Z11" i="34" s="1"/>
  <c r="W4" i="34"/>
  <c r="W11" i="34" s="1"/>
  <c r="K4" i="34"/>
  <c r="H4" i="34"/>
  <c r="J4" i="34" s="1"/>
  <c r="H27" i="31"/>
  <c r="J27" i="31" s="1"/>
  <c r="H28" i="31"/>
  <c r="N27" i="31"/>
  <c r="L27" i="31"/>
  <c r="P27" i="31" s="1"/>
  <c r="X22" i="31"/>
  <c r="T46" i="33"/>
  <c r="T48" i="33" s="1"/>
  <c r="T45" i="33"/>
  <c r="T44" i="33"/>
  <c r="T43" i="33"/>
  <c r="T42" i="33"/>
  <c r="B37" i="33"/>
  <c r="AA35" i="33"/>
  <c r="Z35" i="33"/>
  <c r="W35" i="33"/>
  <c r="K35" i="33"/>
  <c r="H35" i="33"/>
  <c r="J35" i="33" s="1"/>
  <c r="AA34" i="33"/>
  <c r="Z34" i="33"/>
  <c r="X34" i="33"/>
  <c r="W34" i="33"/>
  <c r="N34" i="33"/>
  <c r="O34" i="33" s="1"/>
  <c r="L34" i="33"/>
  <c r="H34" i="33"/>
  <c r="J34" i="33" s="1"/>
  <c r="AA33" i="33"/>
  <c r="Z33" i="33"/>
  <c r="W33" i="33"/>
  <c r="K33" i="33"/>
  <c r="H33" i="33"/>
  <c r="J33" i="33" s="1"/>
  <c r="AA32" i="33"/>
  <c r="Z32" i="33"/>
  <c r="X32" i="33"/>
  <c r="W32" i="33"/>
  <c r="N32" i="33"/>
  <c r="O32" i="33" s="1"/>
  <c r="L32" i="33"/>
  <c r="H32" i="33"/>
  <c r="J32" i="33" s="1"/>
  <c r="AA31" i="33"/>
  <c r="Z31" i="33"/>
  <c r="W31" i="33"/>
  <c r="L31" i="33"/>
  <c r="K31" i="33"/>
  <c r="H31" i="33"/>
  <c r="J31" i="33" s="1"/>
  <c r="AA30" i="33"/>
  <c r="Z30" i="33"/>
  <c r="W30" i="33"/>
  <c r="K30" i="33"/>
  <c r="H30" i="33"/>
  <c r="J30" i="33" s="1"/>
  <c r="AA29" i="33"/>
  <c r="Z29" i="33"/>
  <c r="W29" i="33"/>
  <c r="K29" i="33"/>
  <c r="H29" i="33"/>
  <c r="J29" i="33" s="1"/>
  <c r="AA28" i="33"/>
  <c r="Z28" i="33"/>
  <c r="X28" i="33"/>
  <c r="W28" i="33"/>
  <c r="O28" i="33"/>
  <c r="N28" i="33"/>
  <c r="L28" i="33"/>
  <c r="H28" i="33"/>
  <c r="J28" i="33" s="1"/>
  <c r="AA27" i="33"/>
  <c r="AA36" i="33" s="1"/>
  <c r="Y45" i="33" s="1"/>
  <c r="Z27" i="33"/>
  <c r="Z36" i="33" s="1"/>
  <c r="X45" i="33" s="1"/>
  <c r="W27" i="33"/>
  <c r="W36" i="33" s="1"/>
  <c r="U45" i="33" s="1"/>
  <c r="K27" i="33"/>
  <c r="H27" i="33"/>
  <c r="J27" i="33" s="1"/>
  <c r="AA25" i="33"/>
  <c r="Z25" i="33"/>
  <c r="X25" i="33"/>
  <c r="W25" i="33"/>
  <c r="N25" i="33"/>
  <c r="O25" i="33" s="1"/>
  <c r="L25" i="33"/>
  <c r="H25" i="33"/>
  <c r="J25" i="33" s="1"/>
  <c r="AA24" i="33"/>
  <c r="Z24" i="33"/>
  <c r="W24" i="33"/>
  <c r="K24" i="33"/>
  <c r="H24" i="33"/>
  <c r="J24" i="33" s="1"/>
  <c r="AA23" i="33"/>
  <c r="Z23" i="33"/>
  <c r="X23" i="33"/>
  <c r="W23" i="33"/>
  <c r="P23" i="33"/>
  <c r="R23" i="33" s="1"/>
  <c r="N23" i="33"/>
  <c r="O23" i="33" s="1"/>
  <c r="L23" i="33"/>
  <c r="Y23" i="33" s="1"/>
  <c r="H23" i="33"/>
  <c r="J23" i="33" s="1"/>
  <c r="AA22" i="33"/>
  <c r="AA26" i="33" s="1"/>
  <c r="Y44" i="33" s="1"/>
  <c r="Z22" i="33"/>
  <c r="Z26" i="33" s="1"/>
  <c r="X44" i="33" s="1"/>
  <c r="W22" i="33"/>
  <c r="W26" i="33" s="1"/>
  <c r="U44" i="33" s="1"/>
  <c r="K22" i="33"/>
  <c r="H22" i="33"/>
  <c r="J22" i="33" s="1"/>
  <c r="AA20" i="33"/>
  <c r="Z20" i="33"/>
  <c r="W20" i="33"/>
  <c r="K20" i="33"/>
  <c r="H20" i="33"/>
  <c r="J20" i="33" s="1"/>
  <c r="AA19" i="33"/>
  <c r="Z19" i="33"/>
  <c r="X19" i="33"/>
  <c r="W19" i="33"/>
  <c r="N19" i="33"/>
  <c r="O19" i="33" s="1"/>
  <c r="L19" i="33"/>
  <c r="H19" i="33"/>
  <c r="J19" i="33" s="1"/>
  <c r="AA18" i="33"/>
  <c r="Z18" i="33"/>
  <c r="X18" i="33"/>
  <c r="W18" i="33"/>
  <c r="N18" i="33"/>
  <c r="O18" i="33" s="1"/>
  <c r="L18" i="33"/>
  <c r="H18" i="33"/>
  <c r="J18" i="33" s="1"/>
  <c r="AA17" i="33"/>
  <c r="Z17" i="33"/>
  <c r="X17" i="33"/>
  <c r="W17" i="33"/>
  <c r="N17" i="33"/>
  <c r="O17" i="33" s="1"/>
  <c r="L17" i="33"/>
  <c r="H17" i="33"/>
  <c r="J17" i="33" s="1"/>
  <c r="AA16" i="33"/>
  <c r="Z16" i="33"/>
  <c r="W16" i="33"/>
  <c r="L16" i="33"/>
  <c r="K16" i="33"/>
  <c r="H16" i="33"/>
  <c r="J16" i="33" s="1"/>
  <c r="AA15" i="33"/>
  <c r="Z15" i="33"/>
  <c r="X15" i="33"/>
  <c r="W15" i="33"/>
  <c r="N15" i="33"/>
  <c r="O15" i="33" s="1"/>
  <c r="L15" i="33"/>
  <c r="H15" i="33"/>
  <c r="J15" i="33" s="1"/>
  <c r="AA14" i="33"/>
  <c r="Z14" i="33"/>
  <c r="X14" i="33"/>
  <c r="W14" i="33"/>
  <c r="N14" i="33"/>
  <c r="O14" i="33" s="1"/>
  <c r="L14" i="33"/>
  <c r="H14" i="33"/>
  <c r="J14" i="33" s="1"/>
  <c r="AA13" i="33"/>
  <c r="Z13" i="33"/>
  <c r="W13" i="33"/>
  <c r="L13" i="33"/>
  <c r="K13" i="33"/>
  <c r="H13" i="33"/>
  <c r="J13" i="33" s="1"/>
  <c r="AA12" i="33"/>
  <c r="AA21" i="33" s="1"/>
  <c r="Y43" i="33" s="1"/>
  <c r="Z12" i="33"/>
  <c r="Z21" i="33" s="1"/>
  <c r="X43" i="33" s="1"/>
  <c r="W12" i="33"/>
  <c r="W21" i="33" s="1"/>
  <c r="U43" i="33" s="1"/>
  <c r="K12" i="33"/>
  <c r="H12" i="33"/>
  <c r="J12" i="33" s="1"/>
  <c r="AA10" i="33"/>
  <c r="Z10" i="33"/>
  <c r="X10" i="33"/>
  <c r="W10" i="33"/>
  <c r="N10" i="33"/>
  <c r="O10" i="33" s="1"/>
  <c r="L10" i="33"/>
  <c r="H10" i="33"/>
  <c r="J10" i="33" s="1"/>
  <c r="AA9" i="33"/>
  <c r="Z9" i="33"/>
  <c r="X9" i="33"/>
  <c r="W9" i="33"/>
  <c r="N9" i="33"/>
  <c r="O9" i="33" s="1"/>
  <c r="L9" i="33"/>
  <c r="H9" i="33"/>
  <c r="J9" i="33" s="1"/>
  <c r="AA8" i="33"/>
  <c r="Z8" i="33"/>
  <c r="X8" i="33"/>
  <c r="W8" i="33"/>
  <c r="O8" i="33"/>
  <c r="N8" i="33"/>
  <c r="L8" i="33"/>
  <c r="H8" i="33"/>
  <c r="J8" i="33" s="1"/>
  <c r="AA7" i="33"/>
  <c r="Z7" i="33"/>
  <c r="X7" i="33"/>
  <c r="W7" i="33"/>
  <c r="N7" i="33"/>
  <c r="O7" i="33" s="1"/>
  <c r="L7" i="33"/>
  <c r="H7" i="33"/>
  <c r="J7" i="33" s="1"/>
  <c r="AA6" i="33"/>
  <c r="Z6" i="33"/>
  <c r="W6" i="33"/>
  <c r="K6" i="33"/>
  <c r="H6" i="33"/>
  <c r="J6" i="33" s="1"/>
  <c r="AA5" i="33"/>
  <c r="Z5" i="33"/>
  <c r="X5" i="33"/>
  <c r="W5" i="33"/>
  <c r="N5" i="33"/>
  <c r="O5" i="33" s="1"/>
  <c r="L5" i="33"/>
  <c r="H5" i="33"/>
  <c r="J5" i="33" s="1"/>
  <c r="AA4" i="33"/>
  <c r="AA11" i="33" s="1"/>
  <c r="Z4" i="33"/>
  <c r="Z11" i="33" s="1"/>
  <c r="W4" i="33"/>
  <c r="W11" i="33" s="1"/>
  <c r="K4" i="33"/>
  <c r="J4" i="33"/>
  <c r="H4" i="33"/>
  <c r="AB46" i="32"/>
  <c r="X35" i="31"/>
  <c r="T46" i="32"/>
  <c r="T48" i="32" s="1"/>
  <c r="T45" i="32"/>
  <c r="T44" i="32"/>
  <c r="T43" i="32"/>
  <c r="T42" i="32"/>
  <c r="B37" i="32"/>
  <c r="AA36" i="32"/>
  <c r="Y45" i="32" s="1"/>
  <c r="Z36" i="32"/>
  <c r="X45" i="32" s="1"/>
  <c r="AA35" i="32"/>
  <c r="Z35" i="32"/>
  <c r="W35" i="32"/>
  <c r="K35" i="32"/>
  <c r="H35" i="32"/>
  <c r="J35" i="32" s="1"/>
  <c r="AA34" i="32"/>
  <c r="Z34" i="32"/>
  <c r="X34" i="32"/>
  <c r="W34" i="32"/>
  <c r="O34" i="32"/>
  <c r="N34" i="32"/>
  <c r="L34" i="32"/>
  <c r="H34" i="32"/>
  <c r="J34" i="32" s="1"/>
  <c r="AA33" i="32"/>
  <c r="Z33" i="32"/>
  <c r="W33" i="32"/>
  <c r="K33" i="32"/>
  <c r="H33" i="32"/>
  <c r="J33" i="32" s="1"/>
  <c r="AA32" i="32"/>
  <c r="Z32" i="32"/>
  <c r="X32" i="32"/>
  <c r="W32" i="32"/>
  <c r="O32" i="32"/>
  <c r="N32" i="32"/>
  <c r="L32" i="32"/>
  <c r="H32" i="32"/>
  <c r="J32" i="32" s="1"/>
  <c r="AA31" i="32"/>
  <c r="Z31" i="32"/>
  <c r="W31" i="32"/>
  <c r="K31" i="32"/>
  <c r="H31" i="32"/>
  <c r="J31" i="32" s="1"/>
  <c r="AA30" i="32"/>
  <c r="Z30" i="32"/>
  <c r="X30" i="32"/>
  <c r="W30" i="32"/>
  <c r="N30" i="32"/>
  <c r="O30" i="32" s="1"/>
  <c r="L30" i="32"/>
  <c r="H30" i="32"/>
  <c r="J30" i="32" s="1"/>
  <c r="AA29" i="32"/>
  <c r="Z29" i="32"/>
  <c r="W29" i="32"/>
  <c r="K29" i="32"/>
  <c r="H29" i="32"/>
  <c r="J29" i="32" s="1"/>
  <c r="AA28" i="32"/>
  <c r="Z28" i="32"/>
  <c r="X28" i="32"/>
  <c r="W28" i="32"/>
  <c r="N28" i="32"/>
  <c r="O28" i="32" s="1"/>
  <c r="L28" i="32"/>
  <c r="H28" i="32"/>
  <c r="J28" i="32" s="1"/>
  <c r="AA27" i="32"/>
  <c r="Z27" i="32"/>
  <c r="W27" i="32"/>
  <c r="W36" i="32" s="1"/>
  <c r="U45" i="32" s="1"/>
  <c r="K27" i="32"/>
  <c r="H27" i="32"/>
  <c r="J27" i="32" s="1"/>
  <c r="AA25" i="32"/>
  <c r="Z25" i="32"/>
  <c r="X25" i="32"/>
  <c r="W25" i="32"/>
  <c r="O25" i="32"/>
  <c r="N25" i="32"/>
  <c r="L25" i="32"/>
  <c r="H25" i="32"/>
  <c r="J25" i="32" s="1"/>
  <c r="AA24" i="32"/>
  <c r="Z24" i="32"/>
  <c r="W24" i="32"/>
  <c r="K24" i="32"/>
  <c r="H24" i="32"/>
  <c r="J24" i="32" s="1"/>
  <c r="AA23" i="32"/>
  <c r="Z23" i="32"/>
  <c r="Z26" i="32" s="1"/>
  <c r="X44" i="32" s="1"/>
  <c r="X23" i="32"/>
  <c r="W23" i="32"/>
  <c r="W26" i="32" s="1"/>
  <c r="U44" i="32" s="1"/>
  <c r="N23" i="32"/>
  <c r="O23" i="32" s="1"/>
  <c r="L23" i="32"/>
  <c r="H23" i="32"/>
  <c r="J23" i="32" s="1"/>
  <c r="AA22" i="32"/>
  <c r="AA26" i="32" s="1"/>
  <c r="Y44" i="32" s="1"/>
  <c r="Z22" i="32"/>
  <c r="W22" i="32"/>
  <c r="K22" i="32"/>
  <c r="H22" i="32"/>
  <c r="J22" i="32" s="1"/>
  <c r="AA20" i="32"/>
  <c r="Z20" i="32"/>
  <c r="X20" i="32"/>
  <c r="W20" i="32"/>
  <c r="N20" i="32"/>
  <c r="O20" i="32" s="1"/>
  <c r="L20" i="32"/>
  <c r="H20" i="32"/>
  <c r="J20" i="32" s="1"/>
  <c r="AA19" i="32"/>
  <c r="Z19" i="32"/>
  <c r="X19" i="32"/>
  <c r="W19" i="32"/>
  <c r="N19" i="32"/>
  <c r="O19" i="32" s="1"/>
  <c r="L19" i="32"/>
  <c r="H19" i="32"/>
  <c r="J19" i="32" s="1"/>
  <c r="AA18" i="32"/>
  <c r="Z18" i="32"/>
  <c r="X18" i="32"/>
  <c r="W18" i="32"/>
  <c r="O18" i="32"/>
  <c r="N18" i="32"/>
  <c r="L18" i="32"/>
  <c r="H18" i="32"/>
  <c r="J18" i="32" s="1"/>
  <c r="AA17" i="32"/>
  <c r="Z17" i="32"/>
  <c r="X17" i="32"/>
  <c r="W17" i="32"/>
  <c r="N17" i="32"/>
  <c r="O17" i="32" s="1"/>
  <c r="L17" i="32"/>
  <c r="H17" i="32"/>
  <c r="J17" i="32" s="1"/>
  <c r="AA16" i="32"/>
  <c r="Z16" i="32"/>
  <c r="X16" i="32"/>
  <c r="W16" i="32"/>
  <c r="N16" i="32"/>
  <c r="O16" i="32" s="1"/>
  <c r="L16" i="32"/>
  <c r="H16" i="32"/>
  <c r="J16" i="32" s="1"/>
  <c r="AA15" i="32"/>
  <c r="Z15" i="32"/>
  <c r="X15" i="32"/>
  <c r="W15" i="32"/>
  <c r="N15" i="32"/>
  <c r="O15" i="32" s="1"/>
  <c r="L15" i="32"/>
  <c r="H15" i="32"/>
  <c r="J15" i="32" s="1"/>
  <c r="AA14" i="32"/>
  <c r="Z14" i="32"/>
  <c r="X14" i="32"/>
  <c r="W14" i="32"/>
  <c r="N14" i="32"/>
  <c r="O14" i="32" s="1"/>
  <c r="L14" i="32"/>
  <c r="H14" i="32"/>
  <c r="J14" i="32" s="1"/>
  <c r="AA13" i="32"/>
  <c r="Z13" i="32"/>
  <c r="X13" i="32"/>
  <c r="W13" i="32"/>
  <c r="N13" i="32"/>
  <c r="O13" i="32" s="1"/>
  <c r="L13" i="32"/>
  <c r="H13" i="32"/>
  <c r="J13" i="32" s="1"/>
  <c r="AA12" i="32"/>
  <c r="AA21" i="32" s="1"/>
  <c r="Y43" i="32" s="1"/>
  <c r="Z12" i="32"/>
  <c r="Z21" i="32" s="1"/>
  <c r="X43" i="32" s="1"/>
  <c r="X12" i="32"/>
  <c r="X21" i="32" s="1"/>
  <c r="V43" i="32" s="1"/>
  <c r="W12" i="32"/>
  <c r="W21" i="32" s="1"/>
  <c r="U43" i="32" s="1"/>
  <c r="N12" i="32"/>
  <c r="O12" i="32" s="1"/>
  <c r="O21" i="32" s="1"/>
  <c r="L12" i="32"/>
  <c r="H12" i="32"/>
  <c r="J12" i="32" s="1"/>
  <c r="AA10" i="32"/>
  <c r="Z10" i="32"/>
  <c r="X10" i="32"/>
  <c r="W10" i="32"/>
  <c r="N10" i="32"/>
  <c r="O10" i="32" s="1"/>
  <c r="L10" i="32"/>
  <c r="H10" i="32"/>
  <c r="J10" i="32" s="1"/>
  <c r="AA9" i="32"/>
  <c r="Z9" i="32"/>
  <c r="X9" i="32"/>
  <c r="W9" i="32"/>
  <c r="N9" i="32"/>
  <c r="O9" i="32" s="1"/>
  <c r="L9" i="32"/>
  <c r="H9" i="32"/>
  <c r="J9" i="32" s="1"/>
  <c r="AA8" i="32"/>
  <c r="Z8" i="32"/>
  <c r="X8" i="32"/>
  <c r="W8" i="32"/>
  <c r="N8" i="32"/>
  <c r="O8" i="32" s="1"/>
  <c r="L8" i="32"/>
  <c r="H8" i="32"/>
  <c r="J8" i="32" s="1"/>
  <c r="AA7" i="32"/>
  <c r="Z7" i="32"/>
  <c r="X7" i="32"/>
  <c r="W7" i="32"/>
  <c r="N7" i="32"/>
  <c r="O7" i="32" s="1"/>
  <c r="L7" i="32"/>
  <c r="H7" i="32"/>
  <c r="J7" i="32" s="1"/>
  <c r="AA6" i="32"/>
  <c r="Z6" i="32"/>
  <c r="X6" i="32"/>
  <c r="W6" i="32"/>
  <c r="N6" i="32"/>
  <c r="O6" i="32" s="1"/>
  <c r="L6" i="32"/>
  <c r="H6" i="32"/>
  <c r="J6" i="32" s="1"/>
  <c r="AA5" i="32"/>
  <c r="AA11" i="32" s="1"/>
  <c r="Z5" i="32"/>
  <c r="Z11" i="32" s="1"/>
  <c r="X5" i="32"/>
  <c r="X11" i="32" s="1"/>
  <c r="W5" i="32"/>
  <c r="W11" i="32" s="1"/>
  <c r="P5" i="32"/>
  <c r="R5" i="32" s="1"/>
  <c r="N5" i="32"/>
  <c r="O5" i="32" s="1"/>
  <c r="L5" i="32"/>
  <c r="Y5" i="32" s="1"/>
  <c r="H5" i="32"/>
  <c r="J5" i="32" s="1"/>
  <c r="AA4" i="32"/>
  <c r="Z4" i="32"/>
  <c r="X4" i="32"/>
  <c r="W4" i="32"/>
  <c r="N4" i="32"/>
  <c r="O4" i="32" s="1"/>
  <c r="L4" i="32"/>
  <c r="H4" i="32"/>
  <c r="J4" i="32" s="1"/>
  <c r="T45" i="31"/>
  <c r="T44" i="31"/>
  <c r="T43" i="31"/>
  <c r="T42" i="31"/>
  <c r="B37" i="31"/>
  <c r="AA35" i="31"/>
  <c r="Z35" i="31"/>
  <c r="W35" i="31"/>
  <c r="N35" i="31"/>
  <c r="O35" i="31" s="1"/>
  <c r="L35" i="31"/>
  <c r="H35" i="31"/>
  <c r="J35" i="31" s="1"/>
  <c r="AA34" i="31"/>
  <c r="Z34" i="31"/>
  <c r="X34" i="31"/>
  <c r="W34" i="31"/>
  <c r="N34" i="31"/>
  <c r="O34" i="31" s="1"/>
  <c r="L34" i="31"/>
  <c r="H34" i="31"/>
  <c r="J34" i="31" s="1"/>
  <c r="AA33" i="31"/>
  <c r="Z33" i="31"/>
  <c r="X33" i="31"/>
  <c r="W33" i="31"/>
  <c r="N33" i="31"/>
  <c r="O33" i="31" s="1"/>
  <c r="L33" i="31"/>
  <c r="H33" i="31"/>
  <c r="J33" i="31" s="1"/>
  <c r="AA32" i="31"/>
  <c r="Z32" i="31"/>
  <c r="X32" i="31"/>
  <c r="W32" i="31"/>
  <c r="N32" i="31"/>
  <c r="O32" i="31" s="1"/>
  <c r="L32" i="31"/>
  <c r="J32" i="31"/>
  <c r="AA31" i="31"/>
  <c r="Z31" i="31"/>
  <c r="W31" i="31"/>
  <c r="J31" i="31"/>
  <c r="AA30" i="31"/>
  <c r="Z30" i="31"/>
  <c r="X30" i="31"/>
  <c r="W30" i="31"/>
  <c r="N30" i="31"/>
  <c r="O30" i="31" s="1"/>
  <c r="L30" i="31"/>
  <c r="H30" i="31"/>
  <c r="J30" i="31" s="1"/>
  <c r="AA29" i="31"/>
  <c r="Z29" i="31"/>
  <c r="X29" i="31"/>
  <c r="W29" i="31"/>
  <c r="N29" i="31"/>
  <c r="O29" i="31" s="1"/>
  <c r="L29" i="31"/>
  <c r="H29" i="31"/>
  <c r="J29" i="31" s="1"/>
  <c r="AA28" i="31"/>
  <c r="Z28" i="31"/>
  <c r="X28" i="31"/>
  <c r="W28" i="31"/>
  <c r="N28" i="31"/>
  <c r="O28" i="31" s="1"/>
  <c r="L28" i="31"/>
  <c r="J28" i="31"/>
  <c r="AA27" i="31"/>
  <c r="AA36" i="31" s="1"/>
  <c r="Y45" i="31" s="1"/>
  <c r="Z27" i="31"/>
  <c r="W27" i="31"/>
  <c r="W36" i="31" s="1"/>
  <c r="U45" i="31" s="1"/>
  <c r="AA25" i="31"/>
  <c r="Z25" i="31"/>
  <c r="X25" i="31"/>
  <c r="W25" i="31"/>
  <c r="N25" i="31"/>
  <c r="O25" i="31" s="1"/>
  <c r="L25" i="31"/>
  <c r="H25" i="31"/>
  <c r="J25" i="31" s="1"/>
  <c r="AA24" i="31"/>
  <c r="Z24" i="31"/>
  <c r="W24" i="31"/>
  <c r="L24" i="31"/>
  <c r="H24" i="31"/>
  <c r="J24" i="31" s="1"/>
  <c r="AA23" i="31"/>
  <c r="Z23" i="31"/>
  <c r="X23" i="31"/>
  <c r="W23" i="31"/>
  <c r="N23" i="31"/>
  <c r="O23" i="31" s="1"/>
  <c r="L23" i="31"/>
  <c r="H23" i="31"/>
  <c r="J23" i="31" s="1"/>
  <c r="AA22" i="31"/>
  <c r="Z22" i="31"/>
  <c r="W22" i="31"/>
  <c r="N22" i="31"/>
  <c r="O22" i="31" s="1"/>
  <c r="L22" i="31"/>
  <c r="H22" i="31"/>
  <c r="J22" i="31" s="1"/>
  <c r="AA20" i="31"/>
  <c r="Z20" i="31"/>
  <c r="W20" i="31"/>
  <c r="H20" i="31"/>
  <c r="J20" i="31" s="1"/>
  <c r="AA19" i="31"/>
  <c r="Z19" i="31"/>
  <c r="X19" i="31"/>
  <c r="W19" i="31"/>
  <c r="N19" i="31"/>
  <c r="O19" i="31" s="1"/>
  <c r="L19" i="31"/>
  <c r="H19" i="31"/>
  <c r="J19" i="31" s="1"/>
  <c r="AA18" i="31"/>
  <c r="Z18" i="31"/>
  <c r="X18" i="31"/>
  <c r="W18" i="31"/>
  <c r="N18" i="31"/>
  <c r="O18" i="31" s="1"/>
  <c r="L18" i="31"/>
  <c r="H18" i="31"/>
  <c r="J18" i="31" s="1"/>
  <c r="AA17" i="31"/>
  <c r="Z17" i="31"/>
  <c r="X17" i="31"/>
  <c r="W17" i="31"/>
  <c r="N17" i="31"/>
  <c r="O17" i="31" s="1"/>
  <c r="L17" i="31"/>
  <c r="H17" i="31"/>
  <c r="J17" i="31" s="1"/>
  <c r="AA16" i="31"/>
  <c r="Z16" i="31"/>
  <c r="X16" i="31"/>
  <c r="W16" i="31"/>
  <c r="N16" i="31"/>
  <c r="O16" i="31" s="1"/>
  <c r="L16" i="31"/>
  <c r="H16" i="31"/>
  <c r="J16" i="31" s="1"/>
  <c r="AA15" i="31"/>
  <c r="Z15" i="31"/>
  <c r="X15" i="31"/>
  <c r="W15" i="31"/>
  <c r="N15" i="31"/>
  <c r="O15" i="31" s="1"/>
  <c r="L15" i="31"/>
  <c r="H15" i="31"/>
  <c r="J15" i="31" s="1"/>
  <c r="AA14" i="31"/>
  <c r="Z14" i="31"/>
  <c r="X14" i="31"/>
  <c r="W14" i="31"/>
  <c r="N14" i="31"/>
  <c r="O14" i="31" s="1"/>
  <c r="L14" i="31"/>
  <c r="H14" i="31"/>
  <c r="J14" i="31" s="1"/>
  <c r="AA13" i="31"/>
  <c r="Z13" i="31"/>
  <c r="W13" i="31"/>
  <c r="H13" i="31"/>
  <c r="J13" i="31" s="1"/>
  <c r="AA12" i="31"/>
  <c r="Z12" i="31"/>
  <c r="W12" i="31"/>
  <c r="W21" i="31" s="1"/>
  <c r="U43" i="31" s="1"/>
  <c r="H12" i="31"/>
  <c r="J12" i="31" s="1"/>
  <c r="AA10" i="31"/>
  <c r="Z10" i="31"/>
  <c r="X10" i="31"/>
  <c r="W10" i="31"/>
  <c r="N10" i="31"/>
  <c r="O10" i="31" s="1"/>
  <c r="L10" i="31"/>
  <c r="H10" i="31"/>
  <c r="J10" i="31" s="1"/>
  <c r="AA9" i="31"/>
  <c r="Z9" i="31"/>
  <c r="W9" i="31"/>
  <c r="H9" i="31"/>
  <c r="J9" i="31" s="1"/>
  <c r="AA8" i="31"/>
  <c r="Z8" i="31"/>
  <c r="X8" i="31"/>
  <c r="W8" i="31"/>
  <c r="N8" i="31"/>
  <c r="O8" i="31" s="1"/>
  <c r="L8" i="31"/>
  <c r="H8" i="31"/>
  <c r="J8" i="31" s="1"/>
  <c r="AA7" i="31"/>
  <c r="Z7" i="31"/>
  <c r="X7" i="31"/>
  <c r="W7" i="31"/>
  <c r="N7" i="31"/>
  <c r="O7" i="31" s="1"/>
  <c r="L7" i="31"/>
  <c r="H7" i="31"/>
  <c r="J7" i="31" s="1"/>
  <c r="AA6" i="31"/>
  <c r="Z6" i="31"/>
  <c r="X6" i="31"/>
  <c r="W6" i="31"/>
  <c r="H6" i="31"/>
  <c r="J6" i="31" s="1"/>
  <c r="AA5" i="31"/>
  <c r="Z5" i="31"/>
  <c r="X5" i="31"/>
  <c r="W5" i="31"/>
  <c r="N5" i="31"/>
  <c r="O5" i="31" s="1"/>
  <c r="L5" i="31"/>
  <c r="H5" i="31"/>
  <c r="J5" i="31" s="1"/>
  <c r="AA4" i="31"/>
  <c r="Z4" i="31"/>
  <c r="W4" i="31"/>
  <c r="H4" i="31"/>
  <c r="J4" i="31" s="1"/>
  <c r="AB36" i="29"/>
  <c r="L27" i="29"/>
  <c r="U48" i="30"/>
  <c r="V42" i="29"/>
  <c r="K9" i="29"/>
  <c r="K6" i="29"/>
  <c r="K4" i="29"/>
  <c r="T45" i="30"/>
  <c r="T44" i="30"/>
  <c r="T43" i="30"/>
  <c r="T42" i="30"/>
  <c r="T46" i="30" s="1"/>
  <c r="T48" i="30" s="1"/>
  <c r="B37" i="30"/>
  <c r="AA35" i="30"/>
  <c r="Z35" i="30"/>
  <c r="W35" i="30"/>
  <c r="K35" i="30"/>
  <c r="H35" i="30"/>
  <c r="J35" i="30" s="1"/>
  <c r="AA34" i="30"/>
  <c r="Z34" i="30"/>
  <c r="X34" i="30"/>
  <c r="W34" i="30"/>
  <c r="N34" i="30"/>
  <c r="O34" i="30" s="1"/>
  <c r="L34" i="30"/>
  <c r="H34" i="30"/>
  <c r="J34" i="30" s="1"/>
  <c r="AA33" i="30"/>
  <c r="Z33" i="30"/>
  <c r="W33" i="30"/>
  <c r="K33" i="30"/>
  <c r="H33" i="30"/>
  <c r="J33" i="30" s="1"/>
  <c r="AA32" i="30"/>
  <c r="Z32" i="30"/>
  <c r="X32" i="30"/>
  <c r="W32" i="30"/>
  <c r="O32" i="30"/>
  <c r="N32" i="30"/>
  <c r="L32" i="30"/>
  <c r="H32" i="30"/>
  <c r="J32" i="30" s="1"/>
  <c r="AA31" i="30"/>
  <c r="Z31" i="30"/>
  <c r="W31" i="30"/>
  <c r="K31" i="30"/>
  <c r="H31" i="30"/>
  <c r="J31" i="30" s="1"/>
  <c r="AA30" i="30"/>
  <c r="Z30" i="30"/>
  <c r="X30" i="30"/>
  <c r="W30" i="30"/>
  <c r="N30" i="30"/>
  <c r="O30" i="30" s="1"/>
  <c r="L30" i="30"/>
  <c r="H30" i="30"/>
  <c r="J30" i="30" s="1"/>
  <c r="AA29" i="30"/>
  <c r="Z29" i="30"/>
  <c r="W29" i="30"/>
  <c r="K29" i="30"/>
  <c r="H29" i="30"/>
  <c r="J29" i="30" s="1"/>
  <c r="AA28" i="30"/>
  <c r="Z28" i="30"/>
  <c r="W28" i="30"/>
  <c r="K28" i="30"/>
  <c r="H28" i="30"/>
  <c r="J28" i="30" s="1"/>
  <c r="AA27" i="30"/>
  <c r="AA36" i="30" s="1"/>
  <c r="Y45" i="30" s="1"/>
  <c r="Z27" i="30"/>
  <c r="Z36" i="30" s="1"/>
  <c r="X45" i="30" s="1"/>
  <c r="W27" i="30"/>
  <c r="W36" i="30" s="1"/>
  <c r="U45" i="30" s="1"/>
  <c r="K27" i="30"/>
  <c r="H27" i="30"/>
  <c r="J27" i="30" s="1"/>
  <c r="AA25" i="30"/>
  <c r="Z25" i="30"/>
  <c r="X25" i="30"/>
  <c r="W25" i="30"/>
  <c r="N25" i="30"/>
  <c r="O25" i="30" s="1"/>
  <c r="L25" i="30"/>
  <c r="H25" i="30"/>
  <c r="J25" i="30" s="1"/>
  <c r="AA24" i="30"/>
  <c r="Z24" i="30"/>
  <c r="X24" i="30"/>
  <c r="W24" i="30"/>
  <c r="P24" i="30"/>
  <c r="R24" i="30" s="1"/>
  <c r="N24" i="30"/>
  <c r="O24" i="30" s="1"/>
  <c r="L24" i="30"/>
  <c r="Y24" i="30" s="1"/>
  <c r="H24" i="30"/>
  <c r="J24" i="30" s="1"/>
  <c r="AA23" i="30"/>
  <c r="Z23" i="30"/>
  <c r="X23" i="30"/>
  <c r="W23" i="30"/>
  <c r="N23" i="30"/>
  <c r="O23" i="30" s="1"/>
  <c r="L23" i="30"/>
  <c r="H23" i="30"/>
  <c r="J23" i="30" s="1"/>
  <c r="AA22" i="30"/>
  <c r="AA26" i="30" s="1"/>
  <c r="Y44" i="30" s="1"/>
  <c r="Z22" i="30"/>
  <c r="Z26" i="30" s="1"/>
  <c r="X44" i="30" s="1"/>
  <c r="X22" i="30"/>
  <c r="X26" i="30" s="1"/>
  <c r="V44" i="30" s="1"/>
  <c r="W22" i="30"/>
  <c r="W26" i="30" s="1"/>
  <c r="U44" i="30" s="1"/>
  <c r="N22" i="30"/>
  <c r="O22" i="30" s="1"/>
  <c r="L22" i="30"/>
  <c r="H22" i="30"/>
  <c r="J22" i="30" s="1"/>
  <c r="AA20" i="30"/>
  <c r="Z20" i="30"/>
  <c r="X20" i="30"/>
  <c r="W20" i="30"/>
  <c r="N20" i="30"/>
  <c r="O20" i="30" s="1"/>
  <c r="L20" i="30"/>
  <c r="H20" i="30"/>
  <c r="J20" i="30" s="1"/>
  <c r="AA19" i="30"/>
  <c r="Z19" i="30"/>
  <c r="X19" i="30"/>
  <c r="W19" i="30"/>
  <c r="N19" i="30"/>
  <c r="O19" i="30" s="1"/>
  <c r="L19" i="30"/>
  <c r="H19" i="30"/>
  <c r="J19" i="30" s="1"/>
  <c r="AA18" i="30"/>
  <c r="Z18" i="30"/>
  <c r="X18" i="30"/>
  <c r="W18" i="30"/>
  <c r="N18" i="30"/>
  <c r="O18" i="30" s="1"/>
  <c r="L18" i="30"/>
  <c r="H18" i="30"/>
  <c r="J18" i="30" s="1"/>
  <c r="AA17" i="30"/>
  <c r="Z17" i="30"/>
  <c r="X17" i="30"/>
  <c r="W17" i="30"/>
  <c r="N17" i="30"/>
  <c r="O17" i="30" s="1"/>
  <c r="L17" i="30"/>
  <c r="H17" i="30"/>
  <c r="J17" i="30" s="1"/>
  <c r="AA16" i="30"/>
  <c r="Z16" i="30"/>
  <c r="X16" i="30"/>
  <c r="W16" i="30"/>
  <c r="N16" i="30"/>
  <c r="O16" i="30" s="1"/>
  <c r="L16" i="30"/>
  <c r="H16" i="30"/>
  <c r="J16" i="30" s="1"/>
  <c r="AA15" i="30"/>
  <c r="Z15" i="30"/>
  <c r="Y15" i="30"/>
  <c r="X15" i="30"/>
  <c r="W15" i="30"/>
  <c r="N15" i="30"/>
  <c r="O15" i="30" s="1"/>
  <c r="L15" i="30"/>
  <c r="P15" i="30" s="1"/>
  <c r="R15" i="30" s="1"/>
  <c r="H15" i="30"/>
  <c r="J15" i="30" s="1"/>
  <c r="AA14" i="30"/>
  <c r="Z14" i="30"/>
  <c r="X14" i="30"/>
  <c r="W14" i="30"/>
  <c r="O14" i="30"/>
  <c r="N14" i="30"/>
  <c r="L14" i="30"/>
  <c r="H14" i="30"/>
  <c r="J14" i="30" s="1"/>
  <c r="AA13" i="30"/>
  <c r="Z13" i="30"/>
  <c r="X13" i="30"/>
  <c r="W13" i="30"/>
  <c r="N13" i="30"/>
  <c r="O13" i="30" s="1"/>
  <c r="L13" i="30"/>
  <c r="H13" i="30"/>
  <c r="J13" i="30" s="1"/>
  <c r="AA12" i="30"/>
  <c r="AA21" i="30" s="1"/>
  <c r="Y43" i="30" s="1"/>
  <c r="Z12" i="30"/>
  <c r="Z21" i="30" s="1"/>
  <c r="X43" i="30" s="1"/>
  <c r="X12" i="30"/>
  <c r="X21" i="30" s="1"/>
  <c r="V43" i="30" s="1"/>
  <c r="W12" i="30"/>
  <c r="W21" i="30" s="1"/>
  <c r="U43" i="30" s="1"/>
  <c r="O12" i="30"/>
  <c r="O21" i="30" s="1"/>
  <c r="N12" i="30"/>
  <c r="L12" i="30"/>
  <c r="H12" i="30"/>
  <c r="J12" i="30" s="1"/>
  <c r="AA10" i="30"/>
  <c r="Z10" i="30"/>
  <c r="X10" i="30"/>
  <c r="W10" i="30"/>
  <c r="N10" i="30"/>
  <c r="O10" i="30" s="1"/>
  <c r="L10" i="30"/>
  <c r="H10" i="30"/>
  <c r="J10" i="30" s="1"/>
  <c r="AA9" i="30"/>
  <c r="Z9" i="30"/>
  <c r="X9" i="30"/>
  <c r="W9" i="30"/>
  <c r="N9" i="30"/>
  <c r="O9" i="30" s="1"/>
  <c r="L9" i="30"/>
  <c r="H9" i="30"/>
  <c r="J9" i="30" s="1"/>
  <c r="AA8" i="30"/>
  <c r="AA11" i="30" s="1"/>
  <c r="Z8" i="30"/>
  <c r="Z11" i="30" s="1"/>
  <c r="X8" i="30"/>
  <c r="X11" i="30" s="1"/>
  <c r="W8" i="30"/>
  <c r="W11" i="30" s="1"/>
  <c r="N8" i="30"/>
  <c r="O8" i="30" s="1"/>
  <c r="L8" i="30"/>
  <c r="H8" i="30"/>
  <c r="J8" i="30" s="1"/>
  <c r="AA7" i="30"/>
  <c r="Z7" i="30"/>
  <c r="X7" i="30"/>
  <c r="W7" i="30"/>
  <c r="N7" i="30"/>
  <c r="O7" i="30" s="1"/>
  <c r="L7" i="30"/>
  <c r="H7" i="30"/>
  <c r="J7" i="30" s="1"/>
  <c r="AA6" i="30"/>
  <c r="Z6" i="30"/>
  <c r="X6" i="30"/>
  <c r="W6" i="30"/>
  <c r="N6" i="30"/>
  <c r="O6" i="30" s="1"/>
  <c r="L6" i="30"/>
  <c r="H6" i="30"/>
  <c r="J6" i="30" s="1"/>
  <c r="AA5" i="30"/>
  <c r="Z5" i="30"/>
  <c r="X5" i="30"/>
  <c r="W5" i="30"/>
  <c r="N5" i="30"/>
  <c r="O5" i="30" s="1"/>
  <c r="L5" i="30"/>
  <c r="H5" i="30"/>
  <c r="J5" i="30" s="1"/>
  <c r="AA4" i="30"/>
  <c r="Z4" i="30"/>
  <c r="X4" i="30"/>
  <c r="W4" i="30"/>
  <c r="N4" i="30"/>
  <c r="O4" i="30" s="1"/>
  <c r="L4" i="30"/>
  <c r="H4" i="30"/>
  <c r="J4" i="30" s="1"/>
  <c r="AA28" i="29"/>
  <c r="AA29" i="29"/>
  <c r="AA30" i="29"/>
  <c r="AA31" i="29"/>
  <c r="AA32" i="29"/>
  <c r="AA33" i="29"/>
  <c r="AA34" i="29"/>
  <c r="AA35" i="29"/>
  <c r="AA23" i="29"/>
  <c r="AA24" i="29"/>
  <c r="AA25" i="29"/>
  <c r="AA13" i="29"/>
  <c r="AA14" i="29"/>
  <c r="AA15" i="29"/>
  <c r="AA16" i="29"/>
  <c r="AA17" i="29"/>
  <c r="AA18" i="29"/>
  <c r="AA19" i="29"/>
  <c r="AA20" i="29"/>
  <c r="AA27" i="29"/>
  <c r="AA36" i="29" s="1"/>
  <c r="AA22" i="29"/>
  <c r="AA26" i="29" s="1"/>
  <c r="Y44" i="29" s="1"/>
  <c r="AA12" i="29"/>
  <c r="AA21" i="29" s="1"/>
  <c r="Y43" i="29" s="1"/>
  <c r="AA5" i="29"/>
  <c r="AA6" i="29"/>
  <c r="AA7" i="29"/>
  <c r="AA8" i="29"/>
  <c r="AA9" i="29"/>
  <c r="AA10" i="29"/>
  <c r="AA4" i="29"/>
  <c r="Z4" i="29"/>
  <c r="L29" i="29"/>
  <c r="T45" i="29"/>
  <c r="T44" i="29"/>
  <c r="T42" i="29"/>
  <c r="Z35" i="29"/>
  <c r="W35" i="29"/>
  <c r="L35" i="29"/>
  <c r="H35" i="29"/>
  <c r="J35" i="29" s="1"/>
  <c r="Z34" i="29"/>
  <c r="X34" i="29"/>
  <c r="W34" i="29"/>
  <c r="N34" i="29"/>
  <c r="O34" i="29" s="1"/>
  <c r="L34" i="29"/>
  <c r="H34" i="29"/>
  <c r="J34" i="29" s="1"/>
  <c r="Z33" i="29"/>
  <c r="X33" i="29"/>
  <c r="W33" i="29"/>
  <c r="N33" i="29"/>
  <c r="O33" i="29" s="1"/>
  <c r="L33" i="29"/>
  <c r="H33" i="29"/>
  <c r="J33" i="29" s="1"/>
  <c r="Z32" i="29"/>
  <c r="X32" i="29"/>
  <c r="W32" i="29"/>
  <c r="N32" i="29"/>
  <c r="O32" i="29" s="1"/>
  <c r="L32" i="29"/>
  <c r="H32" i="29"/>
  <c r="J32" i="29" s="1"/>
  <c r="Z31" i="29"/>
  <c r="X31" i="29"/>
  <c r="W31" i="29"/>
  <c r="N31" i="29"/>
  <c r="O31" i="29" s="1"/>
  <c r="L31" i="29"/>
  <c r="H31" i="29"/>
  <c r="J31" i="29" s="1"/>
  <c r="Z30" i="29"/>
  <c r="X30" i="29"/>
  <c r="W30" i="29"/>
  <c r="N30" i="29"/>
  <c r="O30" i="29" s="1"/>
  <c r="L30" i="29"/>
  <c r="H30" i="29"/>
  <c r="J30" i="29" s="1"/>
  <c r="Z29" i="29"/>
  <c r="X29" i="29"/>
  <c r="W29" i="29"/>
  <c r="N29" i="29"/>
  <c r="O29" i="29" s="1"/>
  <c r="H29" i="29"/>
  <c r="J29" i="29" s="1"/>
  <c r="Z28" i="29"/>
  <c r="W28" i="29"/>
  <c r="H28" i="29"/>
  <c r="J28" i="29" s="1"/>
  <c r="Z27" i="29"/>
  <c r="W27" i="29"/>
  <c r="H27" i="29"/>
  <c r="J27" i="29" s="1"/>
  <c r="Z25" i="29"/>
  <c r="X25" i="29"/>
  <c r="W25" i="29"/>
  <c r="N25" i="29"/>
  <c r="O25" i="29" s="1"/>
  <c r="L25" i="29"/>
  <c r="H25" i="29"/>
  <c r="J25" i="29" s="1"/>
  <c r="Z24" i="29"/>
  <c r="X24" i="29"/>
  <c r="W24" i="29"/>
  <c r="N24" i="29"/>
  <c r="O24" i="29" s="1"/>
  <c r="L24" i="29"/>
  <c r="H24" i="29"/>
  <c r="J24" i="29" s="1"/>
  <c r="Z23" i="29"/>
  <c r="X23" i="29"/>
  <c r="W23" i="29"/>
  <c r="N23" i="29"/>
  <c r="O23" i="29" s="1"/>
  <c r="L23" i="29"/>
  <c r="H23" i="29"/>
  <c r="J23" i="29" s="1"/>
  <c r="Z22" i="29"/>
  <c r="Z26" i="29" s="1"/>
  <c r="X44" i="29" s="1"/>
  <c r="X22" i="29"/>
  <c r="X26" i="29" s="1"/>
  <c r="V44" i="29" s="1"/>
  <c r="W22" i="29"/>
  <c r="W26" i="29" s="1"/>
  <c r="U44" i="29" s="1"/>
  <c r="N22" i="29"/>
  <c r="O22" i="29" s="1"/>
  <c r="L22" i="29"/>
  <c r="H22" i="29"/>
  <c r="J22" i="29" s="1"/>
  <c r="Z20" i="29"/>
  <c r="X20" i="29"/>
  <c r="W20" i="29"/>
  <c r="N20" i="29"/>
  <c r="L20" i="29"/>
  <c r="Z19" i="29"/>
  <c r="X19" i="29"/>
  <c r="W19" i="29"/>
  <c r="N19" i="29"/>
  <c r="L19" i="29"/>
  <c r="Z18" i="29"/>
  <c r="X18" i="29"/>
  <c r="W18" i="29"/>
  <c r="N18" i="29"/>
  <c r="L18" i="29"/>
  <c r="Z17" i="29"/>
  <c r="X17" i="29"/>
  <c r="W17" i="29"/>
  <c r="N17" i="29"/>
  <c r="L17" i="29"/>
  <c r="Z16" i="29"/>
  <c r="X16" i="29"/>
  <c r="W16" i="29"/>
  <c r="N16" i="29"/>
  <c r="L16" i="29"/>
  <c r="Z15" i="29"/>
  <c r="X15" i="29"/>
  <c r="W15" i="29"/>
  <c r="N15" i="29"/>
  <c r="L15" i="29"/>
  <c r="Z14" i="29"/>
  <c r="X14" i="29"/>
  <c r="W14" i="29"/>
  <c r="N14" i="29"/>
  <c r="L14" i="29"/>
  <c r="Z13" i="29"/>
  <c r="X13" i="29"/>
  <c r="W13" i="29"/>
  <c r="N13" i="29"/>
  <c r="L13" i="29"/>
  <c r="Z12" i="29"/>
  <c r="X12" i="29"/>
  <c r="X21" i="29" s="1"/>
  <c r="V43" i="29" s="1"/>
  <c r="W12" i="29"/>
  <c r="N12" i="29"/>
  <c r="L12" i="29"/>
  <c r="Z10" i="29"/>
  <c r="X10" i="29"/>
  <c r="W10" i="29"/>
  <c r="N10" i="29"/>
  <c r="O10" i="29" s="1"/>
  <c r="L10" i="29"/>
  <c r="H10" i="29"/>
  <c r="J10" i="29" s="1"/>
  <c r="Z9" i="29"/>
  <c r="W9" i="29"/>
  <c r="H9" i="29"/>
  <c r="J9" i="29" s="1"/>
  <c r="Z8" i="29"/>
  <c r="X8" i="29"/>
  <c r="W8" i="29"/>
  <c r="N8" i="29"/>
  <c r="O8" i="29" s="1"/>
  <c r="L8" i="29"/>
  <c r="H8" i="29"/>
  <c r="J8" i="29" s="1"/>
  <c r="Z7" i="29"/>
  <c r="X7" i="29"/>
  <c r="W7" i="29"/>
  <c r="N7" i="29"/>
  <c r="O7" i="29" s="1"/>
  <c r="L7" i="29"/>
  <c r="H7" i="29"/>
  <c r="J7" i="29" s="1"/>
  <c r="Z6" i="29"/>
  <c r="W6" i="29"/>
  <c r="H6" i="29"/>
  <c r="J6" i="29" s="1"/>
  <c r="Z5" i="29"/>
  <c r="X5" i="29"/>
  <c r="W5" i="29"/>
  <c r="N5" i="29"/>
  <c r="O5" i="29" s="1"/>
  <c r="L5" i="29"/>
  <c r="H5" i="29"/>
  <c r="J5" i="29" s="1"/>
  <c r="X4" i="29"/>
  <c r="W4" i="29"/>
  <c r="N4" i="29"/>
  <c r="O4" i="29" s="1"/>
  <c r="L4" i="29"/>
  <c r="H4" i="29"/>
  <c r="J4" i="29" s="1"/>
  <c r="U42" i="28"/>
  <c r="O21" i="28"/>
  <c r="W12" i="28"/>
  <c r="T45" i="28"/>
  <c r="T44" i="28"/>
  <c r="T43" i="28"/>
  <c r="T42" i="28"/>
  <c r="T46" i="28" s="1"/>
  <c r="T48" i="28" s="1"/>
  <c r="B37" i="28"/>
  <c r="Z35" i="28"/>
  <c r="X35" i="28"/>
  <c r="W35" i="28"/>
  <c r="N35" i="28"/>
  <c r="O35" i="28" s="1"/>
  <c r="L35" i="28"/>
  <c r="H35" i="28"/>
  <c r="J35" i="28" s="1"/>
  <c r="Z34" i="28"/>
  <c r="X34" i="28"/>
  <c r="W34" i="28"/>
  <c r="N34" i="28"/>
  <c r="O34" i="28" s="1"/>
  <c r="L34" i="28"/>
  <c r="H34" i="28"/>
  <c r="J34" i="28" s="1"/>
  <c r="Z33" i="28"/>
  <c r="X33" i="28"/>
  <c r="W33" i="28"/>
  <c r="N33" i="28"/>
  <c r="O33" i="28" s="1"/>
  <c r="L33" i="28"/>
  <c r="H33" i="28"/>
  <c r="J33" i="28" s="1"/>
  <c r="Z32" i="28"/>
  <c r="X32" i="28"/>
  <c r="W32" i="28"/>
  <c r="N32" i="28"/>
  <c r="O32" i="28" s="1"/>
  <c r="L32" i="28"/>
  <c r="H32" i="28"/>
  <c r="J32" i="28" s="1"/>
  <c r="Z31" i="28"/>
  <c r="X31" i="28"/>
  <c r="W31" i="28"/>
  <c r="N31" i="28"/>
  <c r="O31" i="28" s="1"/>
  <c r="L31" i="28"/>
  <c r="H31" i="28"/>
  <c r="J31" i="28" s="1"/>
  <c r="Z30" i="28"/>
  <c r="X30" i="28"/>
  <c r="W30" i="28"/>
  <c r="N30" i="28"/>
  <c r="O30" i="28" s="1"/>
  <c r="L30" i="28"/>
  <c r="H30" i="28"/>
  <c r="J30" i="28" s="1"/>
  <c r="Z29" i="28"/>
  <c r="X29" i="28"/>
  <c r="W29" i="28"/>
  <c r="N29" i="28"/>
  <c r="O29" i="28" s="1"/>
  <c r="L29" i="28"/>
  <c r="H29" i="28"/>
  <c r="J29" i="28" s="1"/>
  <c r="Z28" i="28"/>
  <c r="X28" i="28"/>
  <c r="W28" i="28"/>
  <c r="N28" i="28"/>
  <c r="O28" i="28" s="1"/>
  <c r="L28" i="28"/>
  <c r="H28" i="28"/>
  <c r="J28" i="28" s="1"/>
  <c r="Z27" i="28"/>
  <c r="Z36" i="28" s="1"/>
  <c r="X45" i="28" s="1"/>
  <c r="X27" i="28"/>
  <c r="X36" i="28" s="1"/>
  <c r="V45" i="28" s="1"/>
  <c r="W27" i="28"/>
  <c r="W36" i="28" s="1"/>
  <c r="U45" i="28" s="1"/>
  <c r="N27" i="28"/>
  <c r="O27" i="28" s="1"/>
  <c r="L27" i="28"/>
  <c r="H27" i="28"/>
  <c r="J27" i="28" s="1"/>
  <c r="Z25" i="28"/>
  <c r="X25" i="28"/>
  <c r="W25" i="28"/>
  <c r="N25" i="28"/>
  <c r="O25" i="28" s="1"/>
  <c r="L25" i="28"/>
  <c r="H25" i="28"/>
  <c r="J25" i="28" s="1"/>
  <c r="Z24" i="28"/>
  <c r="X24" i="28"/>
  <c r="W24" i="28"/>
  <c r="N24" i="28"/>
  <c r="O24" i="28" s="1"/>
  <c r="L24" i="28"/>
  <c r="H24" i="28"/>
  <c r="J24" i="28" s="1"/>
  <c r="Z23" i="28"/>
  <c r="X23" i="28"/>
  <c r="W23" i="28"/>
  <c r="N23" i="28"/>
  <c r="O23" i="28" s="1"/>
  <c r="L23" i="28"/>
  <c r="H23" i="28"/>
  <c r="J23" i="28" s="1"/>
  <c r="Z22" i="28"/>
  <c r="Z26" i="28" s="1"/>
  <c r="X44" i="28" s="1"/>
  <c r="W22" i="28"/>
  <c r="W26" i="28" s="1"/>
  <c r="U44" i="28" s="1"/>
  <c r="H22" i="28"/>
  <c r="J22" i="28" s="1"/>
  <c r="Z20" i="28"/>
  <c r="W20" i="28"/>
  <c r="H20" i="28"/>
  <c r="J20" i="28" s="1"/>
  <c r="Z19" i="28"/>
  <c r="X19" i="28"/>
  <c r="W19" i="28"/>
  <c r="N19" i="28"/>
  <c r="O19" i="28" s="1"/>
  <c r="L19" i="28"/>
  <c r="H19" i="28"/>
  <c r="J19" i="28" s="1"/>
  <c r="Z18" i="28"/>
  <c r="W18" i="28"/>
  <c r="L18" i="28"/>
  <c r="H18" i="28"/>
  <c r="J18" i="28" s="1"/>
  <c r="Z17" i="28"/>
  <c r="X17" i="28"/>
  <c r="W17" i="28"/>
  <c r="N17" i="28"/>
  <c r="O17" i="28" s="1"/>
  <c r="L17" i="28"/>
  <c r="H17" i="28"/>
  <c r="J17" i="28" s="1"/>
  <c r="Z16" i="28"/>
  <c r="X16" i="28"/>
  <c r="W16" i="28"/>
  <c r="N16" i="28"/>
  <c r="O16" i="28" s="1"/>
  <c r="L16" i="28"/>
  <c r="H16" i="28"/>
  <c r="J16" i="28" s="1"/>
  <c r="Z15" i="28"/>
  <c r="W15" i="28"/>
  <c r="H15" i="28"/>
  <c r="J15" i="28" s="1"/>
  <c r="Z14" i="28"/>
  <c r="W14" i="28"/>
  <c r="H14" i="28"/>
  <c r="J14" i="28" s="1"/>
  <c r="Z13" i="28"/>
  <c r="W13" i="28"/>
  <c r="H13" i="28"/>
  <c r="J13" i="28" s="1"/>
  <c r="Z12" i="28"/>
  <c r="Z21" i="28" s="1"/>
  <c r="X43" i="28" s="1"/>
  <c r="H12" i="28"/>
  <c r="Z10" i="28"/>
  <c r="X10" i="28"/>
  <c r="W10" i="28"/>
  <c r="N10" i="28"/>
  <c r="O10" i="28" s="1"/>
  <c r="L10" i="28"/>
  <c r="H10" i="28"/>
  <c r="J10" i="28" s="1"/>
  <c r="Z9" i="28"/>
  <c r="X9" i="28"/>
  <c r="W9" i="28"/>
  <c r="N9" i="28"/>
  <c r="O9" i="28" s="1"/>
  <c r="L9" i="28"/>
  <c r="H9" i="28"/>
  <c r="J9" i="28" s="1"/>
  <c r="Z8" i="28"/>
  <c r="X8" i="28"/>
  <c r="W8" i="28"/>
  <c r="N8" i="28"/>
  <c r="O8" i="28" s="1"/>
  <c r="L8" i="28"/>
  <c r="H8" i="28"/>
  <c r="J8" i="28" s="1"/>
  <c r="Z7" i="28"/>
  <c r="X7" i="28"/>
  <c r="W7" i="28"/>
  <c r="N7" i="28"/>
  <c r="O7" i="28" s="1"/>
  <c r="L7" i="28"/>
  <c r="H7" i="28"/>
  <c r="J7" i="28" s="1"/>
  <c r="Z6" i="28"/>
  <c r="W6" i="28"/>
  <c r="H6" i="28"/>
  <c r="J6" i="28" s="1"/>
  <c r="Z5" i="28"/>
  <c r="X5" i="28"/>
  <c r="W5" i="28"/>
  <c r="N5" i="28"/>
  <c r="O5" i="28" s="1"/>
  <c r="L5" i="28"/>
  <c r="H5" i="28"/>
  <c r="J5" i="28" s="1"/>
  <c r="Z4" i="28"/>
  <c r="X4" i="28"/>
  <c r="W4" i="28"/>
  <c r="N4" i="28"/>
  <c r="O4" i="28" s="1"/>
  <c r="L4" i="28"/>
  <c r="H4" i="28"/>
  <c r="J4" i="28" s="1"/>
  <c r="K22" i="21"/>
  <c r="K20" i="21"/>
  <c r="K18" i="21"/>
  <c r="K15" i="21"/>
  <c r="K14" i="21"/>
  <c r="K13" i="21"/>
  <c r="K12" i="21"/>
  <c r="K6" i="21"/>
  <c r="T45" i="27"/>
  <c r="T44" i="27"/>
  <c r="T43" i="27"/>
  <c r="T42" i="27"/>
  <c r="T46" i="27" s="1"/>
  <c r="T48" i="27" s="1"/>
  <c r="B37" i="27"/>
  <c r="Z35" i="27"/>
  <c r="X35" i="27"/>
  <c r="W35" i="27"/>
  <c r="N35" i="27"/>
  <c r="O35" i="27" s="1"/>
  <c r="L35" i="27"/>
  <c r="H35" i="27"/>
  <c r="J35" i="27" s="1"/>
  <c r="Z34" i="27"/>
  <c r="X34" i="27"/>
  <c r="W34" i="27"/>
  <c r="N34" i="27"/>
  <c r="O34" i="27" s="1"/>
  <c r="L34" i="27"/>
  <c r="J34" i="27"/>
  <c r="H34" i="27"/>
  <c r="Z33" i="27"/>
  <c r="X33" i="27"/>
  <c r="W33" i="27"/>
  <c r="O33" i="27"/>
  <c r="N33" i="27"/>
  <c r="L33" i="27"/>
  <c r="H33" i="27"/>
  <c r="J33" i="27" s="1"/>
  <c r="Z32" i="27"/>
  <c r="X32" i="27"/>
  <c r="W32" i="27"/>
  <c r="N32" i="27"/>
  <c r="O32" i="27" s="1"/>
  <c r="L32" i="27"/>
  <c r="H32" i="27"/>
  <c r="J32" i="27" s="1"/>
  <c r="Z31" i="27"/>
  <c r="X31" i="27"/>
  <c r="W31" i="27"/>
  <c r="O31" i="27"/>
  <c r="N31" i="27"/>
  <c r="L31" i="27"/>
  <c r="H31" i="27"/>
  <c r="J31" i="27" s="1"/>
  <c r="Z30" i="27"/>
  <c r="X30" i="27"/>
  <c r="W30" i="27"/>
  <c r="N30" i="27"/>
  <c r="O30" i="27" s="1"/>
  <c r="L30" i="27"/>
  <c r="H30" i="27"/>
  <c r="J30" i="27" s="1"/>
  <c r="Z29" i="27"/>
  <c r="X29" i="27"/>
  <c r="W29" i="27"/>
  <c r="N29" i="27"/>
  <c r="O29" i="27" s="1"/>
  <c r="L29" i="27"/>
  <c r="H29" i="27"/>
  <c r="J29" i="27" s="1"/>
  <c r="Z28" i="27"/>
  <c r="X28" i="27"/>
  <c r="W28" i="27"/>
  <c r="O28" i="27"/>
  <c r="N28" i="27"/>
  <c r="L28" i="27"/>
  <c r="H28" i="27"/>
  <c r="J28" i="27" s="1"/>
  <c r="Z27" i="27"/>
  <c r="Z36" i="27" s="1"/>
  <c r="X45" i="27" s="1"/>
  <c r="X27" i="27"/>
  <c r="X36" i="27" s="1"/>
  <c r="V45" i="27" s="1"/>
  <c r="W27" i="27"/>
  <c r="W36" i="27" s="1"/>
  <c r="U45" i="27" s="1"/>
  <c r="N27" i="27"/>
  <c r="O27" i="27" s="1"/>
  <c r="L27" i="27"/>
  <c r="H27" i="27"/>
  <c r="J27" i="27" s="1"/>
  <c r="Z25" i="27"/>
  <c r="Z26" i="27" s="1"/>
  <c r="X44" i="27" s="1"/>
  <c r="Y25" i="27"/>
  <c r="X25" i="27"/>
  <c r="W25" i="27"/>
  <c r="W26" i="27" s="1"/>
  <c r="U44" i="27" s="1"/>
  <c r="P25" i="27"/>
  <c r="R25" i="27" s="1"/>
  <c r="O25" i="27"/>
  <c r="N25" i="27"/>
  <c r="L25" i="27"/>
  <c r="H25" i="27"/>
  <c r="J25" i="27" s="1"/>
  <c r="Z24" i="27"/>
  <c r="X24" i="27"/>
  <c r="W24" i="27"/>
  <c r="N24" i="27"/>
  <c r="O24" i="27" s="1"/>
  <c r="L24" i="27"/>
  <c r="H24" i="27"/>
  <c r="J24" i="27" s="1"/>
  <c r="Z23" i="27"/>
  <c r="X23" i="27"/>
  <c r="W23" i="27"/>
  <c r="N23" i="27"/>
  <c r="O23" i="27" s="1"/>
  <c r="L23" i="27"/>
  <c r="H23" i="27"/>
  <c r="J23" i="27" s="1"/>
  <c r="Z22" i="27"/>
  <c r="W22" i="27"/>
  <c r="K22" i="27"/>
  <c r="H22" i="27"/>
  <c r="J22" i="27" s="1"/>
  <c r="Z20" i="27"/>
  <c r="X20" i="27"/>
  <c r="W20" i="27"/>
  <c r="O20" i="27"/>
  <c r="N20" i="27"/>
  <c r="L20" i="27"/>
  <c r="H20" i="27"/>
  <c r="J20" i="27" s="1"/>
  <c r="Z19" i="27"/>
  <c r="X19" i="27"/>
  <c r="W19" i="27"/>
  <c r="N19" i="27"/>
  <c r="O19" i="27" s="1"/>
  <c r="L19" i="27"/>
  <c r="H19" i="27"/>
  <c r="J19" i="27" s="1"/>
  <c r="Z18" i="27"/>
  <c r="X18" i="27"/>
  <c r="W18" i="27"/>
  <c r="N18" i="27"/>
  <c r="O18" i="27" s="1"/>
  <c r="L18" i="27"/>
  <c r="H18" i="27"/>
  <c r="J18" i="27" s="1"/>
  <c r="Z17" i="27"/>
  <c r="X17" i="27"/>
  <c r="W17" i="27"/>
  <c r="N17" i="27"/>
  <c r="O17" i="27" s="1"/>
  <c r="L17" i="27"/>
  <c r="H17" i="27"/>
  <c r="J17" i="27" s="1"/>
  <c r="Z16" i="27"/>
  <c r="X16" i="27"/>
  <c r="W16" i="27"/>
  <c r="O16" i="27"/>
  <c r="N16" i="27"/>
  <c r="L16" i="27"/>
  <c r="H16" i="27"/>
  <c r="J16" i="27" s="1"/>
  <c r="Z15" i="27"/>
  <c r="X15" i="27"/>
  <c r="W15" i="27"/>
  <c r="N15" i="27"/>
  <c r="O15" i="27" s="1"/>
  <c r="L15" i="27"/>
  <c r="H15" i="27"/>
  <c r="J15" i="27" s="1"/>
  <c r="Z14" i="27"/>
  <c r="X14" i="27"/>
  <c r="W14" i="27"/>
  <c r="P14" i="27"/>
  <c r="R14" i="27" s="1"/>
  <c r="N14" i="27"/>
  <c r="O14" i="27" s="1"/>
  <c r="L14" i="27"/>
  <c r="Y14" i="27" s="1"/>
  <c r="H14" i="27"/>
  <c r="J14" i="27" s="1"/>
  <c r="Z13" i="27"/>
  <c r="X13" i="27"/>
  <c r="W13" i="27"/>
  <c r="N13" i="27"/>
  <c r="O13" i="27" s="1"/>
  <c r="L13" i="27"/>
  <c r="J13" i="27"/>
  <c r="H13" i="27"/>
  <c r="Z12" i="27"/>
  <c r="Z21" i="27" s="1"/>
  <c r="X43" i="27" s="1"/>
  <c r="X12" i="27"/>
  <c r="X21" i="27" s="1"/>
  <c r="V43" i="27" s="1"/>
  <c r="W12" i="27"/>
  <c r="W21" i="27" s="1"/>
  <c r="U43" i="27" s="1"/>
  <c r="N12" i="27"/>
  <c r="O12" i="27" s="1"/>
  <c r="L12" i="27"/>
  <c r="H12" i="27"/>
  <c r="J12" i="27" s="1"/>
  <c r="Z11" i="27"/>
  <c r="Z10" i="27"/>
  <c r="Y10" i="27"/>
  <c r="X10" i="27"/>
  <c r="W10" i="27"/>
  <c r="W11" i="27" s="1"/>
  <c r="P10" i="27"/>
  <c r="R10" i="27" s="1"/>
  <c r="N10" i="27"/>
  <c r="O10" i="27" s="1"/>
  <c r="L10" i="27"/>
  <c r="H10" i="27"/>
  <c r="J10" i="27" s="1"/>
  <c r="Z9" i="27"/>
  <c r="X9" i="27"/>
  <c r="W9" i="27"/>
  <c r="N9" i="27"/>
  <c r="O9" i="27" s="1"/>
  <c r="L9" i="27"/>
  <c r="H9" i="27"/>
  <c r="J9" i="27" s="1"/>
  <c r="Z8" i="27"/>
  <c r="X8" i="27"/>
  <c r="W8" i="27"/>
  <c r="N8" i="27"/>
  <c r="O8" i="27" s="1"/>
  <c r="L8" i="27"/>
  <c r="H8" i="27"/>
  <c r="J8" i="27" s="1"/>
  <c r="Z7" i="27"/>
  <c r="X7" i="27"/>
  <c r="W7" i="27"/>
  <c r="N7" i="27"/>
  <c r="O7" i="27" s="1"/>
  <c r="L7" i="27"/>
  <c r="H7" i="27"/>
  <c r="J7" i="27" s="1"/>
  <c r="Z6" i="27"/>
  <c r="W6" i="27"/>
  <c r="K6" i="27"/>
  <c r="H6" i="27"/>
  <c r="J6" i="27" s="1"/>
  <c r="Z5" i="27"/>
  <c r="X5" i="27"/>
  <c r="W5" i="27"/>
  <c r="N5" i="27"/>
  <c r="O5" i="27" s="1"/>
  <c r="L5" i="27"/>
  <c r="H5" i="27"/>
  <c r="J5" i="27" s="1"/>
  <c r="Z4" i="27"/>
  <c r="W4" i="27"/>
  <c r="K4" i="27"/>
  <c r="H4" i="27"/>
  <c r="J4" i="27" s="1"/>
  <c r="T46" i="26"/>
  <c r="T48" i="26" s="1"/>
  <c r="T45" i="26"/>
  <c r="T44" i="26"/>
  <c r="T43" i="26"/>
  <c r="T42" i="26"/>
  <c r="B37" i="26"/>
  <c r="Z36" i="26"/>
  <c r="X45" i="26" s="1"/>
  <c r="Z35" i="26"/>
  <c r="X35" i="26"/>
  <c r="W35" i="26"/>
  <c r="N35" i="26"/>
  <c r="O35" i="26" s="1"/>
  <c r="L35" i="26"/>
  <c r="H35" i="26"/>
  <c r="J35" i="26" s="1"/>
  <c r="Z34" i="26"/>
  <c r="X34" i="26"/>
  <c r="W34" i="26"/>
  <c r="N34" i="26"/>
  <c r="O34" i="26" s="1"/>
  <c r="L34" i="26"/>
  <c r="H34" i="26"/>
  <c r="J34" i="26" s="1"/>
  <c r="Z33" i="26"/>
  <c r="X33" i="26"/>
  <c r="W33" i="26"/>
  <c r="N33" i="26"/>
  <c r="O33" i="26" s="1"/>
  <c r="L33" i="26"/>
  <c r="H33" i="26"/>
  <c r="J33" i="26" s="1"/>
  <c r="Z32" i="26"/>
  <c r="X32" i="26"/>
  <c r="W32" i="26"/>
  <c r="N32" i="26"/>
  <c r="O32" i="26" s="1"/>
  <c r="L32" i="26"/>
  <c r="H32" i="26"/>
  <c r="J32" i="26" s="1"/>
  <c r="Z31" i="26"/>
  <c r="X31" i="26"/>
  <c r="W31" i="26"/>
  <c r="N31" i="26"/>
  <c r="O31" i="26" s="1"/>
  <c r="L31" i="26"/>
  <c r="H31" i="26"/>
  <c r="J31" i="26" s="1"/>
  <c r="Z30" i="26"/>
  <c r="X30" i="26"/>
  <c r="W30" i="26"/>
  <c r="N30" i="26"/>
  <c r="O30" i="26" s="1"/>
  <c r="L30" i="26"/>
  <c r="H30" i="26"/>
  <c r="J30" i="26" s="1"/>
  <c r="Z29" i="26"/>
  <c r="X29" i="26"/>
  <c r="W29" i="26"/>
  <c r="N29" i="26"/>
  <c r="O29" i="26" s="1"/>
  <c r="L29" i="26"/>
  <c r="H29" i="26"/>
  <c r="J29" i="26" s="1"/>
  <c r="Z28" i="26"/>
  <c r="X28" i="26"/>
  <c r="W28" i="26"/>
  <c r="N28" i="26"/>
  <c r="O28" i="26" s="1"/>
  <c r="L28" i="26"/>
  <c r="H28" i="26"/>
  <c r="J28" i="26" s="1"/>
  <c r="AA27" i="26"/>
  <c r="Z27" i="26"/>
  <c r="W27" i="26"/>
  <c r="W36" i="26" s="1"/>
  <c r="U45" i="26" s="1"/>
  <c r="U27" i="26"/>
  <c r="T27" i="26"/>
  <c r="S27" i="26"/>
  <c r="K27" i="26"/>
  <c r="H27" i="26"/>
  <c r="J27" i="26" s="1"/>
  <c r="Z25" i="26"/>
  <c r="X25" i="26"/>
  <c r="W25" i="26"/>
  <c r="N25" i="26"/>
  <c r="O25" i="26" s="1"/>
  <c r="L25" i="26"/>
  <c r="H25" i="26"/>
  <c r="J25" i="26" s="1"/>
  <c r="Z24" i="26"/>
  <c r="X24" i="26"/>
  <c r="W24" i="26"/>
  <c r="N24" i="26"/>
  <c r="O24" i="26" s="1"/>
  <c r="L24" i="26"/>
  <c r="H24" i="26"/>
  <c r="J24" i="26" s="1"/>
  <c r="Z23" i="26"/>
  <c r="X23" i="26"/>
  <c r="W23" i="26"/>
  <c r="N23" i="26"/>
  <c r="O23" i="26" s="1"/>
  <c r="L23" i="26"/>
  <c r="H23" i="26"/>
  <c r="J23" i="26" s="1"/>
  <c r="Z22" i="26"/>
  <c r="Z26" i="26" s="1"/>
  <c r="X44" i="26" s="1"/>
  <c r="X22" i="26"/>
  <c r="X26" i="26" s="1"/>
  <c r="V44" i="26" s="1"/>
  <c r="W22" i="26"/>
  <c r="W26" i="26" s="1"/>
  <c r="U44" i="26" s="1"/>
  <c r="N22" i="26"/>
  <c r="O22" i="26" s="1"/>
  <c r="L22" i="26"/>
  <c r="H22" i="26"/>
  <c r="J22" i="26" s="1"/>
  <c r="Z20" i="26"/>
  <c r="W20" i="26"/>
  <c r="K20" i="26"/>
  <c r="J20" i="26"/>
  <c r="H20" i="26"/>
  <c r="Z19" i="26"/>
  <c r="X19" i="26"/>
  <c r="W19" i="26"/>
  <c r="N19" i="26"/>
  <c r="O19" i="26" s="1"/>
  <c r="L19" i="26"/>
  <c r="H19" i="26"/>
  <c r="J19" i="26" s="1"/>
  <c r="Z18" i="26"/>
  <c r="X18" i="26"/>
  <c r="W18" i="26"/>
  <c r="N18" i="26"/>
  <c r="O18" i="26" s="1"/>
  <c r="L18" i="26"/>
  <c r="H18" i="26"/>
  <c r="J18" i="26" s="1"/>
  <c r="Z17" i="26"/>
  <c r="X17" i="26"/>
  <c r="W17" i="26"/>
  <c r="N17" i="26"/>
  <c r="O17" i="26" s="1"/>
  <c r="L17" i="26"/>
  <c r="H17" i="26"/>
  <c r="J17" i="26" s="1"/>
  <c r="Z16" i="26"/>
  <c r="X16" i="26"/>
  <c r="W16" i="26"/>
  <c r="O16" i="26"/>
  <c r="N16" i="26"/>
  <c r="L16" i="26"/>
  <c r="H16" i="26"/>
  <c r="J16" i="26" s="1"/>
  <c r="Z15" i="26"/>
  <c r="X15" i="26"/>
  <c r="W15" i="26"/>
  <c r="N15" i="26"/>
  <c r="O15" i="26" s="1"/>
  <c r="L15" i="26"/>
  <c r="H15" i="26"/>
  <c r="J15" i="26" s="1"/>
  <c r="Z14" i="26"/>
  <c r="X14" i="26"/>
  <c r="W14" i="26"/>
  <c r="N14" i="26"/>
  <c r="O14" i="26" s="1"/>
  <c r="L14" i="26"/>
  <c r="H14" i="26"/>
  <c r="J14" i="26" s="1"/>
  <c r="Z13" i="26"/>
  <c r="X13" i="26"/>
  <c r="W13" i="26"/>
  <c r="N13" i="26"/>
  <c r="O13" i="26" s="1"/>
  <c r="L13" i="26"/>
  <c r="H13" i="26"/>
  <c r="J13" i="26" s="1"/>
  <c r="Z12" i="26"/>
  <c r="Z21" i="26" s="1"/>
  <c r="X43" i="26" s="1"/>
  <c r="X12" i="26"/>
  <c r="W12" i="26"/>
  <c r="W21" i="26" s="1"/>
  <c r="U43" i="26" s="1"/>
  <c r="K12" i="26"/>
  <c r="H12" i="26"/>
  <c r="J12" i="26" s="1"/>
  <c r="Z10" i="26"/>
  <c r="X10" i="26"/>
  <c r="W10" i="26"/>
  <c r="N10" i="26"/>
  <c r="O10" i="26" s="1"/>
  <c r="L10" i="26"/>
  <c r="H10" i="26"/>
  <c r="J10" i="26" s="1"/>
  <c r="Z9" i="26"/>
  <c r="X9" i="26"/>
  <c r="W9" i="26"/>
  <c r="N9" i="26"/>
  <c r="O9" i="26" s="1"/>
  <c r="L9" i="26"/>
  <c r="H9" i="26"/>
  <c r="J9" i="26" s="1"/>
  <c r="Z8" i="26"/>
  <c r="X8" i="26"/>
  <c r="W8" i="26"/>
  <c r="N8" i="26"/>
  <c r="O8" i="26" s="1"/>
  <c r="L8" i="26"/>
  <c r="H8" i="26"/>
  <c r="J8" i="26" s="1"/>
  <c r="Z7" i="26"/>
  <c r="X7" i="26"/>
  <c r="W7" i="26"/>
  <c r="N7" i="26"/>
  <c r="O7" i="26" s="1"/>
  <c r="L7" i="26"/>
  <c r="J7" i="26"/>
  <c r="H7" i="26"/>
  <c r="Z6" i="26"/>
  <c r="X6" i="26"/>
  <c r="W6" i="26"/>
  <c r="N6" i="26"/>
  <c r="O6" i="26" s="1"/>
  <c r="L6" i="26"/>
  <c r="J6" i="26"/>
  <c r="H6" i="26"/>
  <c r="Z5" i="26"/>
  <c r="X5" i="26"/>
  <c r="W5" i="26"/>
  <c r="N5" i="26"/>
  <c r="O5" i="26" s="1"/>
  <c r="L5" i="26"/>
  <c r="H5" i="26"/>
  <c r="J5" i="26" s="1"/>
  <c r="Z4" i="26"/>
  <c r="Z11" i="26" s="1"/>
  <c r="W4" i="26"/>
  <c r="W11" i="26" s="1"/>
  <c r="K4" i="26"/>
  <c r="H4" i="26"/>
  <c r="J4" i="26" s="1"/>
  <c r="T46" i="25"/>
  <c r="T48" i="25" s="1"/>
  <c r="T45" i="25"/>
  <c r="T44" i="25"/>
  <c r="T43" i="25"/>
  <c r="T42" i="25"/>
  <c r="B37" i="25"/>
  <c r="Z36" i="25"/>
  <c r="X45" i="25" s="1"/>
  <c r="W36" i="25"/>
  <c r="U45" i="25" s="1"/>
  <c r="Z35" i="25"/>
  <c r="W35" i="25"/>
  <c r="K35" i="25"/>
  <c r="H35" i="25"/>
  <c r="J35" i="25" s="1"/>
  <c r="Z34" i="25"/>
  <c r="X34" i="25"/>
  <c r="W34" i="25"/>
  <c r="N34" i="25"/>
  <c r="O34" i="25" s="1"/>
  <c r="L34" i="25"/>
  <c r="H34" i="25"/>
  <c r="J34" i="25" s="1"/>
  <c r="Z33" i="25"/>
  <c r="X33" i="25"/>
  <c r="W33" i="25"/>
  <c r="N33" i="25"/>
  <c r="O33" i="25" s="1"/>
  <c r="L33" i="25"/>
  <c r="H33" i="25"/>
  <c r="J33" i="25" s="1"/>
  <c r="Z32" i="25"/>
  <c r="X32" i="25"/>
  <c r="W32" i="25"/>
  <c r="N32" i="25"/>
  <c r="O32" i="25" s="1"/>
  <c r="L32" i="25"/>
  <c r="H32" i="25"/>
  <c r="J32" i="25" s="1"/>
  <c r="Z31" i="25"/>
  <c r="X31" i="25"/>
  <c r="W31" i="25"/>
  <c r="N31" i="25"/>
  <c r="O31" i="25" s="1"/>
  <c r="L31" i="25"/>
  <c r="H31" i="25"/>
  <c r="J31" i="25" s="1"/>
  <c r="Z30" i="25"/>
  <c r="X30" i="25"/>
  <c r="W30" i="25"/>
  <c r="N30" i="25"/>
  <c r="O30" i="25" s="1"/>
  <c r="L30" i="25"/>
  <c r="H30" i="25"/>
  <c r="J30" i="25" s="1"/>
  <c r="Z29" i="25"/>
  <c r="X29" i="25"/>
  <c r="W29" i="25"/>
  <c r="N29" i="25"/>
  <c r="O29" i="25" s="1"/>
  <c r="L29" i="25"/>
  <c r="H29" i="25"/>
  <c r="J29" i="25" s="1"/>
  <c r="Z28" i="25"/>
  <c r="X28" i="25"/>
  <c r="W28" i="25"/>
  <c r="N28" i="25"/>
  <c r="O28" i="25" s="1"/>
  <c r="L28" i="25"/>
  <c r="H28" i="25"/>
  <c r="J28" i="25" s="1"/>
  <c r="Z27" i="25"/>
  <c r="X27" i="25"/>
  <c r="W27" i="25"/>
  <c r="K27" i="25"/>
  <c r="H27" i="25"/>
  <c r="J27" i="25" s="1"/>
  <c r="Z25" i="25"/>
  <c r="X25" i="25"/>
  <c r="W25" i="25"/>
  <c r="N25" i="25"/>
  <c r="O25" i="25" s="1"/>
  <c r="L25" i="25"/>
  <c r="H25" i="25"/>
  <c r="J25" i="25" s="1"/>
  <c r="Z24" i="25"/>
  <c r="W24" i="25"/>
  <c r="K24" i="25"/>
  <c r="J24" i="25"/>
  <c r="H24" i="25"/>
  <c r="Z23" i="25"/>
  <c r="X23" i="25"/>
  <c r="W23" i="25"/>
  <c r="N23" i="25"/>
  <c r="O23" i="25" s="1"/>
  <c r="L23" i="25"/>
  <c r="H23" i="25"/>
  <c r="J23" i="25" s="1"/>
  <c r="Z22" i="25"/>
  <c r="Z26" i="25" s="1"/>
  <c r="X44" i="25" s="1"/>
  <c r="X22" i="25"/>
  <c r="W22" i="25"/>
  <c r="W26" i="25" s="1"/>
  <c r="U44" i="25" s="1"/>
  <c r="N22" i="25"/>
  <c r="O22" i="25" s="1"/>
  <c r="L22" i="25"/>
  <c r="H22" i="25"/>
  <c r="J22" i="25" s="1"/>
  <c r="Z20" i="25"/>
  <c r="W20" i="25"/>
  <c r="K20" i="25"/>
  <c r="H20" i="25"/>
  <c r="J20" i="25" s="1"/>
  <c r="Z19" i="25"/>
  <c r="X19" i="25"/>
  <c r="W19" i="25"/>
  <c r="N19" i="25"/>
  <c r="O19" i="25" s="1"/>
  <c r="L19" i="25"/>
  <c r="H19" i="25"/>
  <c r="J19" i="25" s="1"/>
  <c r="Z18" i="25"/>
  <c r="X18" i="25"/>
  <c r="W18" i="25"/>
  <c r="N18" i="25"/>
  <c r="O18" i="25" s="1"/>
  <c r="L18" i="25"/>
  <c r="H18" i="25"/>
  <c r="J18" i="25" s="1"/>
  <c r="Z17" i="25"/>
  <c r="X17" i="25"/>
  <c r="W17" i="25"/>
  <c r="N17" i="25"/>
  <c r="O17" i="25" s="1"/>
  <c r="L17" i="25"/>
  <c r="H17" i="25"/>
  <c r="J17" i="25" s="1"/>
  <c r="Z16" i="25"/>
  <c r="X16" i="25"/>
  <c r="W16" i="25"/>
  <c r="N16" i="25"/>
  <c r="O16" i="25" s="1"/>
  <c r="L16" i="25"/>
  <c r="H16" i="25"/>
  <c r="J16" i="25" s="1"/>
  <c r="Z15" i="25"/>
  <c r="X15" i="25"/>
  <c r="W15" i="25"/>
  <c r="N15" i="25"/>
  <c r="O15" i="25" s="1"/>
  <c r="L15" i="25"/>
  <c r="H15" i="25"/>
  <c r="J15" i="25" s="1"/>
  <c r="Z14" i="25"/>
  <c r="Z21" i="25" s="1"/>
  <c r="X43" i="25" s="1"/>
  <c r="Y14" i="25"/>
  <c r="X14" i="25"/>
  <c r="W14" i="25"/>
  <c r="W21" i="25" s="1"/>
  <c r="U43" i="25" s="1"/>
  <c r="P14" i="25"/>
  <c r="R14" i="25" s="1"/>
  <c r="N14" i="25"/>
  <c r="O14" i="25" s="1"/>
  <c r="L14" i="25"/>
  <c r="H14" i="25"/>
  <c r="J14" i="25" s="1"/>
  <c r="Z13" i="25"/>
  <c r="X13" i="25"/>
  <c r="W13" i="25"/>
  <c r="N13" i="25"/>
  <c r="O13" i="25" s="1"/>
  <c r="L13" i="25"/>
  <c r="H13" i="25"/>
  <c r="J13" i="25" s="1"/>
  <c r="Z12" i="25"/>
  <c r="W12" i="25"/>
  <c r="K12" i="25"/>
  <c r="H12" i="25"/>
  <c r="J12" i="25" s="1"/>
  <c r="Z10" i="25"/>
  <c r="Y10" i="25"/>
  <c r="X10" i="25"/>
  <c r="W10" i="25"/>
  <c r="N10" i="25"/>
  <c r="O10" i="25" s="1"/>
  <c r="L10" i="25"/>
  <c r="P10" i="25" s="1"/>
  <c r="R10" i="25" s="1"/>
  <c r="H10" i="25"/>
  <c r="J10" i="25" s="1"/>
  <c r="Z9" i="25"/>
  <c r="W9" i="25"/>
  <c r="K9" i="25"/>
  <c r="J9" i="25"/>
  <c r="H9" i="25"/>
  <c r="Z8" i="25"/>
  <c r="X8" i="25"/>
  <c r="W8" i="25"/>
  <c r="N8" i="25"/>
  <c r="O8" i="25" s="1"/>
  <c r="L8" i="25"/>
  <c r="H8" i="25"/>
  <c r="J8" i="25" s="1"/>
  <c r="Z7" i="25"/>
  <c r="X7" i="25"/>
  <c r="W7" i="25"/>
  <c r="N7" i="25"/>
  <c r="O7" i="25" s="1"/>
  <c r="L7" i="25"/>
  <c r="H7" i="25"/>
  <c r="J7" i="25" s="1"/>
  <c r="Z6" i="25"/>
  <c r="W6" i="25"/>
  <c r="K6" i="25"/>
  <c r="H6" i="25"/>
  <c r="J6" i="25" s="1"/>
  <c r="Z5" i="25"/>
  <c r="X5" i="25"/>
  <c r="W5" i="25"/>
  <c r="N5" i="25"/>
  <c r="O5" i="25" s="1"/>
  <c r="L5" i="25"/>
  <c r="J5" i="25"/>
  <c r="H5" i="25"/>
  <c r="Z4" i="25"/>
  <c r="Z11" i="25" s="1"/>
  <c r="W4" i="25"/>
  <c r="W11" i="25" s="1"/>
  <c r="K4" i="25"/>
  <c r="H4" i="25"/>
  <c r="J4" i="25" s="1"/>
  <c r="T46" i="24"/>
  <c r="T48" i="24" s="1"/>
  <c r="T45" i="24"/>
  <c r="T44" i="24"/>
  <c r="T43" i="24"/>
  <c r="T42" i="24"/>
  <c r="B37" i="24"/>
  <c r="Z35" i="24"/>
  <c r="X35" i="24"/>
  <c r="W35" i="24"/>
  <c r="N35" i="24"/>
  <c r="O35" i="24" s="1"/>
  <c r="L35" i="24"/>
  <c r="H35" i="24"/>
  <c r="J35" i="24" s="1"/>
  <c r="Z34" i="24"/>
  <c r="X34" i="24"/>
  <c r="W34" i="24"/>
  <c r="N34" i="24"/>
  <c r="O34" i="24" s="1"/>
  <c r="L34" i="24"/>
  <c r="H34" i="24"/>
  <c r="J34" i="24" s="1"/>
  <c r="Z33" i="24"/>
  <c r="X33" i="24"/>
  <c r="W33" i="24"/>
  <c r="N33" i="24"/>
  <c r="O33" i="24" s="1"/>
  <c r="L33" i="24"/>
  <c r="H33" i="24"/>
  <c r="J33" i="24" s="1"/>
  <c r="Z32" i="24"/>
  <c r="X32" i="24"/>
  <c r="W32" i="24"/>
  <c r="N32" i="24"/>
  <c r="O32" i="24" s="1"/>
  <c r="L32" i="24"/>
  <c r="H32" i="24"/>
  <c r="J32" i="24" s="1"/>
  <c r="Z31" i="24"/>
  <c r="X31" i="24"/>
  <c r="W31" i="24"/>
  <c r="N31" i="24"/>
  <c r="O31" i="24" s="1"/>
  <c r="L31" i="24"/>
  <c r="H31" i="24"/>
  <c r="J31" i="24" s="1"/>
  <c r="Z30" i="24"/>
  <c r="X30" i="24"/>
  <c r="W30" i="24"/>
  <c r="N30" i="24"/>
  <c r="O30" i="24" s="1"/>
  <c r="L30" i="24"/>
  <c r="H30" i="24"/>
  <c r="J30" i="24" s="1"/>
  <c r="Z29" i="24"/>
  <c r="X29" i="24"/>
  <c r="W29" i="24"/>
  <c r="O29" i="24"/>
  <c r="N29" i="24"/>
  <c r="L29" i="24"/>
  <c r="H29" i="24"/>
  <c r="J29" i="24" s="1"/>
  <c r="Z28" i="24"/>
  <c r="Z36" i="24" s="1"/>
  <c r="X45" i="24" s="1"/>
  <c r="X28" i="24"/>
  <c r="X36" i="24" s="1"/>
  <c r="V45" i="24" s="1"/>
  <c r="W28" i="24"/>
  <c r="W36" i="24" s="1"/>
  <c r="U45" i="24" s="1"/>
  <c r="N28" i="24"/>
  <c r="O28" i="24" s="1"/>
  <c r="L28" i="24"/>
  <c r="H28" i="24"/>
  <c r="J28" i="24" s="1"/>
  <c r="Z27" i="24"/>
  <c r="X27" i="24"/>
  <c r="W27" i="24"/>
  <c r="N27" i="24"/>
  <c r="O27" i="24" s="1"/>
  <c r="L27" i="24"/>
  <c r="H27" i="24"/>
  <c r="J27" i="24" s="1"/>
  <c r="Z25" i="24"/>
  <c r="X25" i="24"/>
  <c r="W25" i="24"/>
  <c r="N25" i="24"/>
  <c r="O25" i="24" s="1"/>
  <c r="L25" i="24"/>
  <c r="H25" i="24"/>
  <c r="J25" i="24" s="1"/>
  <c r="Z24" i="24"/>
  <c r="W24" i="24"/>
  <c r="K24" i="24"/>
  <c r="H24" i="24"/>
  <c r="J24" i="24" s="1"/>
  <c r="Z23" i="24"/>
  <c r="X23" i="24"/>
  <c r="W23" i="24"/>
  <c r="N23" i="24"/>
  <c r="O23" i="24" s="1"/>
  <c r="L23" i="24"/>
  <c r="H23" i="24"/>
  <c r="J23" i="24" s="1"/>
  <c r="Z22" i="24"/>
  <c r="Z26" i="24" s="1"/>
  <c r="X44" i="24" s="1"/>
  <c r="W22" i="24"/>
  <c r="W26" i="24" s="1"/>
  <c r="U44" i="24" s="1"/>
  <c r="K22" i="24"/>
  <c r="J22" i="24"/>
  <c r="H22" i="24"/>
  <c r="Z20" i="24"/>
  <c r="W20" i="24"/>
  <c r="L20" i="24"/>
  <c r="K20" i="24"/>
  <c r="J20" i="24"/>
  <c r="H20" i="24"/>
  <c r="Z19" i="24"/>
  <c r="X19" i="24"/>
  <c r="W19" i="24"/>
  <c r="N19" i="24"/>
  <c r="O19" i="24" s="1"/>
  <c r="L19" i="24"/>
  <c r="H19" i="24"/>
  <c r="J19" i="24" s="1"/>
  <c r="Z18" i="24"/>
  <c r="X18" i="24"/>
  <c r="W18" i="24"/>
  <c r="O18" i="24"/>
  <c r="N18" i="24"/>
  <c r="L18" i="24"/>
  <c r="H18" i="24"/>
  <c r="J18" i="24" s="1"/>
  <c r="Z17" i="24"/>
  <c r="X17" i="24"/>
  <c r="W17" i="24"/>
  <c r="N17" i="24"/>
  <c r="O17" i="24" s="1"/>
  <c r="L17" i="24"/>
  <c r="H17" i="24"/>
  <c r="J17" i="24" s="1"/>
  <c r="Z16" i="24"/>
  <c r="X16" i="24"/>
  <c r="W16" i="24"/>
  <c r="N16" i="24"/>
  <c r="O16" i="24" s="1"/>
  <c r="L16" i="24"/>
  <c r="H16" i="24"/>
  <c r="J16" i="24" s="1"/>
  <c r="Z15" i="24"/>
  <c r="Z21" i="24" s="1"/>
  <c r="X43" i="24" s="1"/>
  <c r="Y15" i="24"/>
  <c r="X15" i="24"/>
  <c r="W15" i="24"/>
  <c r="W21" i="24" s="1"/>
  <c r="U43" i="24" s="1"/>
  <c r="N15" i="24"/>
  <c r="O15" i="24" s="1"/>
  <c r="L15" i="24"/>
  <c r="P15" i="24" s="1"/>
  <c r="R15" i="24" s="1"/>
  <c r="H15" i="24"/>
  <c r="J15" i="24" s="1"/>
  <c r="Z14" i="24"/>
  <c r="X14" i="24"/>
  <c r="W14" i="24"/>
  <c r="N14" i="24"/>
  <c r="O14" i="24" s="1"/>
  <c r="L14" i="24"/>
  <c r="H14" i="24"/>
  <c r="J14" i="24" s="1"/>
  <c r="Z13" i="24"/>
  <c r="X13" i="24"/>
  <c r="W13" i="24"/>
  <c r="N13" i="24"/>
  <c r="O13" i="24" s="1"/>
  <c r="L13" i="24"/>
  <c r="H13" i="24"/>
  <c r="J13" i="24" s="1"/>
  <c r="Z12" i="24"/>
  <c r="W12" i="24"/>
  <c r="K12" i="24"/>
  <c r="H12" i="24"/>
  <c r="J12" i="24" s="1"/>
  <c r="Z10" i="24"/>
  <c r="X10" i="24"/>
  <c r="W10" i="24"/>
  <c r="N10" i="24"/>
  <c r="O10" i="24" s="1"/>
  <c r="L10" i="24"/>
  <c r="J10" i="24"/>
  <c r="H10" i="24"/>
  <c r="Z9" i="24"/>
  <c r="X9" i="24"/>
  <c r="W9" i="24"/>
  <c r="N9" i="24"/>
  <c r="O9" i="24" s="1"/>
  <c r="L9" i="24"/>
  <c r="J9" i="24"/>
  <c r="H9" i="24"/>
  <c r="Z8" i="24"/>
  <c r="X8" i="24"/>
  <c r="W8" i="24"/>
  <c r="N8" i="24"/>
  <c r="O8" i="24" s="1"/>
  <c r="L8" i="24"/>
  <c r="H8" i="24"/>
  <c r="J8" i="24" s="1"/>
  <c r="Z7" i="24"/>
  <c r="X7" i="24"/>
  <c r="W7" i="24"/>
  <c r="N7" i="24"/>
  <c r="O7" i="24" s="1"/>
  <c r="L7" i="24"/>
  <c r="H7" i="24"/>
  <c r="J7" i="24" s="1"/>
  <c r="Z6" i="24"/>
  <c r="W6" i="24"/>
  <c r="K6" i="24"/>
  <c r="H6" i="24"/>
  <c r="J6" i="24" s="1"/>
  <c r="Z5" i="24"/>
  <c r="X5" i="24"/>
  <c r="W5" i="24"/>
  <c r="N5" i="24"/>
  <c r="O5" i="24" s="1"/>
  <c r="L5" i="24"/>
  <c r="H5" i="24"/>
  <c r="J5" i="24" s="1"/>
  <c r="Z4" i="24"/>
  <c r="Z11" i="24" s="1"/>
  <c r="W4" i="24"/>
  <c r="W11" i="24" s="1"/>
  <c r="K4" i="24"/>
  <c r="H4" i="24"/>
  <c r="J4" i="24" s="1"/>
  <c r="G32" i="23"/>
  <c r="F32" i="23"/>
  <c r="E32" i="23"/>
  <c r="D32" i="23"/>
  <c r="C32" i="23"/>
  <c r="G24" i="23"/>
  <c r="F24" i="23"/>
  <c r="E24" i="23"/>
  <c r="D24" i="23"/>
  <c r="C24" i="23"/>
  <c r="G16" i="23"/>
  <c r="F16" i="23"/>
  <c r="E16" i="23"/>
  <c r="D16" i="23"/>
  <c r="C16" i="23"/>
  <c r="G8" i="23"/>
  <c r="F8" i="23"/>
  <c r="E8" i="23"/>
  <c r="D8" i="23"/>
  <c r="C8" i="23"/>
  <c r="H22" i="21"/>
  <c r="J22" i="21" s="1"/>
  <c r="T45" i="22"/>
  <c r="T44" i="22"/>
  <c r="T43" i="22"/>
  <c r="T42" i="22"/>
  <c r="T46" i="22" s="1"/>
  <c r="T48" i="22" s="1"/>
  <c r="B37" i="22"/>
  <c r="Z35" i="22"/>
  <c r="X35" i="22"/>
  <c r="W35" i="22"/>
  <c r="P35" i="22"/>
  <c r="R35" i="22" s="1"/>
  <c r="O35" i="22"/>
  <c r="N35" i="22"/>
  <c r="L35" i="22"/>
  <c r="Y35" i="22" s="1"/>
  <c r="H35" i="22"/>
  <c r="J35" i="22" s="1"/>
  <c r="Z34" i="22"/>
  <c r="X34" i="22"/>
  <c r="W34" i="22"/>
  <c r="N34" i="22"/>
  <c r="O34" i="22" s="1"/>
  <c r="L34" i="22"/>
  <c r="H34" i="22"/>
  <c r="J34" i="22" s="1"/>
  <c r="Z33" i="22"/>
  <c r="X33" i="22"/>
  <c r="W33" i="22"/>
  <c r="O33" i="22"/>
  <c r="N33" i="22"/>
  <c r="L33" i="22"/>
  <c r="H33" i="22"/>
  <c r="J33" i="22" s="1"/>
  <c r="Z32" i="22"/>
  <c r="X32" i="22"/>
  <c r="W32" i="22"/>
  <c r="O32" i="22"/>
  <c r="N32" i="22"/>
  <c r="L32" i="22"/>
  <c r="H32" i="22"/>
  <c r="J32" i="22" s="1"/>
  <c r="Z31" i="22"/>
  <c r="X31" i="22"/>
  <c r="W31" i="22"/>
  <c r="O31" i="22"/>
  <c r="N31" i="22"/>
  <c r="L31" i="22"/>
  <c r="H31" i="22"/>
  <c r="J31" i="22" s="1"/>
  <c r="Z30" i="22"/>
  <c r="X30" i="22"/>
  <c r="W30" i="22"/>
  <c r="N30" i="22"/>
  <c r="O30" i="22" s="1"/>
  <c r="L30" i="22"/>
  <c r="H30" i="22"/>
  <c r="J30" i="22" s="1"/>
  <c r="Z29" i="22"/>
  <c r="Z36" i="22" s="1"/>
  <c r="X45" i="22" s="1"/>
  <c r="X29" i="22"/>
  <c r="X36" i="22" s="1"/>
  <c r="V45" i="22" s="1"/>
  <c r="W29" i="22"/>
  <c r="W36" i="22" s="1"/>
  <c r="U45" i="22" s="1"/>
  <c r="P29" i="22"/>
  <c r="R29" i="22" s="1"/>
  <c r="O29" i="22"/>
  <c r="N29" i="22"/>
  <c r="L29" i="22"/>
  <c r="Y29" i="22" s="1"/>
  <c r="H29" i="22"/>
  <c r="J29" i="22" s="1"/>
  <c r="Z28" i="22"/>
  <c r="X28" i="22"/>
  <c r="W28" i="22"/>
  <c r="N28" i="22"/>
  <c r="O28" i="22" s="1"/>
  <c r="L28" i="22"/>
  <c r="H28" i="22"/>
  <c r="J28" i="22" s="1"/>
  <c r="Z27" i="22"/>
  <c r="X27" i="22"/>
  <c r="W27" i="22"/>
  <c r="N27" i="22"/>
  <c r="O27" i="22" s="1"/>
  <c r="L27" i="22"/>
  <c r="H27" i="22"/>
  <c r="J27" i="22" s="1"/>
  <c r="Z25" i="22"/>
  <c r="X25" i="22"/>
  <c r="W25" i="22"/>
  <c r="N25" i="22"/>
  <c r="O25" i="22" s="1"/>
  <c r="L25" i="22"/>
  <c r="H25" i="22"/>
  <c r="J25" i="22" s="1"/>
  <c r="Z24" i="22"/>
  <c r="X24" i="22"/>
  <c r="W24" i="22"/>
  <c r="O24" i="22"/>
  <c r="N24" i="22"/>
  <c r="L24" i="22"/>
  <c r="H24" i="22"/>
  <c r="J24" i="22" s="1"/>
  <c r="Z23" i="22"/>
  <c r="X23" i="22"/>
  <c r="W23" i="22"/>
  <c r="N23" i="22"/>
  <c r="O23" i="22" s="1"/>
  <c r="L23" i="22"/>
  <c r="J23" i="22"/>
  <c r="H23" i="22"/>
  <c r="Z22" i="22"/>
  <c r="Z26" i="22" s="1"/>
  <c r="X44" i="22" s="1"/>
  <c r="X22" i="22"/>
  <c r="X26" i="22" s="1"/>
  <c r="V44" i="22" s="1"/>
  <c r="W22" i="22"/>
  <c r="W26" i="22" s="1"/>
  <c r="U44" i="22" s="1"/>
  <c r="N22" i="22"/>
  <c r="O22" i="22" s="1"/>
  <c r="L22" i="22"/>
  <c r="H22" i="22"/>
  <c r="J22" i="22" s="1"/>
  <c r="Z20" i="22"/>
  <c r="X20" i="22"/>
  <c r="W20" i="22"/>
  <c r="O20" i="22"/>
  <c r="N20" i="22"/>
  <c r="L20" i="22"/>
  <c r="H20" i="22"/>
  <c r="J20" i="22" s="1"/>
  <c r="Z19" i="22"/>
  <c r="X19" i="22"/>
  <c r="W19" i="22"/>
  <c r="O19" i="22"/>
  <c r="N19" i="22"/>
  <c r="L19" i="22"/>
  <c r="H19" i="22"/>
  <c r="J19" i="22" s="1"/>
  <c r="Z18" i="22"/>
  <c r="X18" i="22"/>
  <c r="W18" i="22"/>
  <c r="O18" i="22"/>
  <c r="N18" i="22"/>
  <c r="L18" i="22"/>
  <c r="J18" i="22"/>
  <c r="H18" i="22"/>
  <c r="Z17" i="22"/>
  <c r="Z21" i="22" s="1"/>
  <c r="X43" i="22" s="1"/>
  <c r="Y17" i="22"/>
  <c r="X17" i="22"/>
  <c r="X21" i="22" s="1"/>
  <c r="V43" i="22" s="1"/>
  <c r="W17" i="22"/>
  <c r="W21" i="22" s="1"/>
  <c r="U43" i="22" s="1"/>
  <c r="N17" i="22"/>
  <c r="O17" i="22" s="1"/>
  <c r="L17" i="22"/>
  <c r="P17" i="22" s="1"/>
  <c r="R17" i="22" s="1"/>
  <c r="H17" i="22"/>
  <c r="J17" i="22" s="1"/>
  <c r="Z16" i="22"/>
  <c r="X16" i="22"/>
  <c r="W16" i="22"/>
  <c r="N16" i="22"/>
  <c r="O16" i="22" s="1"/>
  <c r="L16" i="22"/>
  <c r="H16" i="22"/>
  <c r="J16" i="22" s="1"/>
  <c r="Z15" i="22"/>
  <c r="X15" i="22"/>
  <c r="W15" i="22"/>
  <c r="N15" i="22"/>
  <c r="O15" i="22" s="1"/>
  <c r="L15" i="22"/>
  <c r="H15" i="22"/>
  <c r="J15" i="22" s="1"/>
  <c r="Z14" i="22"/>
  <c r="X14" i="22"/>
  <c r="W14" i="22"/>
  <c r="N14" i="22"/>
  <c r="O14" i="22" s="1"/>
  <c r="L14" i="22"/>
  <c r="H14" i="22"/>
  <c r="J14" i="22" s="1"/>
  <c r="Z13" i="22"/>
  <c r="X13" i="22"/>
  <c r="W13" i="22"/>
  <c r="N13" i="22"/>
  <c r="O13" i="22" s="1"/>
  <c r="L13" i="22"/>
  <c r="H13" i="22"/>
  <c r="J13" i="22" s="1"/>
  <c r="Z12" i="22"/>
  <c r="X12" i="22"/>
  <c r="W12" i="22"/>
  <c r="N12" i="22"/>
  <c r="O12" i="22" s="1"/>
  <c r="L12" i="22"/>
  <c r="H12" i="22"/>
  <c r="J12" i="22" s="1"/>
  <c r="Z10" i="22"/>
  <c r="X10" i="22"/>
  <c r="W10" i="22"/>
  <c r="N10" i="22"/>
  <c r="O10" i="22" s="1"/>
  <c r="L10" i="22"/>
  <c r="H10" i="22"/>
  <c r="J10" i="22" s="1"/>
  <c r="Z9" i="22"/>
  <c r="X9" i="22"/>
  <c r="W9" i="22"/>
  <c r="O9" i="22"/>
  <c r="N9" i="22"/>
  <c r="L9" i="22"/>
  <c r="H9" i="22"/>
  <c r="J9" i="22" s="1"/>
  <c r="Z8" i="22"/>
  <c r="X8" i="22"/>
  <c r="W8" i="22"/>
  <c r="O8" i="22"/>
  <c r="N8" i="22"/>
  <c r="L8" i="22"/>
  <c r="H8" i="22"/>
  <c r="J8" i="22" s="1"/>
  <c r="Z7" i="22"/>
  <c r="X7" i="22"/>
  <c r="W7" i="22"/>
  <c r="O7" i="22"/>
  <c r="N7" i="22"/>
  <c r="L7" i="22"/>
  <c r="H7" i="22"/>
  <c r="J7" i="22" s="1"/>
  <c r="Z6" i="22"/>
  <c r="Z11" i="22" s="1"/>
  <c r="Y6" i="22"/>
  <c r="X6" i="22"/>
  <c r="X11" i="22" s="1"/>
  <c r="W6" i="22"/>
  <c r="W11" i="22" s="1"/>
  <c r="P6" i="22"/>
  <c r="R6" i="22" s="1"/>
  <c r="N6" i="22"/>
  <c r="O6" i="22" s="1"/>
  <c r="L6" i="22"/>
  <c r="H6" i="22"/>
  <c r="J6" i="22" s="1"/>
  <c r="Z5" i="22"/>
  <c r="X5" i="22"/>
  <c r="W5" i="22"/>
  <c r="N5" i="22"/>
  <c r="O5" i="22" s="1"/>
  <c r="L5" i="22"/>
  <c r="H5" i="22"/>
  <c r="J5" i="22" s="1"/>
  <c r="Z4" i="22"/>
  <c r="X4" i="22"/>
  <c r="W4" i="22"/>
  <c r="N4" i="22"/>
  <c r="O4" i="22" s="1"/>
  <c r="L4" i="22"/>
  <c r="H4" i="22"/>
  <c r="J4" i="22" s="1"/>
  <c r="T45" i="21"/>
  <c r="T44" i="21"/>
  <c r="T42" i="21"/>
  <c r="Z35" i="21"/>
  <c r="W35" i="21"/>
  <c r="H35" i="21"/>
  <c r="J35" i="21" s="1"/>
  <c r="Z34" i="21"/>
  <c r="X34" i="21"/>
  <c r="W34" i="21"/>
  <c r="N34" i="21"/>
  <c r="O34" i="21" s="1"/>
  <c r="L34" i="21"/>
  <c r="H34" i="21"/>
  <c r="J34" i="21" s="1"/>
  <c r="Z33" i="21"/>
  <c r="W33" i="21"/>
  <c r="H33" i="21"/>
  <c r="J33" i="21" s="1"/>
  <c r="Z32" i="21"/>
  <c r="X32" i="21"/>
  <c r="W32" i="21"/>
  <c r="N32" i="21"/>
  <c r="O32" i="21" s="1"/>
  <c r="L32" i="21"/>
  <c r="H32" i="21"/>
  <c r="J32" i="21" s="1"/>
  <c r="Z31" i="21"/>
  <c r="W31" i="21"/>
  <c r="H31" i="21"/>
  <c r="J31" i="21" s="1"/>
  <c r="Z30" i="21"/>
  <c r="X30" i="21"/>
  <c r="W30" i="21"/>
  <c r="N30" i="21"/>
  <c r="O30" i="21" s="1"/>
  <c r="L30" i="21"/>
  <c r="H30" i="21"/>
  <c r="J30" i="21" s="1"/>
  <c r="Z29" i="21"/>
  <c r="W29" i="21"/>
  <c r="H29" i="21"/>
  <c r="J29" i="21" s="1"/>
  <c r="Z28" i="21"/>
  <c r="W28" i="21"/>
  <c r="H28" i="21"/>
  <c r="J28" i="21" s="1"/>
  <c r="Z27" i="21"/>
  <c r="W27" i="21"/>
  <c r="H27" i="21"/>
  <c r="J27" i="21" s="1"/>
  <c r="Z25" i="21"/>
  <c r="X25" i="21"/>
  <c r="W25" i="21"/>
  <c r="N25" i="21"/>
  <c r="O25" i="21" s="1"/>
  <c r="L25" i="21"/>
  <c r="H25" i="21"/>
  <c r="J25" i="21" s="1"/>
  <c r="Z24" i="21"/>
  <c r="W24" i="21"/>
  <c r="H24" i="21"/>
  <c r="J24" i="21" s="1"/>
  <c r="Z23" i="21"/>
  <c r="X23" i="21"/>
  <c r="W23" i="21"/>
  <c r="N23" i="21"/>
  <c r="O23" i="21" s="1"/>
  <c r="L23" i="21"/>
  <c r="H23" i="21"/>
  <c r="J23" i="21" s="1"/>
  <c r="Z22" i="21"/>
  <c r="Z26" i="21" s="1"/>
  <c r="X44" i="21" s="1"/>
  <c r="W22" i="21"/>
  <c r="Z20" i="21"/>
  <c r="W20" i="21"/>
  <c r="Z19" i="21"/>
  <c r="X19" i="21"/>
  <c r="W19" i="21"/>
  <c r="N19" i="21"/>
  <c r="L19" i="21"/>
  <c r="Z18" i="21"/>
  <c r="X18" i="21"/>
  <c r="W18" i="21"/>
  <c r="N18" i="21"/>
  <c r="L18" i="21"/>
  <c r="Z17" i="21"/>
  <c r="X17" i="21"/>
  <c r="W17" i="21"/>
  <c r="N17" i="21"/>
  <c r="L17" i="21"/>
  <c r="Z16" i="21"/>
  <c r="W16" i="21"/>
  <c r="Z15" i="21"/>
  <c r="W15" i="21"/>
  <c r="Z14" i="21"/>
  <c r="W14" i="21"/>
  <c r="Z13" i="21"/>
  <c r="W13" i="21"/>
  <c r="Z12" i="21"/>
  <c r="W12" i="21"/>
  <c r="Z10" i="21"/>
  <c r="X10" i="21"/>
  <c r="W10" i="21"/>
  <c r="N10" i="21"/>
  <c r="O10" i="21" s="1"/>
  <c r="L10" i="21"/>
  <c r="H10" i="21"/>
  <c r="J10" i="21" s="1"/>
  <c r="Z9" i="21"/>
  <c r="W9" i="21"/>
  <c r="H9" i="21"/>
  <c r="J9" i="21" s="1"/>
  <c r="Z8" i="21"/>
  <c r="X8" i="21"/>
  <c r="W8" i="21"/>
  <c r="N8" i="21"/>
  <c r="O8" i="21" s="1"/>
  <c r="L8" i="21"/>
  <c r="H8" i="21"/>
  <c r="J8" i="21" s="1"/>
  <c r="Z7" i="21"/>
  <c r="X7" i="21"/>
  <c r="W7" i="21"/>
  <c r="N7" i="21"/>
  <c r="O7" i="21" s="1"/>
  <c r="L7" i="21"/>
  <c r="H7" i="21"/>
  <c r="J7" i="21" s="1"/>
  <c r="Z6" i="21"/>
  <c r="W6" i="21"/>
  <c r="H6" i="21"/>
  <c r="J6" i="21" s="1"/>
  <c r="Z5" i="21"/>
  <c r="X5" i="21"/>
  <c r="W5" i="21"/>
  <c r="N5" i="21"/>
  <c r="O5" i="21" s="1"/>
  <c r="L5" i="21"/>
  <c r="H5" i="21"/>
  <c r="J5" i="21" s="1"/>
  <c r="Z4" i="21"/>
  <c r="W4" i="21"/>
  <c r="W11" i="21" s="1"/>
  <c r="H4" i="21"/>
  <c r="J4" i="21" s="1"/>
  <c r="K24" i="19"/>
  <c r="X24" i="19" s="1"/>
  <c r="K22" i="19"/>
  <c r="X22" i="19" s="1"/>
  <c r="K20" i="19"/>
  <c r="K12" i="19"/>
  <c r="X9" i="19"/>
  <c r="K4" i="19"/>
  <c r="T45" i="20"/>
  <c r="T44" i="20"/>
  <c r="T43" i="20"/>
  <c r="T42" i="20"/>
  <c r="T46" i="20" s="1"/>
  <c r="T48" i="20" s="1"/>
  <c r="B37" i="20"/>
  <c r="Z35" i="20"/>
  <c r="X35" i="20"/>
  <c r="W35" i="20"/>
  <c r="N35" i="20"/>
  <c r="O35" i="20" s="1"/>
  <c r="L35" i="20"/>
  <c r="H35" i="20"/>
  <c r="J35" i="20" s="1"/>
  <c r="Z34" i="20"/>
  <c r="X34" i="20"/>
  <c r="W34" i="20"/>
  <c r="N34" i="20"/>
  <c r="O34" i="20" s="1"/>
  <c r="L34" i="20"/>
  <c r="H34" i="20"/>
  <c r="J34" i="20" s="1"/>
  <c r="Z33" i="20"/>
  <c r="X33" i="20"/>
  <c r="W33" i="20"/>
  <c r="N33" i="20"/>
  <c r="O33" i="20" s="1"/>
  <c r="L33" i="20"/>
  <c r="H33" i="20"/>
  <c r="J33" i="20" s="1"/>
  <c r="Z32" i="20"/>
  <c r="X32" i="20"/>
  <c r="W32" i="20"/>
  <c r="N32" i="20"/>
  <c r="O32" i="20" s="1"/>
  <c r="L32" i="20"/>
  <c r="H32" i="20"/>
  <c r="J32" i="20" s="1"/>
  <c r="Z31" i="20"/>
  <c r="X31" i="20"/>
  <c r="W31" i="20"/>
  <c r="N31" i="20"/>
  <c r="O31" i="20" s="1"/>
  <c r="L31" i="20"/>
  <c r="H31" i="20"/>
  <c r="J31" i="20" s="1"/>
  <c r="Z30" i="20"/>
  <c r="X30" i="20"/>
  <c r="W30" i="20"/>
  <c r="N30" i="20"/>
  <c r="O30" i="20" s="1"/>
  <c r="L30" i="20"/>
  <c r="H30" i="20"/>
  <c r="J30" i="20" s="1"/>
  <c r="Z29" i="20"/>
  <c r="X29" i="20"/>
  <c r="W29" i="20"/>
  <c r="N29" i="20"/>
  <c r="O29" i="20" s="1"/>
  <c r="L29" i="20"/>
  <c r="H29" i="20"/>
  <c r="J29" i="20" s="1"/>
  <c r="Z28" i="20"/>
  <c r="X28" i="20"/>
  <c r="W28" i="20"/>
  <c r="N28" i="20"/>
  <c r="O28" i="20" s="1"/>
  <c r="L28" i="20"/>
  <c r="H28" i="20"/>
  <c r="J28" i="20" s="1"/>
  <c r="Z27" i="20"/>
  <c r="Z36" i="20" s="1"/>
  <c r="X45" i="20" s="1"/>
  <c r="X27" i="20"/>
  <c r="X36" i="20" s="1"/>
  <c r="V45" i="20" s="1"/>
  <c r="W27" i="20"/>
  <c r="W36" i="20" s="1"/>
  <c r="U45" i="20" s="1"/>
  <c r="N27" i="20"/>
  <c r="O27" i="20" s="1"/>
  <c r="L27" i="20"/>
  <c r="H27" i="20"/>
  <c r="J27" i="20" s="1"/>
  <c r="Z25" i="20"/>
  <c r="X25" i="20"/>
  <c r="W25" i="20"/>
  <c r="N25" i="20"/>
  <c r="O25" i="20" s="1"/>
  <c r="L25" i="20"/>
  <c r="H25" i="20"/>
  <c r="J25" i="20" s="1"/>
  <c r="Z24" i="20"/>
  <c r="X24" i="20"/>
  <c r="W24" i="20"/>
  <c r="N24" i="20"/>
  <c r="O24" i="20" s="1"/>
  <c r="L24" i="20"/>
  <c r="H24" i="20"/>
  <c r="J24" i="20" s="1"/>
  <c r="Z23" i="20"/>
  <c r="X23" i="20"/>
  <c r="W23" i="20"/>
  <c r="N23" i="20"/>
  <c r="O23" i="20" s="1"/>
  <c r="L23" i="20"/>
  <c r="H23" i="20"/>
  <c r="J23" i="20" s="1"/>
  <c r="Z22" i="20"/>
  <c r="Z26" i="20" s="1"/>
  <c r="X44" i="20" s="1"/>
  <c r="X22" i="20"/>
  <c r="X26" i="20" s="1"/>
  <c r="V44" i="20" s="1"/>
  <c r="W22" i="20"/>
  <c r="W26" i="20" s="1"/>
  <c r="U44" i="20" s="1"/>
  <c r="P22" i="20"/>
  <c r="R22" i="20" s="1"/>
  <c r="N22" i="20"/>
  <c r="O22" i="20" s="1"/>
  <c r="L22" i="20"/>
  <c r="Y22" i="20" s="1"/>
  <c r="H22" i="20"/>
  <c r="J22" i="20" s="1"/>
  <c r="Z20" i="20"/>
  <c r="Z21" i="20" s="1"/>
  <c r="X43" i="20" s="1"/>
  <c r="X20" i="20"/>
  <c r="X21" i="20" s="1"/>
  <c r="V43" i="20" s="1"/>
  <c r="W20" i="20"/>
  <c r="W21" i="20" s="1"/>
  <c r="U43" i="20" s="1"/>
  <c r="N20" i="20"/>
  <c r="O20" i="20" s="1"/>
  <c r="L20" i="20"/>
  <c r="H20" i="20"/>
  <c r="J20" i="20" s="1"/>
  <c r="Z19" i="20"/>
  <c r="X19" i="20"/>
  <c r="W19" i="20"/>
  <c r="N19" i="20"/>
  <c r="O19" i="20" s="1"/>
  <c r="L19" i="20"/>
  <c r="H19" i="20"/>
  <c r="J19" i="20" s="1"/>
  <c r="Z18" i="20"/>
  <c r="X18" i="20"/>
  <c r="W18" i="20"/>
  <c r="N18" i="20"/>
  <c r="O18" i="20" s="1"/>
  <c r="L18" i="20"/>
  <c r="H18" i="20"/>
  <c r="J18" i="20" s="1"/>
  <c r="Z17" i="20"/>
  <c r="X17" i="20"/>
  <c r="W17" i="20"/>
  <c r="N17" i="20"/>
  <c r="O17" i="20" s="1"/>
  <c r="L17" i="20"/>
  <c r="H17" i="20"/>
  <c r="J17" i="20" s="1"/>
  <c r="Z16" i="20"/>
  <c r="X16" i="20"/>
  <c r="W16" i="20"/>
  <c r="N16" i="20"/>
  <c r="O16" i="20" s="1"/>
  <c r="L16" i="20"/>
  <c r="H16" i="20"/>
  <c r="J16" i="20" s="1"/>
  <c r="Z15" i="20"/>
  <c r="X15" i="20"/>
  <c r="W15" i="20"/>
  <c r="N15" i="20"/>
  <c r="O15" i="20" s="1"/>
  <c r="L15" i="20"/>
  <c r="H15" i="20"/>
  <c r="J15" i="20" s="1"/>
  <c r="Z14" i="20"/>
  <c r="X14" i="20"/>
  <c r="W14" i="20"/>
  <c r="N14" i="20"/>
  <c r="O14" i="20" s="1"/>
  <c r="L14" i="20"/>
  <c r="H14" i="20"/>
  <c r="J14" i="20" s="1"/>
  <c r="Z13" i="20"/>
  <c r="X13" i="20"/>
  <c r="W13" i="20"/>
  <c r="N13" i="20"/>
  <c r="O13" i="20" s="1"/>
  <c r="L13" i="20"/>
  <c r="H13" i="20"/>
  <c r="J13" i="20" s="1"/>
  <c r="Z12" i="20"/>
  <c r="X12" i="20"/>
  <c r="W12" i="20"/>
  <c r="N12" i="20"/>
  <c r="O12" i="20" s="1"/>
  <c r="L12" i="20"/>
  <c r="H12" i="20"/>
  <c r="J12" i="20" s="1"/>
  <c r="Z10" i="20"/>
  <c r="X10" i="20"/>
  <c r="W10" i="20"/>
  <c r="N10" i="20"/>
  <c r="O10" i="20" s="1"/>
  <c r="L10" i="20"/>
  <c r="H10" i="20"/>
  <c r="J10" i="20" s="1"/>
  <c r="Z9" i="20"/>
  <c r="X9" i="20"/>
  <c r="W9" i="20"/>
  <c r="N9" i="20"/>
  <c r="O9" i="20" s="1"/>
  <c r="L9" i="20"/>
  <c r="H9" i="20"/>
  <c r="J9" i="20" s="1"/>
  <c r="Z8" i="20"/>
  <c r="X8" i="20"/>
  <c r="W8" i="20"/>
  <c r="N8" i="20"/>
  <c r="O8" i="20" s="1"/>
  <c r="L8" i="20"/>
  <c r="H8" i="20"/>
  <c r="J8" i="20" s="1"/>
  <c r="Z7" i="20"/>
  <c r="X7" i="20"/>
  <c r="W7" i="20"/>
  <c r="N7" i="20"/>
  <c r="O7" i="20" s="1"/>
  <c r="L7" i="20"/>
  <c r="H7" i="20"/>
  <c r="J7" i="20" s="1"/>
  <c r="Z6" i="20"/>
  <c r="X6" i="20"/>
  <c r="W6" i="20"/>
  <c r="P6" i="20"/>
  <c r="R6" i="20" s="1"/>
  <c r="O6" i="20"/>
  <c r="N6" i="20"/>
  <c r="L6" i="20"/>
  <c r="Y6" i="20" s="1"/>
  <c r="H6" i="20"/>
  <c r="J6" i="20" s="1"/>
  <c r="Z5" i="20"/>
  <c r="X5" i="20"/>
  <c r="W5" i="20"/>
  <c r="N5" i="20"/>
  <c r="O5" i="20" s="1"/>
  <c r="L5" i="20"/>
  <c r="H5" i="20"/>
  <c r="J5" i="20" s="1"/>
  <c r="Z4" i="20"/>
  <c r="Z11" i="20" s="1"/>
  <c r="X4" i="20"/>
  <c r="X11" i="20" s="1"/>
  <c r="W4" i="20"/>
  <c r="W11" i="20" s="1"/>
  <c r="N4" i="20"/>
  <c r="O4" i="20" s="1"/>
  <c r="L4" i="20"/>
  <c r="H4" i="20"/>
  <c r="J4" i="20" s="1"/>
  <c r="T45" i="19"/>
  <c r="T44" i="19"/>
  <c r="T43" i="19"/>
  <c r="T42" i="19"/>
  <c r="B37" i="19"/>
  <c r="Z35" i="19"/>
  <c r="X35" i="19"/>
  <c r="W35" i="19"/>
  <c r="N35" i="19"/>
  <c r="O35" i="19" s="1"/>
  <c r="L35" i="19"/>
  <c r="H35" i="19"/>
  <c r="J35" i="19" s="1"/>
  <c r="Z34" i="19"/>
  <c r="X34" i="19"/>
  <c r="W34" i="19"/>
  <c r="N34" i="19"/>
  <c r="O34" i="19" s="1"/>
  <c r="L34" i="19"/>
  <c r="H34" i="19"/>
  <c r="J34" i="19" s="1"/>
  <c r="Z33" i="19"/>
  <c r="X33" i="19"/>
  <c r="W33" i="19"/>
  <c r="N33" i="19"/>
  <c r="O33" i="19" s="1"/>
  <c r="L33" i="19"/>
  <c r="H33" i="19"/>
  <c r="J33" i="19" s="1"/>
  <c r="Z32" i="19"/>
  <c r="X32" i="19"/>
  <c r="W32" i="19"/>
  <c r="N32" i="19"/>
  <c r="O32" i="19" s="1"/>
  <c r="L32" i="19"/>
  <c r="H32" i="19"/>
  <c r="J32" i="19" s="1"/>
  <c r="Z31" i="19"/>
  <c r="X31" i="19"/>
  <c r="W31" i="19"/>
  <c r="N31" i="19"/>
  <c r="O31" i="19" s="1"/>
  <c r="L31" i="19"/>
  <c r="H31" i="19"/>
  <c r="J31" i="19" s="1"/>
  <c r="Z30" i="19"/>
  <c r="X30" i="19"/>
  <c r="W30" i="19"/>
  <c r="N30" i="19"/>
  <c r="O30" i="19" s="1"/>
  <c r="L30" i="19"/>
  <c r="H30" i="19"/>
  <c r="J30" i="19" s="1"/>
  <c r="Z29" i="19"/>
  <c r="X29" i="19"/>
  <c r="W29" i="19"/>
  <c r="N29" i="19"/>
  <c r="O29" i="19" s="1"/>
  <c r="L29" i="19"/>
  <c r="H29" i="19"/>
  <c r="J29" i="19" s="1"/>
  <c r="Z28" i="19"/>
  <c r="X28" i="19"/>
  <c r="W28" i="19"/>
  <c r="N28" i="19"/>
  <c r="O28" i="19" s="1"/>
  <c r="L28" i="19"/>
  <c r="H28" i="19"/>
  <c r="J28" i="19" s="1"/>
  <c r="Z27" i="19"/>
  <c r="X27" i="19"/>
  <c r="W27" i="19"/>
  <c r="W36" i="19" s="1"/>
  <c r="N27" i="19"/>
  <c r="O27" i="19" s="1"/>
  <c r="L27" i="19"/>
  <c r="H27" i="19"/>
  <c r="J27" i="19" s="1"/>
  <c r="Z25" i="19"/>
  <c r="X25" i="19"/>
  <c r="W25" i="19"/>
  <c r="N25" i="19"/>
  <c r="O25" i="19" s="1"/>
  <c r="L25" i="19"/>
  <c r="H25" i="19"/>
  <c r="J25" i="19" s="1"/>
  <c r="Z24" i="19"/>
  <c r="W24" i="19"/>
  <c r="N24" i="19"/>
  <c r="O24" i="19" s="1"/>
  <c r="L24" i="19"/>
  <c r="H24" i="19"/>
  <c r="J24" i="19" s="1"/>
  <c r="Z23" i="19"/>
  <c r="X23" i="19"/>
  <c r="W23" i="19"/>
  <c r="N23" i="19"/>
  <c r="O23" i="19" s="1"/>
  <c r="L23" i="19"/>
  <c r="H23" i="19"/>
  <c r="J23" i="19" s="1"/>
  <c r="Z22" i="19"/>
  <c r="W22" i="19"/>
  <c r="N22" i="19"/>
  <c r="O22" i="19" s="1"/>
  <c r="L22" i="19"/>
  <c r="H22" i="19"/>
  <c r="J22" i="19" s="1"/>
  <c r="Z20" i="19"/>
  <c r="W20" i="19"/>
  <c r="H20" i="19"/>
  <c r="J20" i="19" s="1"/>
  <c r="Z19" i="19"/>
  <c r="X19" i="19"/>
  <c r="W19" i="19"/>
  <c r="N19" i="19"/>
  <c r="O19" i="19" s="1"/>
  <c r="L19" i="19"/>
  <c r="H19" i="19"/>
  <c r="J19" i="19" s="1"/>
  <c r="Z18" i="19"/>
  <c r="W18" i="19"/>
  <c r="H18" i="19"/>
  <c r="J18" i="19" s="1"/>
  <c r="Z17" i="19"/>
  <c r="X17" i="19"/>
  <c r="W17" i="19"/>
  <c r="N17" i="19"/>
  <c r="O17" i="19" s="1"/>
  <c r="L17" i="19"/>
  <c r="H17" i="19"/>
  <c r="J17" i="19" s="1"/>
  <c r="Z16" i="19"/>
  <c r="W16" i="19"/>
  <c r="H16" i="19"/>
  <c r="J16" i="19" s="1"/>
  <c r="Z15" i="19"/>
  <c r="X15" i="19"/>
  <c r="W15" i="19"/>
  <c r="N15" i="19"/>
  <c r="O15" i="19" s="1"/>
  <c r="L15" i="19"/>
  <c r="H15" i="19"/>
  <c r="J15" i="19" s="1"/>
  <c r="Z14" i="19"/>
  <c r="X14" i="19"/>
  <c r="W14" i="19"/>
  <c r="N14" i="19"/>
  <c r="O14" i="19" s="1"/>
  <c r="L14" i="19"/>
  <c r="H14" i="19"/>
  <c r="J14" i="19" s="1"/>
  <c r="Z13" i="19"/>
  <c r="X13" i="19"/>
  <c r="W13" i="19"/>
  <c r="N13" i="19"/>
  <c r="O13" i="19" s="1"/>
  <c r="L13" i="19"/>
  <c r="H13" i="19"/>
  <c r="J13" i="19" s="1"/>
  <c r="Z12" i="19"/>
  <c r="W12" i="19"/>
  <c r="H12" i="19"/>
  <c r="J12" i="19" s="1"/>
  <c r="Z10" i="19"/>
  <c r="X10" i="19"/>
  <c r="W10" i="19"/>
  <c r="N10" i="19"/>
  <c r="O10" i="19" s="1"/>
  <c r="L10" i="19"/>
  <c r="H10" i="19"/>
  <c r="J10" i="19" s="1"/>
  <c r="Z9" i="19"/>
  <c r="W9" i="19"/>
  <c r="N9" i="19"/>
  <c r="O9" i="19" s="1"/>
  <c r="L9" i="19"/>
  <c r="H9" i="19"/>
  <c r="J9" i="19" s="1"/>
  <c r="Z8" i="19"/>
  <c r="X8" i="19"/>
  <c r="W8" i="19"/>
  <c r="N8" i="19"/>
  <c r="O8" i="19" s="1"/>
  <c r="L8" i="19"/>
  <c r="H8" i="19"/>
  <c r="J8" i="19" s="1"/>
  <c r="Z7" i="19"/>
  <c r="X7" i="19"/>
  <c r="W7" i="19"/>
  <c r="N7" i="19"/>
  <c r="O7" i="19" s="1"/>
  <c r="L7" i="19"/>
  <c r="H7" i="19"/>
  <c r="J7" i="19" s="1"/>
  <c r="Z6" i="19"/>
  <c r="W6" i="19"/>
  <c r="H6" i="19"/>
  <c r="J6" i="19" s="1"/>
  <c r="Z5" i="19"/>
  <c r="X5" i="19"/>
  <c r="W5" i="19"/>
  <c r="N5" i="19"/>
  <c r="O5" i="19" s="1"/>
  <c r="L5" i="19"/>
  <c r="H5" i="19"/>
  <c r="J5" i="19" s="1"/>
  <c r="Z4" i="19"/>
  <c r="W4" i="19"/>
  <c r="H4" i="19"/>
  <c r="J4" i="19" s="1"/>
  <c r="S5" i="17"/>
  <c r="K20" i="17"/>
  <c r="X20" i="17" s="1"/>
  <c r="K12" i="17"/>
  <c r="K6" i="17"/>
  <c r="K4" i="17"/>
  <c r="B45" i="18"/>
  <c r="B44" i="18"/>
  <c r="B42" i="18"/>
  <c r="Z35" i="18"/>
  <c r="X35" i="18"/>
  <c r="W35" i="18"/>
  <c r="N35" i="18"/>
  <c r="O35" i="18" s="1"/>
  <c r="L35" i="18"/>
  <c r="H35" i="18"/>
  <c r="J35" i="18" s="1"/>
  <c r="Z34" i="18"/>
  <c r="X34" i="18"/>
  <c r="W34" i="18"/>
  <c r="N34" i="18"/>
  <c r="O34" i="18" s="1"/>
  <c r="L34" i="18"/>
  <c r="H34" i="18"/>
  <c r="J34" i="18" s="1"/>
  <c r="Z33" i="18"/>
  <c r="X33" i="18"/>
  <c r="W33" i="18"/>
  <c r="N33" i="18"/>
  <c r="O33" i="18" s="1"/>
  <c r="L33" i="18"/>
  <c r="H33" i="18"/>
  <c r="J33" i="18" s="1"/>
  <c r="Z32" i="18"/>
  <c r="Z36" i="18" s="1"/>
  <c r="P45" i="18" s="1"/>
  <c r="X32" i="18"/>
  <c r="X36" i="18" s="1"/>
  <c r="O45" i="18" s="1"/>
  <c r="W32" i="18"/>
  <c r="W36" i="18" s="1"/>
  <c r="C45" i="18" s="1"/>
  <c r="N32" i="18"/>
  <c r="O32" i="18" s="1"/>
  <c r="L32" i="18"/>
  <c r="H32" i="18"/>
  <c r="J32" i="18" s="1"/>
  <c r="Z31" i="18"/>
  <c r="X31" i="18"/>
  <c r="W31" i="18"/>
  <c r="N31" i="18"/>
  <c r="O31" i="18" s="1"/>
  <c r="L31" i="18"/>
  <c r="H31" i="18"/>
  <c r="J31" i="18" s="1"/>
  <c r="Z30" i="18"/>
  <c r="X30" i="18"/>
  <c r="W30" i="18"/>
  <c r="N30" i="18"/>
  <c r="O30" i="18" s="1"/>
  <c r="L30" i="18"/>
  <c r="H30" i="18"/>
  <c r="J30" i="18" s="1"/>
  <c r="Z29" i="18"/>
  <c r="X29" i="18"/>
  <c r="W29" i="18"/>
  <c r="N29" i="18"/>
  <c r="O29" i="18" s="1"/>
  <c r="L29" i="18"/>
  <c r="H29" i="18"/>
  <c r="J29" i="18" s="1"/>
  <c r="Z28" i="18"/>
  <c r="X28" i="18"/>
  <c r="W28" i="18"/>
  <c r="N28" i="18"/>
  <c r="O28" i="18" s="1"/>
  <c r="L28" i="18"/>
  <c r="H28" i="18"/>
  <c r="J28" i="18" s="1"/>
  <c r="Z27" i="18"/>
  <c r="X27" i="18"/>
  <c r="W27" i="18"/>
  <c r="N27" i="18"/>
  <c r="O27" i="18" s="1"/>
  <c r="L27" i="18"/>
  <c r="H27" i="18"/>
  <c r="J27" i="18" s="1"/>
  <c r="Z25" i="18"/>
  <c r="X25" i="18"/>
  <c r="W25" i="18"/>
  <c r="N25" i="18"/>
  <c r="O25" i="18" s="1"/>
  <c r="L25" i="18"/>
  <c r="H25" i="18"/>
  <c r="J25" i="18" s="1"/>
  <c r="Z24" i="18"/>
  <c r="Z26" i="18" s="1"/>
  <c r="P44" i="18" s="1"/>
  <c r="X24" i="18"/>
  <c r="X26" i="18" s="1"/>
  <c r="O44" i="18" s="1"/>
  <c r="W24" i="18"/>
  <c r="W26" i="18" s="1"/>
  <c r="C44" i="18" s="1"/>
  <c r="N24" i="18"/>
  <c r="O24" i="18" s="1"/>
  <c r="L24" i="18"/>
  <c r="H24" i="18"/>
  <c r="J24" i="18" s="1"/>
  <c r="Z23" i="18"/>
  <c r="X23" i="18"/>
  <c r="W23" i="18"/>
  <c r="N23" i="18"/>
  <c r="O23" i="18" s="1"/>
  <c r="L23" i="18"/>
  <c r="H23" i="18"/>
  <c r="J23" i="18" s="1"/>
  <c r="Z22" i="18"/>
  <c r="X22" i="18"/>
  <c r="W22" i="18"/>
  <c r="N22" i="18"/>
  <c r="O22" i="18" s="1"/>
  <c r="L22" i="18"/>
  <c r="H22" i="18"/>
  <c r="J22" i="18" s="1"/>
  <c r="Z20" i="18"/>
  <c r="X20" i="18"/>
  <c r="W20" i="18"/>
  <c r="N20" i="18"/>
  <c r="O20" i="18" s="1"/>
  <c r="L20" i="18"/>
  <c r="Z19" i="18"/>
  <c r="X19" i="18"/>
  <c r="W19" i="18"/>
  <c r="N19" i="18"/>
  <c r="O19" i="18" s="1"/>
  <c r="L19" i="18"/>
  <c r="Z18" i="18"/>
  <c r="X18" i="18"/>
  <c r="W18" i="18"/>
  <c r="N18" i="18"/>
  <c r="O18" i="18" s="1"/>
  <c r="L18" i="18"/>
  <c r="Z17" i="18"/>
  <c r="X17" i="18"/>
  <c r="W17" i="18"/>
  <c r="N17" i="18"/>
  <c r="O17" i="18" s="1"/>
  <c r="L17" i="18"/>
  <c r="Z16" i="18"/>
  <c r="X16" i="18"/>
  <c r="W16" i="18"/>
  <c r="N16" i="18"/>
  <c r="O16" i="18" s="1"/>
  <c r="L16" i="18"/>
  <c r="Z15" i="18"/>
  <c r="X15" i="18"/>
  <c r="W15" i="18"/>
  <c r="N15" i="18"/>
  <c r="O15" i="18" s="1"/>
  <c r="L15" i="18"/>
  <c r="Z14" i="18"/>
  <c r="X14" i="18"/>
  <c r="W14" i="18"/>
  <c r="N14" i="18"/>
  <c r="O14" i="18" s="1"/>
  <c r="L14" i="18"/>
  <c r="Z13" i="18"/>
  <c r="X13" i="18"/>
  <c r="W13" i="18"/>
  <c r="N13" i="18"/>
  <c r="O13" i="18" s="1"/>
  <c r="L13" i="18"/>
  <c r="Z12" i="18"/>
  <c r="Z21" i="18" s="1"/>
  <c r="P43" i="18" s="1"/>
  <c r="X12" i="18"/>
  <c r="X21" i="18" s="1"/>
  <c r="O43" i="18" s="1"/>
  <c r="W12" i="18"/>
  <c r="W21" i="18" s="1"/>
  <c r="C43" i="18" s="1"/>
  <c r="N12" i="18"/>
  <c r="O12" i="18" s="1"/>
  <c r="L12" i="18"/>
  <c r="B12" i="18"/>
  <c r="Z10" i="18"/>
  <c r="X10" i="18"/>
  <c r="W10" i="18"/>
  <c r="N10" i="18"/>
  <c r="O10" i="18" s="1"/>
  <c r="L10" i="18"/>
  <c r="J10" i="18"/>
  <c r="H10" i="18"/>
  <c r="Z9" i="18"/>
  <c r="X9" i="18"/>
  <c r="W9" i="18"/>
  <c r="N9" i="18"/>
  <c r="O9" i="18" s="1"/>
  <c r="L9" i="18"/>
  <c r="H9" i="18"/>
  <c r="J9" i="18" s="1"/>
  <c r="Z8" i="18"/>
  <c r="Z11" i="18" s="1"/>
  <c r="X8" i="18"/>
  <c r="X11" i="18" s="1"/>
  <c r="W8" i="18"/>
  <c r="W11" i="18" s="1"/>
  <c r="N8" i="18"/>
  <c r="O8" i="18" s="1"/>
  <c r="L8" i="18"/>
  <c r="H8" i="18"/>
  <c r="J8" i="18" s="1"/>
  <c r="Z7" i="18"/>
  <c r="X7" i="18"/>
  <c r="W7" i="18"/>
  <c r="N7" i="18"/>
  <c r="O7" i="18" s="1"/>
  <c r="L7" i="18"/>
  <c r="H7" i="18"/>
  <c r="J7" i="18" s="1"/>
  <c r="Z6" i="18"/>
  <c r="X6" i="18"/>
  <c r="W6" i="18"/>
  <c r="N6" i="18"/>
  <c r="O6" i="18" s="1"/>
  <c r="L6" i="18"/>
  <c r="H6" i="18"/>
  <c r="J6" i="18" s="1"/>
  <c r="Z5" i="18"/>
  <c r="X5" i="18"/>
  <c r="W5" i="18"/>
  <c r="N5" i="18"/>
  <c r="O5" i="18" s="1"/>
  <c r="L5" i="18"/>
  <c r="H5" i="18"/>
  <c r="J5" i="18" s="1"/>
  <c r="Z4" i="18"/>
  <c r="X4" i="18"/>
  <c r="W4" i="18"/>
  <c r="N4" i="18"/>
  <c r="O4" i="18" s="1"/>
  <c r="L4" i="18"/>
  <c r="H4" i="18"/>
  <c r="J4" i="18" s="1"/>
  <c r="B45" i="17"/>
  <c r="B44" i="17"/>
  <c r="B43" i="17"/>
  <c r="B42" i="17"/>
  <c r="B37" i="17"/>
  <c r="Z35" i="17"/>
  <c r="W35" i="17"/>
  <c r="H35" i="17"/>
  <c r="J35" i="17" s="1"/>
  <c r="Z34" i="17"/>
  <c r="X34" i="17"/>
  <c r="W34" i="17"/>
  <c r="N34" i="17"/>
  <c r="O34" i="17" s="1"/>
  <c r="L34" i="17"/>
  <c r="H34" i="17"/>
  <c r="J34" i="17" s="1"/>
  <c r="Z33" i="17"/>
  <c r="X33" i="17"/>
  <c r="W33" i="17"/>
  <c r="N33" i="17"/>
  <c r="O33" i="17" s="1"/>
  <c r="L33" i="17"/>
  <c r="H33" i="17"/>
  <c r="J33" i="17" s="1"/>
  <c r="Z32" i="17"/>
  <c r="X32" i="17"/>
  <c r="W32" i="17"/>
  <c r="N32" i="17"/>
  <c r="O32" i="17" s="1"/>
  <c r="L32" i="17"/>
  <c r="H32" i="17"/>
  <c r="J32" i="17" s="1"/>
  <c r="Z31" i="17"/>
  <c r="X31" i="17"/>
  <c r="W31" i="17"/>
  <c r="N31" i="17"/>
  <c r="O31" i="17" s="1"/>
  <c r="L31" i="17"/>
  <c r="H31" i="17"/>
  <c r="J31" i="17" s="1"/>
  <c r="Z30" i="17"/>
  <c r="X30" i="17"/>
  <c r="W30" i="17"/>
  <c r="N30" i="17"/>
  <c r="O30" i="17" s="1"/>
  <c r="L30" i="17"/>
  <c r="H30" i="17"/>
  <c r="J30" i="17" s="1"/>
  <c r="Z29" i="17"/>
  <c r="X29" i="17"/>
  <c r="W29" i="17"/>
  <c r="N29" i="17"/>
  <c r="O29" i="17" s="1"/>
  <c r="L29" i="17"/>
  <c r="H29" i="17"/>
  <c r="J29" i="17" s="1"/>
  <c r="Z28" i="17"/>
  <c r="X28" i="17"/>
  <c r="W28" i="17"/>
  <c r="N28" i="17"/>
  <c r="O28" i="17" s="1"/>
  <c r="L28" i="17"/>
  <c r="H28" i="17"/>
  <c r="J28" i="17" s="1"/>
  <c r="Z27" i="17"/>
  <c r="W27" i="17"/>
  <c r="H27" i="17"/>
  <c r="J27" i="17" s="1"/>
  <c r="Z25" i="17"/>
  <c r="X25" i="17"/>
  <c r="W25" i="17"/>
  <c r="N25" i="17"/>
  <c r="O25" i="17" s="1"/>
  <c r="L25" i="17"/>
  <c r="H25" i="17"/>
  <c r="J25" i="17" s="1"/>
  <c r="Z24" i="17"/>
  <c r="X24" i="17"/>
  <c r="W24" i="17"/>
  <c r="N24" i="17"/>
  <c r="O24" i="17" s="1"/>
  <c r="L24" i="17"/>
  <c r="H24" i="17"/>
  <c r="J24" i="17" s="1"/>
  <c r="Z23" i="17"/>
  <c r="X23" i="17"/>
  <c r="W23" i="17"/>
  <c r="N23" i="17"/>
  <c r="O23" i="17" s="1"/>
  <c r="L23" i="17"/>
  <c r="H23" i="17"/>
  <c r="J23" i="17" s="1"/>
  <c r="Z22" i="17"/>
  <c r="X22" i="17"/>
  <c r="W22" i="17"/>
  <c r="N22" i="17"/>
  <c r="O22" i="17" s="1"/>
  <c r="L22" i="17"/>
  <c r="H22" i="17"/>
  <c r="J22" i="17" s="1"/>
  <c r="Z20" i="17"/>
  <c r="W20" i="17"/>
  <c r="N20" i="17"/>
  <c r="L20" i="17"/>
  <c r="Z19" i="17"/>
  <c r="X19" i="17"/>
  <c r="W19" i="17"/>
  <c r="N19" i="17"/>
  <c r="L19" i="17"/>
  <c r="Z18" i="17"/>
  <c r="X18" i="17"/>
  <c r="W18" i="17"/>
  <c r="N18" i="17"/>
  <c r="L18" i="17"/>
  <c r="Z17" i="17"/>
  <c r="X17" i="17"/>
  <c r="W17" i="17"/>
  <c r="N17" i="17"/>
  <c r="L17" i="17"/>
  <c r="Z16" i="17"/>
  <c r="X16" i="17"/>
  <c r="W16" i="17"/>
  <c r="N16" i="17"/>
  <c r="L16" i="17"/>
  <c r="Z15" i="17"/>
  <c r="X15" i="17"/>
  <c r="W15" i="17"/>
  <c r="N15" i="17"/>
  <c r="L15" i="17"/>
  <c r="Z14" i="17"/>
  <c r="X14" i="17"/>
  <c r="W14" i="17"/>
  <c r="N14" i="17"/>
  <c r="L14" i="17"/>
  <c r="Z13" i="17"/>
  <c r="X13" i="17"/>
  <c r="W13" i="17"/>
  <c r="N13" i="17"/>
  <c r="L13" i="17"/>
  <c r="Z12" i="17"/>
  <c r="Z21" i="17" s="1"/>
  <c r="P43" i="17" s="1"/>
  <c r="W12" i="17"/>
  <c r="W21" i="17" s="1"/>
  <c r="C43" i="17" s="1"/>
  <c r="L12" i="17"/>
  <c r="Z10" i="17"/>
  <c r="X10" i="17"/>
  <c r="W10" i="17"/>
  <c r="N10" i="17"/>
  <c r="O10" i="17" s="1"/>
  <c r="L10" i="17"/>
  <c r="H10" i="17"/>
  <c r="J10" i="17" s="1"/>
  <c r="Z9" i="17"/>
  <c r="X9" i="17"/>
  <c r="W9" i="17"/>
  <c r="N9" i="17"/>
  <c r="O9" i="17" s="1"/>
  <c r="L9" i="17"/>
  <c r="H9" i="17"/>
  <c r="J9" i="17" s="1"/>
  <c r="Z8" i="17"/>
  <c r="X8" i="17"/>
  <c r="W8" i="17"/>
  <c r="N8" i="17"/>
  <c r="O8" i="17" s="1"/>
  <c r="L8" i="17"/>
  <c r="H8" i="17"/>
  <c r="J8" i="17" s="1"/>
  <c r="Z7" i="17"/>
  <c r="X7" i="17"/>
  <c r="W7" i="17"/>
  <c r="N7" i="17"/>
  <c r="O7" i="17" s="1"/>
  <c r="L7" i="17"/>
  <c r="H7" i="17"/>
  <c r="J7" i="17" s="1"/>
  <c r="Z6" i="17"/>
  <c r="X6" i="17"/>
  <c r="W6" i="17"/>
  <c r="N6" i="17"/>
  <c r="O6" i="17" s="1"/>
  <c r="L6" i="17"/>
  <c r="H6" i="17"/>
  <c r="J6" i="17" s="1"/>
  <c r="Z5" i="17"/>
  <c r="X5" i="17"/>
  <c r="W5" i="17"/>
  <c r="N5" i="17"/>
  <c r="O5" i="17" s="1"/>
  <c r="L5" i="17"/>
  <c r="H5" i="17"/>
  <c r="J5" i="17" s="1"/>
  <c r="Z4" i="17"/>
  <c r="X4" i="17"/>
  <c r="W4" i="17"/>
  <c r="W11" i="17" s="1"/>
  <c r="N4" i="17"/>
  <c r="O4" i="17" s="1"/>
  <c r="L4" i="17"/>
  <c r="H4" i="17"/>
  <c r="J4" i="17" s="1"/>
  <c r="F46" i="14"/>
  <c r="F46" i="16"/>
  <c r="N4" i="16"/>
  <c r="B37" i="16"/>
  <c r="K35" i="16"/>
  <c r="K27" i="16"/>
  <c r="K24" i="16"/>
  <c r="K22" i="16"/>
  <c r="X22" i="16" s="1"/>
  <c r="B12" i="16"/>
  <c r="H16" i="16" s="1"/>
  <c r="J16" i="16" s="1"/>
  <c r="B45" i="16"/>
  <c r="B44" i="16"/>
  <c r="B43" i="16"/>
  <c r="B42" i="16"/>
  <c r="B46" i="16" s="1"/>
  <c r="B49" i="16" s="1"/>
  <c r="Z35" i="16"/>
  <c r="W35" i="16"/>
  <c r="H35" i="16"/>
  <c r="J35" i="16" s="1"/>
  <c r="Z34" i="16"/>
  <c r="X34" i="16"/>
  <c r="W34" i="16"/>
  <c r="N34" i="16"/>
  <c r="O34" i="16" s="1"/>
  <c r="L34" i="16"/>
  <c r="H34" i="16"/>
  <c r="J34" i="16" s="1"/>
  <c r="Z33" i="16"/>
  <c r="X33" i="16"/>
  <c r="W33" i="16"/>
  <c r="N33" i="16"/>
  <c r="O33" i="16" s="1"/>
  <c r="L33" i="16"/>
  <c r="H33" i="16"/>
  <c r="J33" i="16" s="1"/>
  <c r="Z32" i="16"/>
  <c r="X32" i="16"/>
  <c r="W32" i="16"/>
  <c r="N32" i="16"/>
  <c r="O32" i="16" s="1"/>
  <c r="L32" i="16"/>
  <c r="H32" i="16"/>
  <c r="J32" i="16" s="1"/>
  <c r="Z31" i="16"/>
  <c r="X31" i="16"/>
  <c r="W31" i="16"/>
  <c r="N31" i="16"/>
  <c r="O31" i="16" s="1"/>
  <c r="L31" i="16"/>
  <c r="H31" i="16"/>
  <c r="J31" i="16" s="1"/>
  <c r="Z30" i="16"/>
  <c r="X30" i="16"/>
  <c r="W30" i="16"/>
  <c r="N30" i="16"/>
  <c r="O30" i="16" s="1"/>
  <c r="L30" i="16"/>
  <c r="H30" i="16"/>
  <c r="J30" i="16" s="1"/>
  <c r="Z29" i="16"/>
  <c r="X29" i="16"/>
  <c r="W29" i="16"/>
  <c r="N29" i="16"/>
  <c r="O29" i="16" s="1"/>
  <c r="L29" i="16"/>
  <c r="H29" i="16"/>
  <c r="J29" i="16" s="1"/>
  <c r="Z28" i="16"/>
  <c r="X28" i="16"/>
  <c r="W28" i="16"/>
  <c r="N28" i="16"/>
  <c r="O28" i="16" s="1"/>
  <c r="L28" i="16"/>
  <c r="H28" i="16"/>
  <c r="J28" i="16" s="1"/>
  <c r="Z27" i="16"/>
  <c r="W27" i="16"/>
  <c r="H27" i="16"/>
  <c r="J27" i="16" s="1"/>
  <c r="Z25" i="16"/>
  <c r="X25" i="16"/>
  <c r="W25" i="16"/>
  <c r="N25" i="16"/>
  <c r="O25" i="16" s="1"/>
  <c r="L25" i="16"/>
  <c r="H25" i="16"/>
  <c r="J25" i="16" s="1"/>
  <c r="Z24" i="16"/>
  <c r="X24" i="16"/>
  <c r="W24" i="16"/>
  <c r="N24" i="16"/>
  <c r="O24" i="16" s="1"/>
  <c r="L24" i="16"/>
  <c r="H24" i="16"/>
  <c r="J24" i="16" s="1"/>
  <c r="Z23" i="16"/>
  <c r="X23" i="16"/>
  <c r="W23" i="16"/>
  <c r="N23" i="16"/>
  <c r="O23" i="16" s="1"/>
  <c r="L23" i="16"/>
  <c r="H23" i="16"/>
  <c r="J23" i="16" s="1"/>
  <c r="Z22" i="16"/>
  <c r="Z26" i="16" s="1"/>
  <c r="P44" i="16" s="1"/>
  <c r="W22" i="16"/>
  <c r="W26" i="16" s="1"/>
  <c r="C44" i="16" s="1"/>
  <c r="N22" i="16"/>
  <c r="O22" i="16" s="1"/>
  <c r="L22" i="16"/>
  <c r="H22" i="16"/>
  <c r="J22" i="16" s="1"/>
  <c r="Z20" i="16"/>
  <c r="X20" i="16"/>
  <c r="W20" i="16"/>
  <c r="N20" i="16"/>
  <c r="O20" i="16" s="1"/>
  <c r="L20" i="16"/>
  <c r="H20" i="16"/>
  <c r="J20" i="16" s="1"/>
  <c r="Z19" i="16"/>
  <c r="X19" i="16"/>
  <c r="W19" i="16"/>
  <c r="N19" i="16"/>
  <c r="O19" i="16" s="1"/>
  <c r="L19" i="16"/>
  <c r="H19" i="16"/>
  <c r="J19" i="16" s="1"/>
  <c r="Z18" i="16"/>
  <c r="X18" i="16"/>
  <c r="W18" i="16"/>
  <c r="N18" i="16"/>
  <c r="O18" i="16" s="1"/>
  <c r="L18" i="16"/>
  <c r="H18" i="16"/>
  <c r="J18" i="16" s="1"/>
  <c r="Z17" i="16"/>
  <c r="X17" i="16"/>
  <c r="W17" i="16"/>
  <c r="N17" i="16"/>
  <c r="O17" i="16" s="1"/>
  <c r="L17" i="16"/>
  <c r="H17" i="16"/>
  <c r="J17" i="16" s="1"/>
  <c r="Z16" i="16"/>
  <c r="X16" i="16"/>
  <c r="W16" i="16"/>
  <c r="N16" i="16"/>
  <c r="O16" i="16" s="1"/>
  <c r="L16" i="16"/>
  <c r="Z15" i="16"/>
  <c r="X15" i="16"/>
  <c r="W15" i="16"/>
  <c r="N15" i="16"/>
  <c r="O15" i="16" s="1"/>
  <c r="L15" i="16"/>
  <c r="H15" i="16"/>
  <c r="J15" i="16" s="1"/>
  <c r="Z14" i="16"/>
  <c r="X14" i="16"/>
  <c r="W14" i="16"/>
  <c r="N14" i="16"/>
  <c r="O14" i="16" s="1"/>
  <c r="L14" i="16"/>
  <c r="H14" i="16"/>
  <c r="J14" i="16" s="1"/>
  <c r="Z13" i="16"/>
  <c r="X13" i="16"/>
  <c r="W13" i="16"/>
  <c r="N13" i="16"/>
  <c r="O13" i="16" s="1"/>
  <c r="L13" i="16"/>
  <c r="H13" i="16"/>
  <c r="J13" i="16" s="1"/>
  <c r="Z12" i="16"/>
  <c r="Z21" i="16" s="1"/>
  <c r="P43" i="16" s="1"/>
  <c r="X12" i="16"/>
  <c r="X21" i="16" s="1"/>
  <c r="O43" i="16" s="1"/>
  <c r="W12" i="16"/>
  <c r="N12" i="16"/>
  <c r="O12" i="16" s="1"/>
  <c r="L12" i="16"/>
  <c r="H12" i="16"/>
  <c r="J12" i="16" s="1"/>
  <c r="Z10" i="16"/>
  <c r="X10" i="16"/>
  <c r="W10" i="16"/>
  <c r="N10" i="16"/>
  <c r="O10" i="16" s="1"/>
  <c r="L10" i="16"/>
  <c r="H10" i="16"/>
  <c r="J10" i="16" s="1"/>
  <c r="Z9" i="16"/>
  <c r="X9" i="16"/>
  <c r="W9" i="16"/>
  <c r="N9" i="16"/>
  <c r="O9" i="16" s="1"/>
  <c r="L9" i="16"/>
  <c r="H9" i="16"/>
  <c r="J9" i="16" s="1"/>
  <c r="Z8" i="16"/>
  <c r="X8" i="16"/>
  <c r="W8" i="16"/>
  <c r="N8" i="16"/>
  <c r="O8" i="16" s="1"/>
  <c r="L8" i="16"/>
  <c r="H8" i="16"/>
  <c r="J8" i="16" s="1"/>
  <c r="Z7" i="16"/>
  <c r="X7" i="16"/>
  <c r="W7" i="16"/>
  <c r="N7" i="16"/>
  <c r="O7" i="16" s="1"/>
  <c r="L7" i="16"/>
  <c r="H7" i="16"/>
  <c r="J7" i="16" s="1"/>
  <c r="Z6" i="16"/>
  <c r="X6" i="16"/>
  <c r="W6" i="16"/>
  <c r="N6" i="16"/>
  <c r="O6" i="16" s="1"/>
  <c r="L6" i="16"/>
  <c r="H6" i="16"/>
  <c r="J6" i="16" s="1"/>
  <c r="Z5" i="16"/>
  <c r="X5" i="16"/>
  <c r="W5" i="16"/>
  <c r="N5" i="16"/>
  <c r="O5" i="16" s="1"/>
  <c r="L5" i="16"/>
  <c r="H5" i="16"/>
  <c r="J5" i="16" s="1"/>
  <c r="Z4" i="16"/>
  <c r="Z11" i="16" s="1"/>
  <c r="X4" i="16"/>
  <c r="W4" i="16"/>
  <c r="W11" i="16" s="1"/>
  <c r="O4" i="16"/>
  <c r="L4" i="16"/>
  <c r="H4" i="16"/>
  <c r="J4" i="16" s="1"/>
  <c r="E45" i="14"/>
  <c r="Z27" i="14"/>
  <c r="K27" i="14"/>
  <c r="K35" i="14"/>
  <c r="B45" i="15"/>
  <c r="B44" i="15"/>
  <c r="B43" i="15"/>
  <c r="B42" i="15"/>
  <c r="B46" i="15" s="1"/>
  <c r="B49" i="15" s="1"/>
  <c r="B37" i="15"/>
  <c r="Z35" i="15"/>
  <c r="X35" i="15"/>
  <c r="W35" i="15"/>
  <c r="N35" i="15"/>
  <c r="O35" i="15" s="1"/>
  <c r="L35" i="15"/>
  <c r="H35" i="15"/>
  <c r="J35" i="15" s="1"/>
  <c r="Z34" i="15"/>
  <c r="X34" i="15"/>
  <c r="W34" i="15"/>
  <c r="N34" i="15"/>
  <c r="O34" i="15" s="1"/>
  <c r="L34" i="15"/>
  <c r="H34" i="15"/>
  <c r="J34" i="15" s="1"/>
  <c r="Z33" i="15"/>
  <c r="X33" i="15"/>
  <c r="W33" i="15"/>
  <c r="O33" i="15"/>
  <c r="N33" i="15"/>
  <c r="L33" i="15"/>
  <c r="H33" i="15"/>
  <c r="J33" i="15" s="1"/>
  <c r="Z32" i="15"/>
  <c r="X32" i="15"/>
  <c r="W32" i="15"/>
  <c r="N32" i="15"/>
  <c r="O32" i="15" s="1"/>
  <c r="L32" i="15"/>
  <c r="H32" i="15"/>
  <c r="J32" i="15" s="1"/>
  <c r="Z31" i="15"/>
  <c r="X31" i="15"/>
  <c r="W31" i="15"/>
  <c r="N31" i="15"/>
  <c r="O31" i="15" s="1"/>
  <c r="L31" i="15"/>
  <c r="H31" i="15"/>
  <c r="J31" i="15" s="1"/>
  <c r="Z30" i="15"/>
  <c r="X30" i="15"/>
  <c r="W30" i="15"/>
  <c r="N30" i="15"/>
  <c r="O30" i="15" s="1"/>
  <c r="L30" i="15"/>
  <c r="H30" i="15"/>
  <c r="J30" i="15" s="1"/>
  <c r="Z29" i="15"/>
  <c r="X29" i="15"/>
  <c r="W29" i="15"/>
  <c r="N29" i="15"/>
  <c r="O29" i="15" s="1"/>
  <c r="L29" i="15"/>
  <c r="H29" i="15"/>
  <c r="J29" i="15" s="1"/>
  <c r="Z28" i="15"/>
  <c r="X28" i="15"/>
  <c r="W28" i="15"/>
  <c r="N28" i="15"/>
  <c r="O28" i="15" s="1"/>
  <c r="L28" i="15"/>
  <c r="H28" i="15"/>
  <c r="J28" i="15" s="1"/>
  <c r="Z27" i="15"/>
  <c r="Z36" i="15" s="1"/>
  <c r="P45" i="15" s="1"/>
  <c r="X27" i="15"/>
  <c r="X36" i="15" s="1"/>
  <c r="O45" i="15" s="1"/>
  <c r="W27" i="15"/>
  <c r="W36" i="15" s="1"/>
  <c r="C45" i="15" s="1"/>
  <c r="N27" i="15"/>
  <c r="O27" i="15" s="1"/>
  <c r="L27" i="15"/>
  <c r="H27" i="15"/>
  <c r="J27" i="15" s="1"/>
  <c r="Z25" i="15"/>
  <c r="X25" i="15"/>
  <c r="W25" i="15"/>
  <c r="N25" i="15"/>
  <c r="O25" i="15" s="1"/>
  <c r="L25" i="15"/>
  <c r="H25" i="15"/>
  <c r="J25" i="15" s="1"/>
  <c r="Z24" i="15"/>
  <c r="X24" i="15"/>
  <c r="W24" i="15"/>
  <c r="N24" i="15"/>
  <c r="O24" i="15" s="1"/>
  <c r="L24" i="15"/>
  <c r="H24" i="15"/>
  <c r="J24" i="15" s="1"/>
  <c r="Z23" i="15"/>
  <c r="X23" i="15"/>
  <c r="W23" i="15"/>
  <c r="N23" i="15"/>
  <c r="O23" i="15" s="1"/>
  <c r="L23" i="15"/>
  <c r="H23" i="15"/>
  <c r="J23" i="15" s="1"/>
  <c r="Z22" i="15"/>
  <c r="Z26" i="15" s="1"/>
  <c r="P44" i="15" s="1"/>
  <c r="X22" i="15"/>
  <c r="X26" i="15" s="1"/>
  <c r="O44" i="15" s="1"/>
  <c r="W22" i="15"/>
  <c r="W26" i="15" s="1"/>
  <c r="C44" i="15" s="1"/>
  <c r="N22" i="15"/>
  <c r="O22" i="15" s="1"/>
  <c r="L22" i="15"/>
  <c r="H22" i="15"/>
  <c r="J22" i="15" s="1"/>
  <c r="Z20" i="15"/>
  <c r="X20" i="15"/>
  <c r="W20" i="15"/>
  <c r="N20" i="15"/>
  <c r="O20" i="15" s="1"/>
  <c r="L20" i="15"/>
  <c r="H20" i="15"/>
  <c r="J20" i="15" s="1"/>
  <c r="Z19" i="15"/>
  <c r="X19" i="15"/>
  <c r="W19" i="15"/>
  <c r="N19" i="15"/>
  <c r="O19" i="15" s="1"/>
  <c r="L19" i="15"/>
  <c r="H19" i="15"/>
  <c r="J19" i="15" s="1"/>
  <c r="Z18" i="15"/>
  <c r="X18" i="15"/>
  <c r="W18" i="15"/>
  <c r="N18" i="15"/>
  <c r="O18" i="15" s="1"/>
  <c r="L18" i="15"/>
  <c r="H18" i="15"/>
  <c r="J18" i="15" s="1"/>
  <c r="Z17" i="15"/>
  <c r="X17" i="15"/>
  <c r="W17" i="15"/>
  <c r="N17" i="15"/>
  <c r="O17" i="15" s="1"/>
  <c r="L17" i="15"/>
  <c r="H17" i="15"/>
  <c r="J17" i="15" s="1"/>
  <c r="Z16" i="15"/>
  <c r="X16" i="15"/>
  <c r="W16" i="15"/>
  <c r="N16" i="15"/>
  <c r="O16" i="15" s="1"/>
  <c r="L16" i="15"/>
  <c r="H16" i="15"/>
  <c r="J16" i="15" s="1"/>
  <c r="Z15" i="15"/>
  <c r="X15" i="15"/>
  <c r="W15" i="15"/>
  <c r="N15" i="15"/>
  <c r="O15" i="15" s="1"/>
  <c r="L15" i="15"/>
  <c r="H15" i="15"/>
  <c r="J15" i="15" s="1"/>
  <c r="Z14" i="15"/>
  <c r="X14" i="15"/>
  <c r="W14" i="15"/>
  <c r="N14" i="15"/>
  <c r="O14" i="15" s="1"/>
  <c r="L14" i="15"/>
  <c r="H14" i="15"/>
  <c r="J14" i="15" s="1"/>
  <c r="Z13" i="15"/>
  <c r="X13" i="15"/>
  <c r="W13" i="15"/>
  <c r="N13" i="15"/>
  <c r="O13" i="15" s="1"/>
  <c r="L13" i="15"/>
  <c r="H13" i="15"/>
  <c r="J13" i="15" s="1"/>
  <c r="Z12" i="15"/>
  <c r="Z21" i="15" s="1"/>
  <c r="P43" i="15" s="1"/>
  <c r="X12" i="15"/>
  <c r="X21" i="15" s="1"/>
  <c r="O43" i="15" s="1"/>
  <c r="W12" i="15"/>
  <c r="W21" i="15" s="1"/>
  <c r="C43" i="15" s="1"/>
  <c r="N12" i="15"/>
  <c r="O12" i="15" s="1"/>
  <c r="L12" i="15"/>
  <c r="H12" i="15"/>
  <c r="J12" i="15" s="1"/>
  <c r="Z10" i="15"/>
  <c r="X10" i="15"/>
  <c r="W10" i="15"/>
  <c r="N10" i="15"/>
  <c r="O10" i="15" s="1"/>
  <c r="L10" i="15"/>
  <c r="H10" i="15"/>
  <c r="J10" i="15" s="1"/>
  <c r="Z9" i="15"/>
  <c r="X9" i="15"/>
  <c r="W9" i="15"/>
  <c r="N9" i="15"/>
  <c r="O9" i="15" s="1"/>
  <c r="L9" i="15"/>
  <c r="H9" i="15"/>
  <c r="J9" i="15" s="1"/>
  <c r="Z8" i="15"/>
  <c r="X8" i="15"/>
  <c r="W8" i="15"/>
  <c r="N8" i="15"/>
  <c r="O8" i="15" s="1"/>
  <c r="L8" i="15"/>
  <c r="H8" i="15"/>
  <c r="J8" i="15" s="1"/>
  <c r="Z7" i="15"/>
  <c r="X7" i="15"/>
  <c r="W7" i="15"/>
  <c r="N7" i="15"/>
  <c r="O7" i="15" s="1"/>
  <c r="L7" i="15"/>
  <c r="H7" i="15"/>
  <c r="J7" i="15" s="1"/>
  <c r="Z6" i="15"/>
  <c r="X6" i="15"/>
  <c r="W6" i="15"/>
  <c r="N6" i="15"/>
  <c r="O6" i="15" s="1"/>
  <c r="L6" i="15"/>
  <c r="H6" i="15"/>
  <c r="J6" i="15" s="1"/>
  <c r="Z5" i="15"/>
  <c r="X5" i="15"/>
  <c r="W5" i="15"/>
  <c r="N5" i="15"/>
  <c r="O5" i="15" s="1"/>
  <c r="L5" i="15"/>
  <c r="H5" i="15"/>
  <c r="J5" i="15" s="1"/>
  <c r="Z4" i="15"/>
  <c r="Z11" i="15" s="1"/>
  <c r="X4" i="15"/>
  <c r="X11" i="15" s="1"/>
  <c r="W4" i="15"/>
  <c r="W11" i="15" s="1"/>
  <c r="N4" i="15"/>
  <c r="O4" i="15" s="1"/>
  <c r="L4" i="15"/>
  <c r="H4" i="15"/>
  <c r="J4" i="15" s="1"/>
  <c r="B45" i="14"/>
  <c r="B42" i="14"/>
  <c r="Z35" i="14"/>
  <c r="W35" i="14"/>
  <c r="H35" i="14"/>
  <c r="J35" i="14" s="1"/>
  <c r="Z34" i="14"/>
  <c r="X34" i="14"/>
  <c r="W34" i="14"/>
  <c r="N34" i="14"/>
  <c r="O34" i="14" s="1"/>
  <c r="L34" i="14"/>
  <c r="H34" i="14"/>
  <c r="J34" i="14" s="1"/>
  <c r="Z33" i="14"/>
  <c r="X33" i="14"/>
  <c r="W33" i="14"/>
  <c r="N33" i="14"/>
  <c r="O33" i="14" s="1"/>
  <c r="L33" i="14"/>
  <c r="H33" i="14"/>
  <c r="J33" i="14" s="1"/>
  <c r="Z32" i="14"/>
  <c r="X32" i="14"/>
  <c r="W32" i="14"/>
  <c r="N32" i="14"/>
  <c r="O32" i="14" s="1"/>
  <c r="L32" i="14"/>
  <c r="H32" i="14"/>
  <c r="J32" i="14" s="1"/>
  <c r="Z31" i="14"/>
  <c r="X31" i="14"/>
  <c r="W31" i="14"/>
  <c r="N31" i="14"/>
  <c r="O31" i="14" s="1"/>
  <c r="L31" i="14"/>
  <c r="H31" i="14"/>
  <c r="J31" i="14" s="1"/>
  <c r="Z30" i="14"/>
  <c r="X30" i="14"/>
  <c r="W30" i="14"/>
  <c r="N30" i="14"/>
  <c r="O30" i="14" s="1"/>
  <c r="L30" i="14"/>
  <c r="H30" i="14"/>
  <c r="J30" i="14" s="1"/>
  <c r="Z29" i="14"/>
  <c r="W29" i="14"/>
  <c r="H29" i="14"/>
  <c r="J29" i="14" s="1"/>
  <c r="Z28" i="14"/>
  <c r="X28" i="14"/>
  <c r="W28" i="14"/>
  <c r="N28" i="14"/>
  <c r="O28" i="14" s="1"/>
  <c r="L28" i="14"/>
  <c r="H28" i="14"/>
  <c r="J28" i="14" s="1"/>
  <c r="W27" i="14"/>
  <c r="H27" i="14"/>
  <c r="J27" i="14" s="1"/>
  <c r="Z25" i="14"/>
  <c r="X25" i="14"/>
  <c r="W25" i="14"/>
  <c r="N25" i="14"/>
  <c r="L25" i="14"/>
  <c r="Z24" i="14"/>
  <c r="X24" i="14"/>
  <c r="W24" i="14"/>
  <c r="N24" i="14"/>
  <c r="L24" i="14"/>
  <c r="Z23" i="14"/>
  <c r="X23" i="14"/>
  <c r="W23" i="14"/>
  <c r="N23" i="14"/>
  <c r="L23" i="14"/>
  <c r="Z22" i="14"/>
  <c r="W22" i="14"/>
  <c r="Z20" i="14"/>
  <c r="X20" i="14"/>
  <c r="W20" i="14"/>
  <c r="Z19" i="14"/>
  <c r="X19" i="14"/>
  <c r="W19" i="14"/>
  <c r="N19" i="14"/>
  <c r="L19" i="14"/>
  <c r="Z18" i="14"/>
  <c r="X18" i="14"/>
  <c r="W18" i="14"/>
  <c r="N18" i="14"/>
  <c r="L18" i="14"/>
  <c r="Z17" i="14"/>
  <c r="X17" i="14"/>
  <c r="W17" i="14"/>
  <c r="N17" i="14"/>
  <c r="L17" i="14"/>
  <c r="Z16" i="14"/>
  <c r="X16" i="14"/>
  <c r="W16" i="14"/>
  <c r="N16" i="14"/>
  <c r="L16" i="14"/>
  <c r="Z15" i="14"/>
  <c r="X15" i="14"/>
  <c r="W15" i="14"/>
  <c r="N15" i="14"/>
  <c r="L15" i="14"/>
  <c r="Z14" i="14"/>
  <c r="X14" i="14"/>
  <c r="W14" i="14"/>
  <c r="N14" i="14"/>
  <c r="L14" i="14"/>
  <c r="Z13" i="14"/>
  <c r="X13" i="14"/>
  <c r="W13" i="14"/>
  <c r="N13" i="14"/>
  <c r="L13" i="14"/>
  <c r="Z12" i="14"/>
  <c r="W12" i="14"/>
  <c r="Z10" i="14"/>
  <c r="X10" i="14"/>
  <c r="W10" i="14"/>
  <c r="N10" i="14"/>
  <c r="O10" i="14" s="1"/>
  <c r="L10" i="14"/>
  <c r="H10" i="14"/>
  <c r="J10" i="14" s="1"/>
  <c r="Z9" i="14"/>
  <c r="W9" i="14"/>
  <c r="H9" i="14"/>
  <c r="J9" i="14" s="1"/>
  <c r="Z8" i="14"/>
  <c r="X8" i="14"/>
  <c r="W8" i="14"/>
  <c r="N8" i="14"/>
  <c r="O8" i="14" s="1"/>
  <c r="L8" i="14"/>
  <c r="H8" i="14"/>
  <c r="J8" i="14" s="1"/>
  <c r="Z7" i="14"/>
  <c r="X7" i="14"/>
  <c r="W7" i="14"/>
  <c r="N7" i="14"/>
  <c r="O7" i="14" s="1"/>
  <c r="L7" i="14"/>
  <c r="H7" i="14"/>
  <c r="J7" i="14" s="1"/>
  <c r="Z6" i="14"/>
  <c r="X6" i="14"/>
  <c r="W6" i="14"/>
  <c r="H6" i="14"/>
  <c r="J6" i="14" s="1"/>
  <c r="Z5" i="14"/>
  <c r="X5" i="14"/>
  <c r="W5" i="14"/>
  <c r="N5" i="14"/>
  <c r="O5" i="14" s="1"/>
  <c r="L5" i="14"/>
  <c r="H5" i="14"/>
  <c r="J5" i="14" s="1"/>
  <c r="Z4" i="14"/>
  <c r="X4" i="14"/>
  <c r="W4" i="14"/>
  <c r="N4" i="14"/>
  <c r="O4" i="14" s="1"/>
  <c r="L4" i="14"/>
  <c r="H4" i="14"/>
  <c r="J4" i="14" s="1"/>
  <c r="K35" i="12"/>
  <c r="L35" i="12" s="1"/>
  <c r="K27" i="12"/>
  <c r="X24" i="12"/>
  <c r="K22" i="12"/>
  <c r="K20" i="12"/>
  <c r="K12" i="12"/>
  <c r="K9" i="12"/>
  <c r="K6" i="12"/>
  <c r="W4" i="12"/>
  <c r="B45" i="13"/>
  <c r="B43" i="13"/>
  <c r="B42" i="13"/>
  <c r="B37" i="13"/>
  <c r="W36" i="13"/>
  <c r="C45" i="13" s="1"/>
  <c r="Z35" i="13"/>
  <c r="Z36" i="13" s="1"/>
  <c r="P45" i="13" s="1"/>
  <c r="Y35" i="13"/>
  <c r="X35" i="13"/>
  <c r="X36" i="13" s="1"/>
  <c r="O45" i="13" s="1"/>
  <c r="W35" i="13"/>
  <c r="N35" i="13"/>
  <c r="O35" i="13" s="1"/>
  <c r="L35" i="13"/>
  <c r="P35" i="13" s="1"/>
  <c r="R35" i="13" s="1"/>
  <c r="H35" i="13"/>
  <c r="J35" i="13" s="1"/>
  <c r="Z34" i="13"/>
  <c r="X34" i="13"/>
  <c r="W34" i="13"/>
  <c r="N34" i="13"/>
  <c r="O34" i="13" s="1"/>
  <c r="L34" i="13"/>
  <c r="H34" i="13"/>
  <c r="J34" i="13" s="1"/>
  <c r="Z33" i="13"/>
  <c r="X33" i="13"/>
  <c r="W33" i="13"/>
  <c r="N33" i="13"/>
  <c r="O33" i="13" s="1"/>
  <c r="L33" i="13"/>
  <c r="H33" i="13"/>
  <c r="J33" i="13" s="1"/>
  <c r="Z32" i="13"/>
  <c r="X32" i="13"/>
  <c r="W32" i="13"/>
  <c r="N32" i="13"/>
  <c r="O32" i="13" s="1"/>
  <c r="L32" i="13"/>
  <c r="H32" i="13"/>
  <c r="J32" i="13" s="1"/>
  <c r="Z31" i="13"/>
  <c r="X31" i="13"/>
  <c r="W31" i="13"/>
  <c r="N31" i="13"/>
  <c r="O31" i="13" s="1"/>
  <c r="L31" i="13"/>
  <c r="H31" i="13"/>
  <c r="J31" i="13" s="1"/>
  <c r="Z30" i="13"/>
  <c r="X30" i="13"/>
  <c r="W30" i="13"/>
  <c r="N30" i="13"/>
  <c r="O30" i="13" s="1"/>
  <c r="L30" i="13"/>
  <c r="H30" i="13"/>
  <c r="J30" i="13" s="1"/>
  <c r="Z29" i="13"/>
  <c r="X29" i="13"/>
  <c r="W29" i="13"/>
  <c r="N29" i="13"/>
  <c r="O29" i="13" s="1"/>
  <c r="L29" i="13"/>
  <c r="H29" i="13"/>
  <c r="J29" i="13" s="1"/>
  <c r="Z28" i="13"/>
  <c r="Y28" i="13"/>
  <c r="X28" i="13"/>
  <c r="W28" i="13"/>
  <c r="P28" i="13"/>
  <c r="R28" i="13" s="1"/>
  <c r="O28" i="13"/>
  <c r="N28" i="13"/>
  <c r="L28" i="13"/>
  <c r="H28" i="13"/>
  <c r="J28" i="13" s="1"/>
  <c r="Z27" i="13"/>
  <c r="X27" i="13"/>
  <c r="W27" i="13"/>
  <c r="N27" i="13"/>
  <c r="O27" i="13" s="1"/>
  <c r="L27" i="13"/>
  <c r="H27" i="13"/>
  <c r="J27" i="13" s="1"/>
  <c r="Z26" i="13"/>
  <c r="P44" i="13" s="1"/>
  <c r="Z25" i="13"/>
  <c r="X25" i="13"/>
  <c r="W25" i="13"/>
  <c r="N25" i="13"/>
  <c r="O25" i="13" s="1"/>
  <c r="L25" i="13"/>
  <c r="Z24" i="13"/>
  <c r="X24" i="13"/>
  <c r="W24" i="13"/>
  <c r="N24" i="13"/>
  <c r="O24" i="13" s="1"/>
  <c r="L24" i="13"/>
  <c r="Z23" i="13"/>
  <c r="X23" i="13"/>
  <c r="W23" i="13"/>
  <c r="N23" i="13"/>
  <c r="O23" i="13" s="1"/>
  <c r="L23" i="13"/>
  <c r="Z22" i="13"/>
  <c r="X22" i="13"/>
  <c r="X26" i="13" s="1"/>
  <c r="O44" i="13" s="1"/>
  <c r="W22" i="13"/>
  <c r="W26" i="13" s="1"/>
  <c r="C44" i="13" s="1"/>
  <c r="N22" i="13"/>
  <c r="O22" i="13" s="1"/>
  <c r="L22" i="13"/>
  <c r="B22" i="13"/>
  <c r="Z20" i="13"/>
  <c r="X20" i="13"/>
  <c r="W20" i="13"/>
  <c r="N20" i="13"/>
  <c r="O20" i="13" s="1"/>
  <c r="L20" i="13"/>
  <c r="H20" i="13"/>
  <c r="J20" i="13" s="1"/>
  <c r="Z19" i="13"/>
  <c r="X19" i="13"/>
  <c r="W19" i="13"/>
  <c r="N19" i="13"/>
  <c r="O19" i="13" s="1"/>
  <c r="L19" i="13"/>
  <c r="H19" i="13"/>
  <c r="J19" i="13" s="1"/>
  <c r="Z18" i="13"/>
  <c r="X18" i="13"/>
  <c r="W18" i="13"/>
  <c r="N18" i="13"/>
  <c r="O18" i="13" s="1"/>
  <c r="L18" i="13"/>
  <c r="H18" i="13"/>
  <c r="J18" i="13" s="1"/>
  <c r="Z17" i="13"/>
  <c r="X17" i="13"/>
  <c r="W17" i="13"/>
  <c r="N17" i="13"/>
  <c r="O17" i="13" s="1"/>
  <c r="L17" i="13"/>
  <c r="H17" i="13"/>
  <c r="J17" i="13" s="1"/>
  <c r="Z16" i="13"/>
  <c r="X16" i="13"/>
  <c r="W16" i="13"/>
  <c r="N16" i="13"/>
  <c r="O16" i="13" s="1"/>
  <c r="L16" i="13"/>
  <c r="H16" i="13"/>
  <c r="J16" i="13" s="1"/>
  <c r="Z15" i="13"/>
  <c r="X15" i="13"/>
  <c r="W15" i="13"/>
  <c r="N15" i="13"/>
  <c r="O15" i="13" s="1"/>
  <c r="L15" i="13"/>
  <c r="J15" i="13"/>
  <c r="H15" i="13"/>
  <c r="Z14" i="13"/>
  <c r="X14" i="13"/>
  <c r="W14" i="13"/>
  <c r="O14" i="13"/>
  <c r="N14" i="13"/>
  <c r="L14" i="13"/>
  <c r="H14" i="13"/>
  <c r="J14" i="13" s="1"/>
  <c r="Z13" i="13"/>
  <c r="X13" i="13"/>
  <c r="W13" i="13"/>
  <c r="N13" i="13"/>
  <c r="O13" i="13" s="1"/>
  <c r="L13" i="13"/>
  <c r="H13" i="13"/>
  <c r="J13" i="13" s="1"/>
  <c r="Z12" i="13"/>
  <c r="Z21" i="13" s="1"/>
  <c r="P43" i="13" s="1"/>
  <c r="Y12" i="13"/>
  <c r="X12" i="13"/>
  <c r="X21" i="13" s="1"/>
  <c r="O43" i="13" s="1"/>
  <c r="W12" i="13"/>
  <c r="W21" i="13" s="1"/>
  <c r="C43" i="13" s="1"/>
  <c r="P12" i="13"/>
  <c r="R12" i="13" s="1"/>
  <c r="N12" i="13"/>
  <c r="O12" i="13" s="1"/>
  <c r="L12" i="13"/>
  <c r="H12" i="13"/>
  <c r="J12" i="13" s="1"/>
  <c r="Z10" i="13"/>
  <c r="X10" i="13"/>
  <c r="W10" i="13"/>
  <c r="N10" i="13"/>
  <c r="O10" i="13" s="1"/>
  <c r="L10" i="13"/>
  <c r="H10" i="13"/>
  <c r="J10" i="13" s="1"/>
  <c r="Z9" i="13"/>
  <c r="X9" i="13"/>
  <c r="W9" i="13"/>
  <c r="N9" i="13"/>
  <c r="O9" i="13" s="1"/>
  <c r="L9" i="13"/>
  <c r="H9" i="13"/>
  <c r="J9" i="13" s="1"/>
  <c r="Z8" i="13"/>
  <c r="X8" i="13"/>
  <c r="W8" i="13"/>
  <c r="N8" i="13"/>
  <c r="O8" i="13" s="1"/>
  <c r="L8" i="13"/>
  <c r="H8" i="13"/>
  <c r="J8" i="13" s="1"/>
  <c r="Z7" i="13"/>
  <c r="X7" i="13"/>
  <c r="W7" i="13"/>
  <c r="N7" i="13"/>
  <c r="O7" i="13" s="1"/>
  <c r="L7" i="13"/>
  <c r="H7" i="13"/>
  <c r="J7" i="13" s="1"/>
  <c r="Z6" i="13"/>
  <c r="X6" i="13"/>
  <c r="W6" i="13"/>
  <c r="N6" i="13"/>
  <c r="O6" i="13" s="1"/>
  <c r="L6" i="13"/>
  <c r="H6" i="13"/>
  <c r="J6" i="13" s="1"/>
  <c r="Z5" i="13"/>
  <c r="X5" i="13"/>
  <c r="W5" i="13"/>
  <c r="O5" i="13"/>
  <c r="N5" i="13"/>
  <c r="L5" i="13"/>
  <c r="H5" i="13"/>
  <c r="J5" i="13" s="1"/>
  <c r="Z4" i="13"/>
  <c r="Z11" i="13" s="1"/>
  <c r="X4" i="13"/>
  <c r="X11" i="13" s="1"/>
  <c r="W4" i="13"/>
  <c r="W11" i="13" s="1"/>
  <c r="N4" i="13"/>
  <c r="O4" i="13" s="1"/>
  <c r="L4" i="13"/>
  <c r="H4" i="13"/>
  <c r="J4" i="13" s="1"/>
  <c r="L30" i="12"/>
  <c r="L31" i="12"/>
  <c r="L32" i="12"/>
  <c r="L5" i="12"/>
  <c r="B45" i="12"/>
  <c r="B44" i="12"/>
  <c r="B43" i="12"/>
  <c r="B42" i="12"/>
  <c r="B46" i="12" s="1"/>
  <c r="B49" i="12" s="1"/>
  <c r="B37" i="12"/>
  <c r="Z35" i="12"/>
  <c r="W35" i="12"/>
  <c r="H35" i="12"/>
  <c r="J35" i="12" s="1"/>
  <c r="Z34" i="12"/>
  <c r="X34" i="12"/>
  <c r="W34" i="12"/>
  <c r="N34" i="12"/>
  <c r="O34" i="12" s="1"/>
  <c r="L34" i="12"/>
  <c r="H34" i="12"/>
  <c r="J34" i="12" s="1"/>
  <c r="Z33" i="12"/>
  <c r="W33" i="12"/>
  <c r="H33" i="12"/>
  <c r="J33" i="12" s="1"/>
  <c r="Z32" i="12"/>
  <c r="X32" i="12"/>
  <c r="W32" i="12"/>
  <c r="N32" i="12"/>
  <c r="O32" i="12" s="1"/>
  <c r="H32" i="12"/>
  <c r="J32" i="12" s="1"/>
  <c r="Z31" i="12"/>
  <c r="X31" i="12"/>
  <c r="W31" i="12"/>
  <c r="N31" i="12"/>
  <c r="O31" i="12" s="1"/>
  <c r="H31" i="12"/>
  <c r="J31" i="12" s="1"/>
  <c r="Z30" i="12"/>
  <c r="X30" i="12"/>
  <c r="W30" i="12"/>
  <c r="N30" i="12"/>
  <c r="O30" i="12" s="1"/>
  <c r="H30" i="12"/>
  <c r="J30" i="12" s="1"/>
  <c r="Z29" i="12"/>
  <c r="W29" i="12"/>
  <c r="H29" i="12"/>
  <c r="J29" i="12" s="1"/>
  <c r="Z28" i="12"/>
  <c r="X28" i="12"/>
  <c r="W28" i="12"/>
  <c r="N28" i="12"/>
  <c r="O28" i="12" s="1"/>
  <c r="L28" i="12"/>
  <c r="H28" i="12"/>
  <c r="J28" i="12" s="1"/>
  <c r="Z27" i="12"/>
  <c r="Z36" i="12" s="1"/>
  <c r="P45" i="12" s="1"/>
  <c r="W27" i="12"/>
  <c r="H27" i="12"/>
  <c r="J27" i="12" s="1"/>
  <c r="Z25" i="12"/>
  <c r="X25" i="12"/>
  <c r="W25" i="12"/>
  <c r="N25" i="12"/>
  <c r="O25" i="12" s="1"/>
  <c r="L25" i="12"/>
  <c r="H25" i="12"/>
  <c r="J25" i="12" s="1"/>
  <c r="Z24" i="12"/>
  <c r="W24" i="12"/>
  <c r="N24" i="12"/>
  <c r="O24" i="12" s="1"/>
  <c r="L24" i="12"/>
  <c r="H24" i="12"/>
  <c r="J24" i="12" s="1"/>
  <c r="Z23" i="12"/>
  <c r="X23" i="12"/>
  <c r="W23" i="12"/>
  <c r="N23" i="12"/>
  <c r="O23" i="12" s="1"/>
  <c r="L23" i="12"/>
  <c r="Z22" i="12"/>
  <c r="Z26" i="12" s="1"/>
  <c r="P44" i="12" s="1"/>
  <c r="W22" i="12"/>
  <c r="Z20" i="12"/>
  <c r="W20" i="12"/>
  <c r="Z19" i="12"/>
  <c r="X19" i="12"/>
  <c r="W19" i="12"/>
  <c r="N19" i="12"/>
  <c r="L19" i="12"/>
  <c r="Z18" i="12"/>
  <c r="W18" i="12"/>
  <c r="Z17" i="12"/>
  <c r="X17" i="12"/>
  <c r="W17" i="12"/>
  <c r="N17" i="12"/>
  <c r="L17" i="12"/>
  <c r="Z16" i="12"/>
  <c r="W16" i="12"/>
  <c r="Z15" i="12"/>
  <c r="X15" i="12"/>
  <c r="W15" i="12"/>
  <c r="N15" i="12"/>
  <c r="L15" i="12"/>
  <c r="Z14" i="12"/>
  <c r="W14" i="12"/>
  <c r="Z13" i="12"/>
  <c r="X13" i="12"/>
  <c r="W13" i="12"/>
  <c r="N13" i="12"/>
  <c r="L13" i="12"/>
  <c r="Z12" i="12"/>
  <c r="W12" i="12"/>
  <c r="Z10" i="12"/>
  <c r="X10" i="12"/>
  <c r="W10" i="12"/>
  <c r="N10" i="12"/>
  <c r="O10" i="12" s="1"/>
  <c r="L10" i="12"/>
  <c r="H10" i="12"/>
  <c r="J10" i="12" s="1"/>
  <c r="Z9" i="12"/>
  <c r="W9" i="12"/>
  <c r="H9" i="12"/>
  <c r="J9" i="12" s="1"/>
  <c r="Z8" i="12"/>
  <c r="X8" i="12"/>
  <c r="W8" i="12"/>
  <c r="N8" i="12"/>
  <c r="O8" i="12" s="1"/>
  <c r="L8" i="12"/>
  <c r="H8" i="12"/>
  <c r="J8" i="12" s="1"/>
  <c r="Z7" i="12"/>
  <c r="X7" i="12"/>
  <c r="W7" i="12"/>
  <c r="N7" i="12"/>
  <c r="O7" i="12" s="1"/>
  <c r="L7" i="12"/>
  <c r="H7" i="12"/>
  <c r="J7" i="12" s="1"/>
  <c r="Z6" i="12"/>
  <c r="H6" i="12"/>
  <c r="Z5" i="12"/>
  <c r="X5" i="12"/>
  <c r="W5" i="12"/>
  <c r="N5" i="12"/>
  <c r="O5" i="12" s="1"/>
  <c r="H5" i="12"/>
  <c r="J5" i="12" s="1"/>
  <c r="Z4" i="12"/>
  <c r="H4" i="12"/>
  <c r="K35" i="10"/>
  <c r="L29" i="10"/>
  <c r="K27" i="10"/>
  <c r="X27" i="10" s="1"/>
  <c r="B22" i="10"/>
  <c r="K20" i="10"/>
  <c r="X20" i="10" s="1"/>
  <c r="K12" i="10"/>
  <c r="K6" i="10"/>
  <c r="K4" i="10"/>
  <c r="B45" i="11"/>
  <c r="B44" i="11"/>
  <c r="B43" i="11"/>
  <c r="B46" i="11" s="1"/>
  <c r="B49" i="11" s="1"/>
  <c r="B42" i="11"/>
  <c r="T41" i="11"/>
  <c r="B37" i="11"/>
  <c r="Z35" i="11"/>
  <c r="W35" i="11"/>
  <c r="W36" i="11" s="1"/>
  <c r="C45" i="11" s="1"/>
  <c r="K35" i="11"/>
  <c r="H35" i="11"/>
  <c r="J35" i="11" s="1"/>
  <c r="Z34" i="11"/>
  <c r="Z36" i="11" s="1"/>
  <c r="P45" i="11" s="1"/>
  <c r="X34" i="11"/>
  <c r="W34" i="11"/>
  <c r="N34" i="11"/>
  <c r="O34" i="11" s="1"/>
  <c r="L34" i="11"/>
  <c r="H34" i="11"/>
  <c r="J34" i="11" s="1"/>
  <c r="Z33" i="11"/>
  <c r="X33" i="11"/>
  <c r="W33" i="11"/>
  <c r="N33" i="11"/>
  <c r="O33" i="11" s="1"/>
  <c r="L33" i="11"/>
  <c r="H33" i="11"/>
  <c r="J33" i="11" s="1"/>
  <c r="Z32" i="11"/>
  <c r="X32" i="11"/>
  <c r="W32" i="11"/>
  <c r="N32" i="11"/>
  <c r="O32" i="11" s="1"/>
  <c r="L32" i="11"/>
  <c r="H32" i="11"/>
  <c r="J32" i="11" s="1"/>
  <c r="Z31" i="11"/>
  <c r="X31" i="11"/>
  <c r="W31" i="11"/>
  <c r="N31" i="11"/>
  <c r="O31" i="11" s="1"/>
  <c r="L31" i="11"/>
  <c r="H31" i="11"/>
  <c r="J31" i="11" s="1"/>
  <c r="Z30" i="11"/>
  <c r="X30" i="11"/>
  <c r="W30" i="11"/>
  <c r="N30" i="11"/>
  <c r="O30" i="11" s="1"/>
  <c r="L30" i="11"/>
  <c r="H30" i="11"/>
  <c r="J30" i="11" s="1"/>
  <c r="Z29" i="11"/>
  <c r="X29" i="11"/>
  <c r="W29" i="11"/>
  <c r="N29" i="11"/>
  <c r="O29" i="11" s="1"/>
  <c r="L29" i="11"/>
  <c r="H29" i="11"/>
  <c r="J29" i="11" s="1"/>
  <c r="Z28" i="11"/>
  <c r="X28" i="11"/>
  <c r="W28" i="11"/>
  <c r="N28" i="11"/>
  <c r="O28" i="11" s="1"/>
  <c r="L28" i="11"/>
  <c r="H28" i="11"/>
  <c r="J28" i="11" s="1"/>
  <c r="Z27" i="11"/>
  <c r="W27" i="11"/>
  <c r="K27" i="11"/>
  <c r="H27" i="11"/>
  <c r="J27" i="11" s="1"/>
  <c r="Z26" i="11"/>
  <c r="P44" i="11" s="1"/>
  <c r="Z25" i="11"/>
  <c r="X25" i="11"/>
  <c r="W25" i="11"/>
  <c r="N25" i="11"/>
  <c r="O25" i="11" s="1"/>
  <c r="L25" i="11"/>
  <c r="H25" i="11"/>
  <c r="J25" i="11" s="1"/>
  <c r="Z24" i="11"/>
  <c r="W24" i="11"/>
  <c r="K24" i="11"/>
  <c r="H24" i="11"/>
  <c r="J24" i="11" s="1"/>
  <c r="Z23" i="11"/>
  <c r="X23" i="11"/>
  <c r="W23" i="11"/>
  <c r="W26" i="11" s="1"/>
  <c r="C44" i="11" s="1"/>
  <c r="N23" i="11"/>
  <c r="O23" i="11" s="1"/>
  <c r="L23" i="11"/>
  <c r="H23" i="11"/>
  <c r="J23" i="11" s="1"/>
  <c r="Z22" i="11"/>
  <c r="X22" i="11"/>
  <c r="W22" i="11"/>
  <c r="K22" i="11"/>
  <c r="H22" i="11"/>
  <c r="J22" i="11" s="1"/>
  <c r="Z20" i="11"/>
  <c r="Z21" i="11" s="1"/>
  <c r="P43" i="11" s="1"/>
  <c r="W20" i="11"/>
  <c r="W21" i="11" s="1"/>
  <c r="C43" i="11" s="1"/>
  <c r="K20" i="11"/>
  <c r="H20" i="11"/>
  <c r="J20" i="11" s="1"/>
  <c r="Z19" i="11"/>
  <c r="X19" i="11"/>
  <c r="W19" i="11"/>
  <c r="N19" i="11"/>
  <c r="O19" i="11" s="1"/>
  <c r="L19" i="11"/>
  <c r="H19" i="11"/>
  <c r="J19" i="11" s="1"/>
  <c r="Z18" i="11"/>
  <c r="X18" i="11"/>
  <c r="W18" i="11"/>
  <c r="N18" i="11"/>
  <c r="O18" i="11" s="1"/>
  <c r="L18" i="11"/>
  <c r="H18" i="11"/>
  <c r="J18" i="11" s="1"/>
  <c r="Z17" i="11"/>
  <c r="X17" i="11"/>
  <c r="W17" i="11"/>
  <c r="N17" i="11"/>
  <c r="O17" i="11" s="1"/>
  <c r="L17" i="11"/>
  <c r="H17" i="11"/>
  <c r="J17" i="11" s="1"/>
  <c r="Z16" i="11"/>
  <c r="X16" i="11"/>
  <c r="W16" i="11"/>
  <c r="N16" i="11"/>
  <c r="O16" i="11" s="1"/>
  <c r="L16" i="11"/>
  <c r="H16" i="11"/>
  <c r="J16" i="11" s="1"/>
  <c r="Z15" i="11"/>
  <c r="X15" i="11"/>
  <c r="W15" i="11"/>
  <c r="N15" i="11"/>
  <c r="O15" i="11" s="1"/>
  <c r="L15" i="11"/>
  <c r="H15" i="11"/>
  <c r="J15" i="11" s="1"/>
  <c r="Z14" i="11"/>
  <c r="W14" i="11"/>
  <c r="K14" i="11"/>
  <c r="H14" i="11"/>
  <c r="J14" i="11" s="1"/>
  <c r="Z13" i="11"/>
  <c r="X13" i="11"/>
  <c r="W13" i="11"/>
  <c r="N13" i="11"/>
  <c r="O13" i="11" s="1"/>
  <c r="L13" i="11"/>
  <c r="H13" i="11"/>
  <c r="J13" i="11" s="1"/>
  <c r="Z12" i="11"/>
  <c r="W12" i="11"/>
  <c r="K12" i="11"/>
  <c r="H12" i="11"/>
  <c r="J12" i="11" s="1"/>
  <c r="Z11" i="11"/>
  <c r="Z10" i="11"/>
  <c r="Y10" i="11"/>
  <c r="X10" i="11"/>
  <c r="W10" i="11"/>
  <c r="W11" i="11" s="1"/>
  <c r="P10" i="11"/>
  <c r="R10" i="11" s="1"/>
  <c r="O10" i="11"/>
  <c r="N10" i="11"/>
  <c r="L10" i="11"/>
  <c r="H10" i="11"/>
  <c r="J10" i="11" s="1"/>
  <c r="Z9" i="11"/>
  <c r="W9" i="11"/>
  <c r="K9" i="11"/>
  <c r="H9" i="11"/>
  <c r="J9" i="11" s="1"/>
  <c r="Z8" i="11"/>
  <c r="X8" i="11"/>
  <c r="W8" i="11"/>
  <c r="N8" i="11"/>
  <c r="O8" i="11" s="1"/>
  <c r="L8" i="11"/>
  <c r="H8" i="11"/>
  <c r="J8" i="11" s="1"/>
  <c r="Z7" i="11"/>
  <c r="X7" i="11"/>
  <c r="W7" i="11"/>
  <c r="N7" i="11"/>
  <c r="O7" i="11" s="1"/>
  <c r="L7" i="11"/>
  <c r="H7" i="11"/>
  <c r="J7" i="11" s="1"/>
  <c r="Z6" i="11"/>
  <c r="W6" i="11"/>
  <c r="K6" i="11"/>
  <c r="H6" i="11"/>
  <c r="J6" i="11" s="1"/>
  <c r="Z5" i="11"/>
  <c r="X5" i="11"/>
  <c r="W5" i="11"/>
  <c r="N5" i="11"/>
  <c r="O5" i="11" s="1"/>
  <c r="L5" i="11"/>
  <c r="H5" i="11"/>
  <c r="J5" i="11" s="1"/>
  <c r="Z4" i="11"/>
  <c r="W4" i="11"/>
  <c r="K4" i="11"/>
  <c r="H4" i="11"/>
  <c r="J4" i="11" s="1"/>
  <c r="X33" i="10"/>
  <c r="W22" i="10"/>
  <c r="H20" i="10"/>
  <c r="J20" i="10" s="1"/>
  <c r="B45" i="10"/>
  <c r="B43" i="10"/>
  <c r="B42" i="10"/>
  <c r="Z35" i="10"/>
  <c r="W35" i="10"/>
  <c r="H35" i="10"/>
  <c r="J35" i="10" s="1"/>
  <c r="Z34" i="10"/>
  <c r="X34" i="10"/>
  <c r="W34" i="10"/>
  <c r="N34" i="10"/>
  <c r="O34" i="10" s="1"/>
  <c r="L34" i="10"/>
  <c r="H34" i="10"/>
  <c r="J34" i="10" s="1"/>
  <c r="Z33" i="10"/>
  <c r="W33" i="10"/>
  <c r="N33" i="10"/>
  <c r="O33" i="10" s="1"/>
  <c r="L33" i="10"/>
  <c r="H33" i="10"/>
  <c r="J33" i="10" s="1"/>
  <c r="Z32" i="10"/>
  <c r="X32" i="10"/>
  <c r="W32" i="10"/>
  <c r="N32" i="10"/>
  <c r="O32" i="10" s="1"/>
  <c r="L32" i="10"/>
  <c r="H32" i="10"/>
  <c r="J32" i="10" s="1"/>
  <c r="Z31" i="10"/>
  <c r="X31" i="10"/>
  <c r="W31" i="10"/>
  <c r="N31" i="10"/>
  <c r="O31" i="10" s="1"/>
  <c r="L31" i="10"/>
  <c r="H31" i="10"/>
  <c r="J31" i="10" s="1"/>
  <c r="Z30" i="10"/>
  <c r="X30" i="10"/>
  <c r="W30" i="10"/>
  <c r="N30" i="10"/>
  <c r="O30" i="10" s="1"/>
  <c r="L30" i="10"/>
  <c r="H30" i="10"/>
  <c r="J30" i="10" s="1"/>
  <c r="Z29" i="10"/>
  <c r="W29" i="10"/>
  <c r="H29" i="10"/>
  <c r="J29" i="10" s="1"/>
  <c r="Z28" i="10"/>
  <c r="X28" i="10"/>
  <c r="W28" i="10"/>
  <c r="N28" i="10"/>
  <c r="O28" i="10" s="1"/>
  <c r="L28" i="10"/>
  <c r="H28" i="10"/>
  <c r="J28" i="10" s="1"/>
  <c r="Z27" i="10"/>
  <c r="Z36" i="10" s="1"/>
  <c r="P45" i="10" s="1"/>
  <c r="W27" i="10"/>
  <c r="H27" i="10"/>
  <c r="J27" i="10" s="1"/>
  <c r="Z25" i="10"/>
  <c r="X25" i="10"/>
  <c r="W25" i="10"/>
  <c r="N25" i="10"/>
  <c r="L25" i="10"/>
  <c r="Z24" i="10"/>
  <c r="W24" i="10"/>
  <c r="Z23" i="10"/>
  <c r="X23" i="10"/>
  <c r="W23" i="10"/>
  <c r="N23" i="10"/>
  <c r="L23" i="10"/>
  <c r="Z22" i="10"/>
  <c r="Z20" i="10"/>
  <c r="W20" i="10"/>
  <c r="Z19" i="10"/>
  <c r="X19" i="10"/>
  <c r="W19" i="10"/>
  <c r="N19" i="10"/>
  <c r="O19" i="10" s="1"/>
  <c r="L19" i="10"/>
  <c r="H19" i="10"/>
  <c r="J19" i="10" s="1"/>
  <c r="Z18" i="10"/>
  <c r="X18" i="10"/>
  <c r="W18" i="10"/>
  <c r="N18" i="10"/>
  <c r="O18" i="10" s="1"/>
  <c r="L18" i="10"/>
  <c r="H18" i="10"/>
  <c r="J18" i="10" s="1"/>
  <c r="Z17" i="10"/>
  <c r="X17" i="10"/>
  <c r="W17" i="10"/>
  <c r="N17" i="10"/>
  <c r="O17" i="10" s="1"/>
  <c r="L17" i="10"/>
  <c r="H17" i="10"/>
  <c r="J17" i="10" s="1"/>
  <c r="Z16" i="10"/>
  <c r="W16" i="10"/>
  <c r="H16" i="10"/>
  <c r="J16" i="10" s="1"/>
  <c r="Z15" i="10"/>
  <c r="X15" i="10"/>
  <c r="W15" i="10"/>
  <c r="N15" i="10"/>
  <c r="O15" i="10" s="1"/>
  <c r="L15" i="10"/>
  <c r="H15" i="10"/>
  <c r="J15" i="10" s="1"/>
  <c r="Z14" i="10"/>
  <c r="W14" i="10"/>
  <c r="H14" i="10"/>
  <c r="J14" i="10" s="1"/>
  <c r="Z13" i="10"/>
  <c r="X13" i="10"/>
  <c r="W13" i="10"/>
  <c r="N13" i="10"/>
  <c r="O13" i="10" s="1"/>
  <c r="L13" i="10"/>
  <c r="H13" i="10"/>
  <c r="J13" i="10" s="1"/>
  <c r="Z12" i="10"/>
  <c r="W12" i="10"/>
  <c r="H12" i="10"/>
  <c r="J12" i="10" s="1"/>
  <c r="Z10" i="10"/>
  <c r="X10" i="10"/>
  <c r="W10" i="10"/>
  <c r="N10" i="10"/>
  <c r="O10" i="10" s="1"/>
  <c r="L10" i="10"/>
  <c r="H10" i="10"/>
  <c r="J10" i="10" s="1"/>
  <c r="Z9" i="10"/>
  <c r="W9" i="10"/>
  <c r="H9" i="10"/>
  <c r="J9" i="10" s="1"/>
  <c r="Z8" i="10"/>
  <c r="X8" i="10"/>
  <c r="W8" i="10"/>
  <c r="N8" i="10"/>
  <c r="O8" i="10" s="1"/>
  <c r="L8" i="10"/>
  <c r="Z7" i="10"/>
  <c r="X7" i="10"/>
  <c r="W7" i="10"/>
  <c r="N7" i="10"/>
  <c r="O7" i="10" s="1"/>
  <c r="L7" i="10"/>
  <c r="Z6" i="10"/>
  <c r="W6" i="10"/>
  <c r="Z5" i="10"/>
  <c r="X5" i="10"/>
  <c r="W5" i="10"/>
  <c r="N5" i="10"/>
  <c r="O5" i="10" s="1"/>
  <c r="L5" i="10"/>
  <c r="Z4" i="10"/>
  <c r="Z11" i="10" s="1"/>
  <c r="W4" i="10"/>
  <c r="AA21" i="31" l="1"/>
  <c r="Y43" i="31" s="1"/>
  <c r="Y35" i="34"/>
  <c r="P35" i="34"/>
  <c r="R35" i="34" s="1"/>
  <c r="Y34" i="34"/>
  <c r="P34" i="34"/>
  <c r="R34" i="34" s="1"/>
  <c r="P33" i="34"/>
  <c r="R33" i="34" s="1"/>
  <c r="Y33" i="34"/>
  <c r="P32" i="34"/>
  <c r="R32" i="34" s="1"/>
  <c r="Y32" i="34"/>
  <c r="P31" i="34"/>
  <c r="R31" i="34" s="1"/>
  <c r="Y31" i="34"/>
  <c r="Y30" i="34"/>
  <c r="P30" i="34"/>
  <c r="R30" i="34" s="1"/>
  <c r="P29" i="34"/>
  <c r="R29" i="34" s="1"/>
  <c r="Y29" i="34"/>
  <c r="P28" i="34"/>
  <c r="R28" i="34" s="1"/>
  <c r="Y28" i="34"/>
  <c r="Y27" i="34"/>
  <c r="Y36" i="34" s="1"/>
  <c r="W45" i="34" s="1"/>
  <c r="P27" i="34"/>
  <c r="R27" i="34" s="1"/>
  <c r="P25" i="34"/>
  <c r="R25" i="34" s="1"/>
  <c r="Y25" i="34"/>
  <c r="P24" i="34"/>
  <c r="R24" i="34" s="1"/>
  <c r="Y24" i="34"/>
  <c r="Y23" i="34"/>
  <c r="P23" i="34"/>
  <c r="R23" i="34" s="1"/>
  <c r="N22" i="34"/>
  <c r="O22" i="34" s="1"/>
  <c r="L22" i="34"/>
  <c r="X22" i="34"/>
  <c r="X26" i="34" s="1"/>
  <c r="V44" i="34" s="1"/>
  <c r="N20" i="34"/>
  <c r="O20" i="34" s="1"/>
  <c r="L20" i="34"/>
  <c r="Y19" i="34"/>
  <c r="P19" i="34"/>
  <c r="R19" i="34" s="1"/>
  <c r="X18" i="34"/>
  <c r="N18" i="34"/>
  <c r="O18" i="34" s="1"/>
  <c r="L18" i="34"/>
  <c r="Y17" i="34"/>
  <c r="P17" i="34"/>
  <c r="R17" i="34" s="1"/>
  <c r="Y16" i="34"/>
  <c r="P16" i="34"/>
  <c r="R16" i="34" s="1"/>
  <c r="Y15" i="34"/>
  <c r="P15" i="34"/>
  <c r="R15" i="34" s="1"/>
  <c r="P14" i="34"/>
  <c r="R14" i="34" s="1"/>
  <c r="Y14" i="34"/>
  <c r="P13" i="34"/>
  <c r="R13" i="34" s="1"/>
  <c r="Y13" i="34"/>
  <c r="N12" i="34"/>
  <c r="O12" i="34" s="1"/>
  <c r="O21" i="34" s="1"/>
  <c r="L12" i="34"/>
  <c r="X12" i="34"/>
  <c r="X21" i="34" s="1"/>
  <c r="V43" i="34" s="1"/>
  <c r="Y10" i="34"/>
  <c r="P10" i="34"/>
  <c r="R10" i="34" s="1"/>
  <c r="Y9" i="34"/>
  <c r="P9" i="34"/>
  <c r="R9" i="34" s="1"/>
  <c r="Y8" i="34"/>
  <c r="P8" i="34"/>
  <c r="R8" i="34" s="1"/>
  <c r="Y7" i="34"/>
  <c r="P7" i="34"/>
  <c r="R7" i="34" s="1"/>
  <c r="L6" i="34"/>
  <c r="N6" i="34"/>
  <c r="O6" i="34" s="1"/>
  <c r="X6" i="34"/>
  <c r="Y5" i="34"/>
  <c r="P5" i="34"/>
  <c r="R5" i="34" s="1"/>
  <c r="AA37" i="34"/>
  <c r="Y42" i="34"/>
  <c r="Y46" i="34" s="1"/>
  <c r="Z37" i="34"/>
  <c r="X42" i="34"/>
  <c r="X46" i="34" s="1"/>
  <c r="W37" i="34"/>
  <c r="U42" i="34"/>
  <c r="U46" i="34" s="1"/>
  <c r="U48" i="34" s="1"/>
  <c r="N4" i="34"/>
  <c r="O4" i="34" s="1"/>
  <c r="L4" i="34"/>
  <c r="X4" i="34"/>
  <c r="X11" i="34" s="1"/>
  <c r="Z21" i="31"/>
  <c r="X43" i="31" s="1"/>
  <c r="X35" i="33"/>
  <c r="L35" i="33"/>
  <c r="N35" i="33"/>
  <c r="O35" i="33" s="1"/>
  <c r="Y34" i="33"/>
  <c r="P34" i="33"/>
  <c r="R34" i="33" s="1"/>
  <c r="N33" i="33"/>
  <c r="O33" i="33" s="1"/>
  <c r="L33" i="33"/>
  <c r="X33" i="33"/>
  <c r="P32" i="33"/>
  <c r="R32" i="33" s="1"/>
  <c r="Y32" i="33"/>
  <c r="Y31" i="33"/>
  <c r="P31" i="33"/>
  <c r="R31" i="33" s="1"/>
  <c r="X31" i="33"/>
  <c r="N31" i="33"/>
  <c r="O31" i="33" s="1"/>
  <c r="X30" i="33"/>
  <c r="L30" i="33"/>
  <c r="N30" i="33"/>
  <c r="O30" i="33" s="1"/>
  <c r="X29" i="33"/>
  <c r="L29" i="33"/>
  <c r="N29" i="33"/>
  <c r="O29" i="33" s="1"/>
  <c r="P28" i="33"/>
  <c r="R28" i="33" s="1"/>
  <c r="Y28" i="33"/>
  <c r="X27" i="33"/>
  <c r="X36" i="33" s="1"/>
  <c r="V45" i="33" s="1"/>
  <c r="L27" i="33"/>
  <c r="N27" i="33"/>
  <c r="O27" i="33" s="1"/>
  <c r="P25" i="33"/>
  <c r="R25" i="33" s="1"/>
  <c r="Y25" i="33"/>
  <c r="L24" i="33"/>
  <c r="N24" i="33"/>
  <c r="O24" i="33" s="1"/>
  <c r="X24" i="33"/>
  <c r="T23" i="33"/>
  <c r="AB23" i="33"/>
  <c r="S23" i="33"/>
  <c r="U23" i="33"/>
  <c r="N22" i="33"/>
  <c r="O22" i="33" s="1"/>
  <c r="L22" i="33"/>
  <c r="X22" i="33"/>
  <c r="X26" i="33" s="1"/>
  <c r="V44" i="33" s="1"/>
  <c r="X20" i="33"/>
  <c r="L20" i="33"/>
  <c r="N20" i="33"/>
  <c r="O20" i="33" s="1"/>
  <c r="Y19" i="33"/>
  <c r="P19" i="33"/>
  <c r="R19" i="33" s="1"/>
  <c r="Y18" i="33"/>
  <c r="P18" i="33"/>
  <c r="R18" i="33" s="1"/>
  <c r="P17" i="33"/>
  <c r="R17" i="33" s="1"/>
  <c r="Y17" i="33"/>
  <c r="Y16" i="33"/>
  <c r="P16" i="33"/>
  <c r="R16" i="33" s="1"/>
  <c r="X16" i="33"/>
  <c r="N16" i="33"/>
  <c r="O16" i="33" s="1"/>
  <c r="P15" i="33"/>
  <c r="R15" i="33" s="1"/>
  <c r="Y15" i="33"/>
  <c r="P14" i="33"/>
  <c r="R14" i="33" s="1"/>
  <c r="Y14" i="33"/>
  <c r="Y13" i="33"/>
  <c r="P13" i="33"/>
  <c r="R13" i="33" s="1"/>
  <c r="N13" i="33"/>
  <c r="O13" i="33" s="1"/>
  <c r="X13" i="33"/>
  <c r="L12" i="33"/>
  <c r="X12" i="33"/>
  <c r="X21" i="33" s="1"/>
  <c r="V43" i="33" s="1"/>
  <c r="N12" i="33"/>
  <c r="O12" i="33" s="1"/>
  <c r="O21" i="33" s="1"/>
  <c r="Y10" i="33"/>
  <c r="P10" i="33"/>
  <c r="R10" i="33" s="1"/>
  <c r="P9" i="33"/>
  <c r="R9" i="33" s="1"/>
  <c r="Y9" i="33"/>
  <c r="P8" i="33"/>
  <c r="R8" i="33" s="1"/>
  <c r="Y8" i="33"/>
  <c r="Y7" i="33"/>
  <c r="P7" i="33"/>
  <c r="R7" i="33" s="1"/>
  <c r="X6" i="33"/>
  <c r="L6" i="33"/>
  <c r="N6" i="33"/>
  <c r="O6" i="33" s="1"/>
  <c r="Y5" i="33"/>
  <c r="P5" i="33"/>
  <c r="R5" i="33" s="1"/>
  <c r="AA37" i="33"/>
  <c r="Y42" i="33"/>
  <c r="Y46" i="33" s="1"/>
  <c r="Z37" i="33"/>
  <c r="X42" i="33"/>
  <c r="X46" i="33" s="1"/>
  <c r="U42" i="33"/>
  <c r="U46" i="33" s="1"/>
  <c r="U48" i="33" s="1"/>
  <c r="W37" i="33"/>
  <c r="N4" i="33"/>
  <c r="O4" i="33" s="1"/>
  <c r="X4" i="33"/>
  <c r="X11" i="33" s="1"/>
  <c r="L4" i="33"/>
  <c r="Z36" i="31"/>
  <c r="X45" i="31" s="1"/>
  <c r="X27" i="31"/>
  <c r="O27" i="31"/>
  <c r="X24" i="31"/>
  <c r="N24" i="31"/>
  <c r="O24" i="31" s="1"/>
  <c r="X20" i="31"/>
  <c r="N20" i="31"/>
  <c r="O20" i="31" s="1"/>
  <c r="L20" i="31"/>
  <c r="X13" i="31"/>
  <c r="N13" i="31"/>
  <c r="O13" i="31" s="1"/>
  <c r="L13" i="31"/>
  <c r="X12" i="31"/>
  <c r="X21" i="31" s="1"/>
  <c r="V43" i="31" s="1"/>
  <c r="N12" i="31"/>
  <c r="O12" i="31" s="1"/>
  <c r="L12" i="31"/>
  <c r="AA11" i="31"/>
  <c r="Y42" i="31" s="1"/>
  <c r="L35" i="32"/>
  <c r="N35" i="32"/>
  <c r="O35" i="32" s="1"/>
  <c r="X35" i="32"/>
  <c r="P34" i="32"/>
  <c r="R34" i="32" s="1"/>
  <c r="Y34" i="32"/>
  <c r="X33" i="32"/>
  <c r="N33" i="32"/>
  <c r="O33" i="32" s="1"/>
  <c r="L33" i="32"/>
  <c r="P32" i="32"/>
  <c r="R32" i="32" s="1"/>
  <c r="Y32" i="32"/>
  <c r="L31" i="32"/>
  <c r="X31" i="32"/>
  <c r="N31" i="32"/>
  <c r="O31" i="32" s="1"/>
  <c r="Y30" i="32"/>
  <c r="P30" i="32"/>
  <c r="R30" i="32" s="1"/>
  <c r="L29" i="32"/>
  <c r="X29" i="32"/>
  <c r="N29" i="32"/>
  <c r="O29" i="32" s="1"/>
  <c r="P28" i="32"/>
  <c r="R28" i="32" s="1"/>
  <c r="Y28" i="32"/>
  <c r="X27" i="32"/>
  <c r="X36" i="32" s="1"/>
  <c r="V45" i="32" s="1"/>
  <c r="N27" i="32"/>
  <c r="O27" i="32" s="1"/>
  <c r="L27" i="32"/>
  <c r="Y25" i="32"/>
  <c r="P25" i="32"/>
  <c r="R25" i="32" s="1"/>
  <c r="N24" i="32"/>
  <c r="O24" i="32" s="1"/>
  <c r="L24" i="32"/>
  <c r="X24" i="32"/>
  <c r="P23" i="32"/>
  <c r="R23" i="32" s="1"/>
  <c r="Y23" i="32"/>
  <c r="L22" i="32"/>
  <c r="N22" i="32"/>
  <c r="O22" i="32" s="1"/>
  <c r="X22" i="32"/>
  <c r="X26" i="32" s="1"/>
  <c r="V44" i="32" s="1"/>
  <c r="P20" i="32"/>
  <c r="R20" i="32" s="1"/>
  <c r="Y20" i="32"/>
  <c r="P19" i="32"/>
  <c r="R19" i="32" s="1"/>
  <c r="Y19" i="32"/>
  <c r="Y18" i="32"/>
  <c r="P18" i="32"/>
  <c r="R18" i="32" s="1"/>
  <c r="P17" i="32"/>
  <c r="R17" i="32" s="1"/>
  <c r="Y17" i="32"/>
  <c r="P16" i="32"/>
  <c r="R16" i="32" s="1"/>
  <c r="Y16" i="32"/>
  <c r="Y15" i="32"/>
  <c r="P15" i="32"/>
  <c r="R15" i="32" s="1"/>
  <c r="Y14" i="32"/>
  <c r="P14" i="32"/>
  <c r="R14" i="32" s="1"/>
  <c r="P13" i="32"/>
  <c r="R13" i="32" s="1"/>
  <c r="Y13" i="32"/>
  <c r="Y12" i="32"/>
  <c r="Y21" i="32" s="1"/>
  <c r="W43" i="32" s="1"/>
  <c r="P12" i="32"/>
  <c r="R12" i="32" s="1"/>
  <c r="P10" i="32"/>
  <c r="R10" i="32" s="1"/>
  <c r="Y10" i="32"/>
  <c r="Y9" i="32"/>
  <c r="P9" i="32"/>
  <c r="R9" i="32" s="1"/>
  <c r="P8" i="32"/>
  <c r="R8" i="32" s="1"/>
  <c r="Y8" i="32"/>
  <c r="Y7" i="32"/>
  <c r="P7" i="32"/>
  <c r="R7" i="32" s="1"/>
  <c r="P6" i="32"/>
  <c r="R6" i="32" s="1"/>
  <c r="Y6" i="32"/>
  <c r="AA37" i="32"/>
  <c r="Y42" i="32"/>
  <c r="Y46" i="32" s="1"/>
  <c r="Z37" i="32"/>
  <c r="X42" i="32"/>
  <c r="X46" i="32" s="1"/>
  <c r="V42" i="32"/>
  <c r="V46" i="32" s="1"/>
  <c r="X37" i="32"/>
  <c r="W37" i="32"/>
  <c r="U42" i="32"/>
  <c r="U46" i="32" s="1"/>
  <c r="U48" i="32" s="1"/>
  <c r="S5" i="32"/>
  <c r="U5" i="32"/>
  <c r="AB5" i="32"/>
  <c r="T5" i="32"/>
  <c r="P4" i="32"/>
  <c r="R4" i="32" s="1"/>
  <c r="Y4" i="32"/>
  <c r="Y11" i="32" s="1"/>
  <c r="X31" i="31"/>
  <c r="N31" i="31"/>
  <c r="O31" i="31" s="1"/>
  <c r="L31" i="31"/>
  <c r="X26" i="31"/>
  <c r="V44" i="31" s="1"/>
  <c r="Z11" i="31"/>
  <c r="AA26" i="31"/>
  <c r="Z26" i="31"/>
  <c r="X44" i="31" s="1"/>
  <c r="W26" i="31"/>
  <c r="U44" i="31" s="1"/>
  <c r="Y23" i="31"/>
  <c r="P23" i="31"/>
  <c r="R23" i="31" s="1"/>
  <c r="W11" i="31"/>
  <c r="Y10" i="31"/>
  <c r="P10" i="31"/>
  <c r="R10" i="31" s="1"/>
  <c r="T46" i="31"/>
  <c r="T48" i="31" s="1"/>
  <c r="P35" i="31"/>
  <c r="R35" i="31" s="1"/>
  <c r="Y35" i="31"/>
  <c r="Y34" i="31"/>
  <c r="P34" i="31"/>
  <c r="R34" i="31" s="1"/>
  <c r="Y33" i="31"/>
  <c r="P33" i="31"/>
  <c r="R33" i="31" s="1"/>
  <c r="P32" i="31"/>
  <c r="R32" i="31" s="1"/>
  <c r="Y32" i="31"/>
  <c r="P30" i="31"/>
  <c r="R30" i="31" s="1"/>
  <c r="Y30" i="31"/>
  <c r="P29" i="31"/>
  <c r="R29" i="31" s="1"/>
  <c r="Y29" i="31"/>
  <c r="Y28" i="31"/>
  <c r="P28" i="31"/>
  <c r="R28" i="31" s="1"/>
  <c r="P25" i="31"/>
  <c r="R25" i="31" s="1"/>
  <c r="Y25" i="31"/>
  <c r="Y24" i="31"/>
  <c r="P24" i="31"/>
  <c r="R24" i="31" s="1"/>
  <c r="AB23" i="31"/>
  <c r="P22" i="31"/>
  <c r="R22" i="31" s="1"/>
  <c r="Y22" i="31"/>
  <c r="Y19" i="31"/>
  <c r="P19" i="31"/>
  <c r="R19" i="31" s="1"/>
  <c r="Y18" i="31"/>
  <c r="P18" i="31"/>
  <c r="R18" i="31" s="1"/>
  <c r="Y17" i="31"/>
  <c r="P17" i="31"/>
  <c r="R17" i="31" s="1"/>
  <c r="P16" i="31"/>
  <c r="R16" i="31" s="1"/>
  <c r="Y16" i="31"/>
  <c r="Y15" i="31"/>
  <c r="P15" i="31"/>
  <c r="R15" i="31" s="1"/>
  <c r="P14" i="31"/>
  <c r="R14" i="31" s="1"/>
  <c r="Y14" i="31"/>
  <c r="N9" i="31"/>
  <c r="O9" i="31" s="1"/>
  <c r="L9" i="31"/>
  <c r="X9" i="31"/>
  <c r="P8" i="31"/>
  <c r="R8" i="31" s="1"/>
  <c r="Y8" i="31"/>
  <c r="Y7" i="31"/>
  <c r="P7" i="31"/>
  <c r="R7" i="31" s="1"/>
  <c r="L6" i="31"/>
  <c r="N6" i="31"/>
  <c r="O6" i="31" s="1"/>
  <c r="Y5" i="31"/>
  <c r="P5" i="31"/>
  <c r="R5" i="31" s="1"/>
  <c r="L4" i="31"/>
  <c r="N4" i="31"/>
  <c r="O4" i="31" s="1"/>
  <c r="X4" i="31"/>
  <c r="X11" i="31" s="1"/>
  <c r="W21" i="29"/>
  <c r="U43" i="29" s="1"/>
  <c r="O20" i="29"/>
  <c r="O19" i="29"/>
  <c r="O18" i="29"/>
  <c r="O17" i="29"/>
  <c r="O16" i="29"/>
  <c r="O15" i="29"/>
  <c r="O14" i="29"/>
  <c r="O13" i="29"/>
  <c r="O12" i="29"/>
  <c r="O21" i="29" s="1"/>
  <c r="T43" i="29"/>
  <c r="T46" i="29" s="1"/>
  <c r="T48" i="29" s="1"/>
  <c r="B37" i="29"/>
  <c r="H20" i="29"/>
  <c r="J20" i="29" s="1"/>
  <c r="H19" i="29"/>
  <c r="J19" i="29" s="1"/>
  <c r="H18" i="29"/>
  <c r="J18" i="29" s="1"/>
  <c r="H17" i="29"/>
  <c r="J17" i="29" s="1"/>
  <c r="H16" i="29"/>
  <c r="J16" i="29" s="1"/>
  <c r="H15" i="29"/>
  <c r="J15" i="29" s="1"/>
  <c r="H14" i="29"/>
  <c r="J14" i="29" s="1"/>
  <c r="H13" i="29"/>
  <c r="J13" i="29" s="1"/>
  <c r="H12" i="29"/>
  <c r="J12" i="29" s="1"/>
  <c r="X9" i="29"/>
  <c r="N9" i="29"/>
  <c r="O9" i="29" s="1"/>
  <c r="L9" i="29"/>
  <c r="X6" i="29"/>
  <c r="N6" i="29"/>
  <c r="O6" i="29" s="1"/>
  <c r="L6" i="29"/>
  <c r="AA11" i="29"/>
  <c r="Y42" i="29" s="1"/>
  <c r="Z21" i="29"/>
  <c r="X43" i="29" s="1"/>
  <c r="AA37" i="29"/>
  <c r="Y45" i="29"/>
  <c r="Y46" i="29" s="1"/>
  <c r="N35" i="30"/>
  <c r="O35" i="30" s="1"/>
  <c r="L35" i="30"/>
  <c r="X35" i="30"/>
  <c r="P34" i="30"/>
  <c r="R34" i="30" s="1"/>
  <c r="Y34" i="30"/>
  <c r="L33" i="30"/>
  <c r="N33" i="30"/>
  <c r="O33" i="30" s="1"/>
  <c r="X33" i="30"/>
  <c r="P32" i="30"/>
  <c r="R32" i="30" s="1"/>
  <c r="Y32" i="30"/>
  <c r="L31" i="30"/>
  <c r="X31" i="30"/>
  <c r="N31" i="30"/>
  <c r="O31" i="30" s="1"/>
  <c r="Y30" i="30"/>
  <c r="P30" i="30"/>
  <c r="R30" i="30" s="1"/>
  <c r="X29" i="30"/>
  <c r="N29" i="30"/>
  <c r="O29" i="30" s="1"/>
  <c r="L29" i="30"/>
  <c r="X28" i="30"/>
  <c r="L28" i="30"/>
  <c r="N28" i="30"/>
  <c r="O28" i="30" s="1"/>
  <c r="N27" i="30"/>
  <c r="O27" i="30" s="1"/>
  <c r="X27" i="30"/>
  <c r="X36" i="30" s="1"/>
  <c r="V45" i="30" s="1"/>
  <c r="L27" i="30"/>
  <c r="P25" i="30"/>
  <c r="R25" i="30" s="1"/>
  <c r="Y25" i="30"/>
  <c r="U24" i="30"/>
  <c r="AB24" i="30"/>
  <c r="S24" i="30"/>
  <c r="T24" i="30"/>
  <c r="Y23" i="30"/>
  <c r="P23" i="30"/>
  <c r="R23" i="30" s="1"/>
  <c r="P22" i="30"/>
  <c r="R22" i="30" s="1"/>
  <c r="Y22" i="30"/>
  <c r="Y26" i="30" s="1"/>
  <c r="W44" i="30" s="1"/>
  <c r="P20" i="30"/>
  <c r="R20" i="30" s="1"/>
  <c r="Y20" i="30"/>
  <c r="P19" i="30"/>
  <c r="R19" i="30" s="1"/>
  <c r="Y19" i="30"/>
  <c r="Y18" i="30"/>
  <c r="P18" i="30"/>
  <c r="R18" i="30" s="1"/>
  <c r="Y17" i="30"/>
  <c r="P17" i="30"/>
  <c r="R17" i="30" s="1"/>
  <c r="Y16" i="30"/>
  <c r="P16" i="30"/>
  <c r="R16" i="30" s="1"/>
  <c r="AB15" i="30"/>
  <c r="T15" i="30"/>
  <c r="U15" i="30"/>
  <c r="S15" i="30"/>
  <c r="P14" i="30"/>
  <c r="R14" i="30" s="1"/>
  <c r="Y14" i="30"/>
  <c r="Y13" i="30"/>
  <c r="P13" i="30"/>
  <c r="R13" i="30" s="1"/>
  <c r="P12" i="30"/>
  <c r="R12" i="30" s="1"/>
  <c r="Y12" i="30"/>
  <c r="Y21" i="30" s="1"/>
  <c r="W43" i="30" s="1"/>
  <c r="Y10" i="30"/>
  <c r="P10" i="30"/>
  <c r="R10" i="30" s="1"/>
  <c r="Y9" i="30"/>
  <c r="P9" i="30"/>
  <c r="R9" i="30" s="1"/>
  <c r="AA37" i="30"/>
  <c r="Y42" i="30"/>
  <c r="Y46" i="30" s="1"/>
  <c r="Z37" i="30"/>
  <c r="X42" i="30"/>
  <c r="X46" i="30" s="1"/>
  <c r="X37" i="30"/>
  <c r="V42" i="30"/>
  <c r="V46" i="30" s="1"/>
  <c r="W37" i="30"/>
  <c r="U42" i="30"/>
  <c r="U46" i="30" s="1"/>
  <c r="Y8" i="30"/>
  <c r="P8" i="30"/>
  <c r="R8" i="30" s="1"/>
  <c r="Y7" i="30"/>
  <c r="P7" i="30"/>
  <c r="R7" i="30" s="1"/>
  <c r="Y6" i="30"/>
  <c r="P6" i="30"/>
  <c r="R6" i="30" s="1"/>
  <c r="Y5" i="30"/>
  <c r="P5" i="30"/>
  <c r="R5" i="30" s="1"/>
  <c r="Y4" i="30"/>
  <c r="Y11" i="30" s="1"/>
  <c r="P4" i="30"/>
  <c r="R4" i="30" s="1"/>
  <c r="W36" i="29"/>
  <c r="U45" i="29" s="1"/>
  <c r="N35" i="29"/>
  <c r="O35" i="29" s="1"/>
  <c r="X35" i="29"/>
  <c r="X28" i="29"/>
  <c r="N28" i="29"/>
  <c r="O28" i="29" s="1"/>
  <c r="L28" i="29"/>
  <c r="Z36" i="29"/>
  <c r="X45" i="29" s="1"/>
  <c r="Z11" i="29"/>
  <c r="X42" i="29" s="1"/>
  <c r="X11" i="29"/>
  <c r="N27" i="29"/>
  <c r="O27" i="29" s="1"/>
  <c r="X27" i="29"/>
  <c r="X36" i="29" s="1"/>
  <c r="W11" i="29"/>
  <c r="U42" i="29" s="1"/>
  <c r="Y35" i="29"/>
  <c r="P35" i="29"/>
  <c r="R35" i="29" s="1"/>
  <c r="P34" i="29"/>
  <c r="R34" i="29" s="1"/>
  <c r="Y34" i="29"/>
  <c r="P33" i="29"/>
  <c r="R33" i="29" s="1"/>
  <c r="Y33" i="29"/>
  <c r="Y32" i="29"/>
  <c r="P32" i="29"/>
  <c r="R32" i="29" s="1"/>
  <c r="Y31" i="29"/>
  <c r="P31" i="29"/>
  <c r="R31" i="29" s="1"/>
  <c r="Y30" i="29"/>
  <c r="P30" i="29"/>
  <c r="R30" i="29" s="1"/>
  <c r="P29" i="29"/>
  <c r="R29" i="29" s="1"/>
  <c r="Y29" i="29"/>
  <c r="P28" i="29"/>
  <c r="R28" i="29" s="1"/>
  <c r="Y28" i="29"/>
  <c r="P25" i="29"/>
  <c r="R25" i="29" s="1"/>
  <c r="Y25" i="29"/>
  <c r="Y24" i="29"/>
  <c r="P24" i="29"/>
  <c r="R24" i="29" s="1"/>
  <c r="Y23" i="29"/>
  <c r="P23" i="29"/>
  <c r="R23" i="29" s="1"/>
  <c r="Y22" i="29"/>
  <c r="P22" i="29"/>
  <c r="R22" i="29" s="1"/>
  <c r="Y20" i="29"/>
  <c r="P20" i="29"/>
  <c r="R20" i="29" s="1"/>
  <c r="Y19" i="29"/>
  <c r="P19" i="29"/>
  <c r="R19" i="29" s="1"/>
  <c r="Y18" i="29"/>
  <c r="P18" i="29"/>
  <c r="R18" i="29" s="1"/>
  <c r="Y17" i="29"/>
  <c r="P17" i="29"/>
  <c r="R17" i="29" s="1"/>
  <c r="Y16" i="29"/>
  <c r="P16" i="29"/>
  <c r="R16" i="29" s="1"/>
  <c r="P15" i="29"/>
  <c r="R15" i="29" s="1"/>
  <c r="Y15" i="29"/>
  <c r="Y14" i="29"/>
  <c r="P14" i="29"/>
  <c r="R14" i="29" s="1"/>
  <c r="P13" i="29"/>
  <c r="R13" i="29" s="1"/>
  <c r="Y13" i="29"/>
  <c r="Y12" i="29"/>
  <c r="P12" i="29"/>
  <c r="R12" i="29" s="1"/>
  <c r="P10" i="29"/>
  <c r="R10" i="29" s="1"/>
  <c r="Y10" i="29"/>
  <c r="Y9" i="29"/>
  <c r="P9" i="29"/>
  <c r="R9" i="29" s="1"/>
  <c r="Y8" i="29"/>
  <c r="P8" i="29"/>
  <c r="R8" i="29" s="1"/>
  <c r="Y7" i="29"/>
  <c r="P7" i="29"/>
  <c r="R7" i="29" s="1"/>
  <c r="P6" i="29"/>
  <c r="R6" i="29" s="1"/>
  <c r="Y6" i="29"/>
  <c r="Y5" i="29"/>
  <c r="P5" i="29"/>
  <c r="R5" i="29" s="1"/>
  <c r="Y4" i="29"/>
  <c r="P4" i="29"/>
  <c r="R4" i="29" s="1"/>
  <c r="Z11" i="28"/>
  <c r="W11" i="28"/>
  <c r="W21" i="28"/>
  <c r="J12" i="28"/>
  <c r="Y7" i="28"/>
  <c r="P7" i="28"/>
  <c r="R7" i="28" s="1"/>
  <c r="Y4" i="28"/>
  <c r="P4" i="28"/>
  <c r="R4" i="28" s="1"/>
  <c r="P35" i="28"/>
  <c r="R35" i="28" s="1"/>
  <c r="Y35" i="28"/>
  <c r="P34" i="28"/>
  <c r="R34" i="28" s="1"/>
  <c r="Y34" i="28"/>
  <c r="P33" i="28"/>
  <c r="R33" i="28" s="1"/>
  <c r="Y33" i="28"/>
  <c r="Y32" i="28"/>
  <c r="P32" i="28"/>
  <c r="R32" i="28" s="1"/>
  <c r="Y31" i="28"/>
  <c r="P31" i="28"/>
  <c r="R31" i="28" s="1"/>
  <c r="P30" i="28"/>
  <c r="R30" i="28" s="1"/>
  <c r="Y30" i="28"/>
  <c r="Y29" i="28"/>
  <c r="P29" i="28"/>
  <c r="R29" i="28" s="1"/>
  <c r="Y28" i="28"/>
  <c r="P28" i="28"/>
  <c r="R28" i="28" s="1"/>
  <c r="Y27" i="28"/>
  <c r="P27" i="28"/>
  <c r="R27" i="28" s="1"/>
  <c r="Y25" i="28"/>
  <c r="P25" i="28"/>
  <c r="R25" i="28" s="1"/>
  <c r="Y24" i="28"/>
  <c r="P24" i="28"/>
  <c r="R24" i="28" s="1"/>
  <c r="P23" i="28"/>
  <c r="R23" i="28" s="1"/>
  <c r="Y23" i="28"/>
  <c r="L22" i="28"/>
  <c r="N22" i="28"/>
  <c r="O22" i="28" s="1"/>
  <c r="X22" i="28"/>
  <c r="X26" i="28" s="1"/>
  <c r="L20" i="28"/>
  <c r="X20" i="28"/>
  <c r="N20" i="28"/>
  <c r="O20" i="28" s="1"/>
  <c r="P19" i="28"/>
  <c r="R19" i="28" s="1"/>
  <c r="Y19" i="28"/>
  <c r="Y18" i="28"/>
  <c r="P18" i="28"/>
  <c r="R18" i="28" s="1"/>
  <c r="X18" i="28"/>
  <c r="N18" i="28"/>
  <c r="O18" i="28" s="1"/>
  <c r="Y17" i="28"/>
  <c r="P17" i="28"/>
  <c r="R17" i="28" s="1"/>
  <c r="P16" i="28"/>
  <c r="R16" i="28" s="1"/>
  <c r="Y16" i="28"/>
  <c r="N15" i="28"/>
  <c r="O15" i="28" s="1"/>
  <c r="X15" i="28"/>
  <c r="L15" i="28"/>
  <c r="X14" i="28"/>
  <c r="N14" i="28"/>
  <c r="O14" i="28" s="1"/>
  <c r="L14" i="28"/>
  <c r="X13" i="28"/>
  <c r="N13" i="28"/>
  <c r="O13" i="28" s="1"/>
  <c r="L13" i="28"/>
  <c r="L12" i="28"/>
  <c r="N12" i="28"/>
  <c r="O12" i="28" s="1"/>
  <c r="X12" i="28"/>
  <c r="X21" i="28" s="1"/>
  <c r="V43" i="28" s="1"/>
  <c r="Y10" i="28"/>
  <c r="P10" i="28"/>
  <c r="R10" i="28" s="1"/>
  <c r="Y9" i="28"/>
  <c r="P9" i="28"/>
  <c r="R9" i="28" s="1"/>
  <c r="P8" i="28"/>
  <c r="R8" i="28" s="1"/>
  <c r="Y8" i="28"/>
  <c r="T7" i="28"/>
  <c r="AA7" i="28"/>
  <c r="S7" i="28"/>
  <c r="U7" i="28"/>
  <c r="N6" i="28"/>
  <c r="O6" i="28" s="1"/>
  <c r="X6" i="28"/>
  <c r="X11" i="28" s="1"/>
  <c r="V42" i="28" s="1"/>
  <c r="L6" i="28"/>
  <c r="P5" i="28"/>
  <c r="R5" i="28" s="1"/>
  <c r="Y5" i="28"/>
  <c r="Z37" i="28"/>
  <c r="X42" i="28"/>
  <c r="X46" i="28" s="1"/>
  <c r="X35" i="21"/>
  <c r="N35" i="21"/>
  <c r="O35" i="21" s="1"/>
  <c r="L35" i="21"/>
  <c r="X29" i="21"/>
  <c r="N29" i="21"/>
  <c r="O29" i="21" s="1"/>
  <c r="L29" i="21"/>
  <c r="X28" i="21"/>
  <c r="N28" i="21"/>
  <c r="O28" i="21" s="1"/>
  <c r="L28" i="21"/>
  <c r="Z21" i="21"/>
  <c r="X43" i="21" s="1"/>
  <c r="N15" i="21"/>
  <c r="O15" i="21" s="1"/>
  <c r="X15" i="21"/>
  <c r="L15" i="21"/>
  <c r="N13" i="21"/>
  <c r="O13" i="21" s="1"/>
  <c r="L13" i="21"/>
  <c r="X13" i="21"/>
  <c r="X16" i="21"/>
  <c r="N16" i="21"/>
  <c r="O16" i="21" s="1"/>
  <c r="L16" i="21"/>
  <c r="N6" i="21"/>
  <c r="O6" i="21" s="1"/>
  <c r="L6" i="21"/>
  <c r="P6" i="21" s="1"/>
  <c r="R6" i="21" s="1"/>
  <c r="X6" i="21"/>
  <c r="O18" i="21"/>
  <c r="O17" i="21"/>
  <c r="H18" i="21"/>
  <c r="J18" i="21" s="1"/>
  <c r="H17" i="21"/>
  <c r="J17" i="21" s="1"/>
  <c r="H16" i="21"/>
  <c r="J16" i="21" s="1"/>
  <c r="H15" i="21"/>
  <c r="J15" i="21" s="1"/>
  <c r="H14" i="21"/>
  <c r="J14" i="21" s="1"/>
  <c r="H13" i="21"/>
  <c r="J13" i="21" s="1"/>
  <c r="H12" i="21"/>
  <c r="J12" i="21" s="1"/>
  <c r="Y35" i="27"/>
  <c r="P35" i="27"/>
  <c r="R35" i="27" s="1"/>
  <c r="Y34" i="27"/>
  <c r="P34" i="27"/>
  <c r="R34" i="27" s="1"/>
  <c r="Y33" i="27"/>
  <c r="P33" i="27"/>
  <c r="R33" i="27" s="1"/>
  <c r="Y32" i="27"/>
  <c r="P32" i="27"/>
  <c r="R32" i="27" s="1"/>
  <c r="P31" i="27"/>
  <c r="R31" i="27" s="1"/>
  <c r="Y31" i="27"/>
  <c r="Y30" i="27"/>
  <c r="P30" i="27"/>
  <c r="R30" i="27" s="1"/>
  <c r="P29" i="27"/>
  <c r="R29" i="27" s="1"/>
  <c r="Y29" i="27"/>
  <c r="P28" i="27"/>
  <c r="R28" i="27" s="1"/>
  <c r="Y28" i="27"/>
  <c r="Y27" i="27"/>
  <c r="Y36" i="27" s="1"/>
  <c r="W45" i="27" s="1"/>
  <c r="P27" i="27"/>
  <c r="R27" i="27" s="1"/>
  <c r="T25" i="27"/>
  <c r="S25" i="27"/>
  <c r="U25" i="27"/>
  <c r="AA25" i="27"/>
  <c r="P24" i="27"/>
  <c r="R24" i="27" s="1"/>
  <c r="Y24" i="27"/>
  <c r="P23" i="27"/>
  <c r="R23" i="27" s="1"/>
  <c r="Y23" i="27"/>
  <c r="L22" i="27"/>
  <c r="N22" i="27"/>
  <c r="O22" i="27" s="1"/>
  <c r="X22" i="27"/>
  <c r="X26" i="27" s="1"/>
  <c r="V44" i="27" s="1"/>
  <c r="Y20" i="27"/>
  <c r="P20" i="27"/>
  <c r="R20" i="27" s="1"/>
  <c r="Y19" i="27"/>
  <c r="P19" i="27"/>
  <c r="R19" i="27" s="1"/>
  <c r="Y18" i="27"/>
  <c r="P18" i="27"/>
  <c r="R18" i="27" s="1"/>
  <c r="Y17" i="27"/>
  <c r="P17" i="27"/>
  <c r="R17" i="27" s="1"/>
  <c r="P16" i="27"/>
  <c r="R16" i="27" s="1"/>
  <c r="Y16" i="27"/>
  <c r="P15" i="27"/>
  <c r="R15" i="27" s="1"/>
  <c r="Y15" i="27"/>
  <c r="T14" i="27"/>
  <c r="S14" i="27"/>
  <c r="AA14" i="27"/>
  <c r="U14" i="27"/>
  <c r="Y13" i="27"/>
  <c r="P13" i="27"/>
  <c r="R13" i="27" s="1"/>
  <c r="P12" i="27"/>
  <c r="R12" i="27" s="1"/>
  <c r="Y12" i="27"/>
  <c r="Y21" i="27" s="1"/>
  <c r="W43" i="27" s="1"/>
  <c r="X42" i="27"/>
  <c r="X46" i="27" s="1"/>
  <c r="Z37" i="27"/>
  <c r="U42" i="27"/>
  <c r="U46" i="27" s="1"/>
  <c r="W37" i="27"/>
  <c r="T10" i="27"/>
  <c r="AA10" i="27"/>
  <c r="U10" i="27"/>
  <c r="S10" i="27"/>
  <c r="P9" i="27"/>
  <c r="R9" i="27" s="1"/>
  <c r="Y9" i="27"/>
  <c r="P8" i="27"/>
  <c r="R8" i="27" s="1"/>
  <c r="Y8" i="27"/>
  <c r="Y7" i="27"/>
  <c r="P7" i="27"/>
  <c r="R7" i="27" s="1"/>
  <c r="X6" i="27"/>
  <c r="N6" i="27"/>
  <c r="O6" i="27" s="1"/>
  <c r="L6" i="27"/>
  <c r="Y5" i="27"/>
  <c r="P5" i="27"/>
  <c r="R5" i="27" s="1"/>
  <c r="N4" i="27"/>
  <c r="O4" i="27" s="1"/>
  <c r="L4" i="27"/>
  <c r="X4" i="27"/>
  <c r="X11" i="27" s="1"/>
  <c r="H20" i="21"/>
  <c r="J20" i="21" s="1"/>
  <c r="H19" i="21"/>
  <c r="J19" i="21" s="1"/>
  <c r="P35" i="26"/>
  <c r="R35" i="26" s="1"/>
  <c r="Y35" i="26"/>
  <c r="Y34" i="26"/>
  <c r="P34" i="26"/>
  <c r="R34" i="26" s="1"/>
  <c r="Y33" i="26"/>
  <c r="P33" i="26"/>
  <c r="R33" i="26" s="1"/>
  <c r="Y32" i="26"/>
  <c r="P32" i="26"/>
  <c r="R32" i="26" s="1"/>
  <c r="Y31" i="26"/>
  <c r="P31" i="26"/>
  <c r="R31" i="26" s="1"/>
  <c r="Y30" i="26"/>
  <c r="P30" i="26"/>
  <c r="R30" i="26" s="1"/>
  <c r="Y29" i="26"/>
  <c r="P29" i="26"/>
  <c r="R29" i="26" s="1"/>
  <c r="P28" i="26"/>
  <c r="R28" i="26" s="1"/>
  <c r="Y28" i="26"/>
  <c r="X27" i="26"/>
  <c r="X36" i="26" s="1"/>
  <c r="V45" i="26" s="1"/>
  <c r="L27" i="26"/>
  <c r="N27" i="26"/>
  <c r="O27" i="26" s="1"/>
  <c r="Y25" i="26"/>
  <c r="P25" i="26"/>
  <c r="R25" i="26" s="1"/>
  <c r="Y24" i="26"/>
  <c r="P24" i="26"/>
  <c r="R24" i="26" s="1"/>
  <c r="Y23" i="26"/>
  <c r="P23" i="26"/>
  <c r="R23" i="26" s="1"/>
  <c r="P22" i="26"/>
  <c r="R22" i="26" s="1"/>
  <c r="Y22" i="26"/>
  <c r="Y26" i="26" s="1"/>
  <c r="W44" i="26" s="1"/>
  <c r="N20" i="26"/>
  <c r="O20" i="26" s="1"/>
  <c r="X20" i="26"/>
  <c r="X21" i="26" s="1"/>
  <c r="V43" i="26" s="1"/>
  <c r="L20" i="26"/>
  <c r="Y19" i="26"/>
  <c r="P19" i="26"/>
  <c r="R19" i="26" s="1"/>
  <c r="Y18" i="26"/>
  <c r="P18" i="26"/>
  <c r="R18" i="26" s="1"/>
  <c r="Y17" i="26"/>
  <c r="P17" i="26"/>
  <c r="R17" i="26" s="1"/>
  <c r="Y16" i="26"/>
  <c r="P16" i="26"/>
  <c r="R16" i="26" s="1"/>
  <c r="P15" i="26"/>
  <c r="R15" i="26" s="1"/>
  <c r="Y15" i="26"/>
  <c r="P14" i="26"/>
  <c r="R14" i="26" s="1"/>
  <c r="Y14" i="26"/>
  <c r="P13" i="26"/>
  <c r="R13" i="26" s="1"/>
  <c r="Y13" i="26"/>
  <c r="L12" i="26"/>
  <c r="N12" i="26"/>
  <c r="O12" i="26" s="1"/>
  <c r="P10" i="26"/>
  <c r="R10" i="26" s="1"/>
  <c r="Y10" i="26"/>
  <c r="P9" i="26"/>
  <c r="R9" i="26" s="1"/>
  <c r="Y9" i="26"/>
  <c r="P8" i="26"/>
  <c r="R8" i="26" s="1"/>
  <c r="Y8" i="26"/>
  <c r="P7" i="26"/>
  <c r="R7" i="26" s="1"/>
  <c r="Y7" i="26"/>
  <c r="P6" i="26"/>
  <c r="R6" i="26" s="1"/>
  <c r="Y6" i="26"/>
  <c r="Y5" i="26"/>
  <c r="P5" i="26"/>
  <c r="R5" i="26" s="1"/>
  <c r="Z37" i="26"/>
  <c r="X42" i="26"/>
  <c r="X46" i="26" s="1"/>
  <c r="W37" i="26"/>
  <c r="U42" i="26"/>
  <c r="U46" i="26" s="1"/>
  <c r="X4" i="26"/>
  <c r="X11" i="26" s="1"/>
  <c r="N4" i="26"/>
  <c r="O4" i="26" s="1"/>
  <c r="L4" i="26"/>
  <c r="N27" i="21"/>
  <c r="O27" i="21" s="1"/>
  <c r="L27" i="21"/>
  <c r="X27" i="21"/>
  <c r="X35" i="25"/>
  <c r="X36" i="25" s="1"/>
  <c r="V45" i="25" s="1"/>
  <c r="N35" i="25"/>
  <c r="O35" i="25" s="1"/>
  <c r="L35" i="25"/>
  <c r="Y34" i="25"/>
  <c r="P34" i="25"/>
  <c r="R34" i="25" s="1"/>
  <c r="Y33" i="25"/>
  <c r="P33" i="25"/>
  <c r="R33" i="25" s="1"/>
  <c r="Y32" i="25"/>
  <c r="P32" i="25"/>
  <c r="R32" i="25" s="1"/>
  <c r="P31" i="25"/>
  <c r="R31" i="25" s="1"/>
  <c r="Y31" i="25"/>
  <c r="Y30" i="25"/>
  <c r="P30" i="25"/>
  <c r="R30" i="25" s="1"/>
  <c r="Y29" i="25"/>
  <c r="P29" i="25"/>
  <c r="R29" i="25" s="1"/>
  <c r="P28" i="25"/>
  <c r="R28" i="25" s="1"/>
  <c r="Y28" i="25"/>
  <c r="L27" i="25"/>
  <c r="N27" i="25"/>
  <c r="O27" i="25" s="1"/>
  <c r="P25" i="25"/>
  <c r="R25" i="25" s="1"/>
  <c r="Y25" i="25"/>
  <c r="X24" i="25"/>
  <c r="X26" i="25" s="1"/>
  <c r="V44" i="25" s="1"/>
  <c r="L24" i="25"/>
  <c r="N24" i="25"/>
  <c r="O24" i="25" s="1"/>
  <c r="Y23" i="25"/>
  <c r="P23" i="25"/>
  <c r="R23" i="25" s="1"/>
  <c r="P22" i="25"/>
  <c r="R22" i="25" s="1"/>
  <c r="Y22" i="25"/>
  <c r="N20" i="25"/>
  <c r="O20" i="25" s="1"/>
  <c r="L20" i="25"/>
  <c r="X20" i="25"/>
  <c r="Y19" i="25"/>
  <c r="P19" i="25"/>
  <c r="R19" i="25" s="1"/>
  <c r="P18" i="25"/>
  <c r="R18" i="25" s="1"/>
  <c r="Y18" i="25"/>
  <c r="P17" i="25"/>
  <c r="R17" i="25" s="1"/>
  <c r="Y17" i="25"/>
  <c r="Y16" i="25"/>
  <c r="P16" i="25"/>
  <c r="R16" i="25" s="1"/>
  <c r="Y15" i="25"/>
  <c r="P15" i="25"/>
  <c r="R15" i="25" s="1"/>
  <c r="T14" i="25"/>
  <c r="S14" i="25"/>
  <c r="U14" i="25"/>
  <c r="AA14" i="25"/>
  <c r="Y13" i="25"/>
  <c r="P13" i="25"/>
  <c r="R13" i="25" s="1"/>
  <c r="L12" i="25"/>
  <c r="N12" i="25"/>
  <c r="O12" i="25" s="1"/>
  <c r="X12" i="25"/>
  <c r="X21" i="25" s="1"/>
  <c r="V43" i="25" s="1"/>
  <c r="AA10" i="25"/>
  <c r="T10" i="25"/>
  <c r="U10" i="25"/>
  <c r="S10" i="25"/>
  <c r="L9" i="25"/>
  <c r="X9" i="25"/>
  <c r="N9" i="25"/>
  <c r="O9" i="25" s="1"/>
  <c r="P8" i="25"/>
  <c r="R8" i="25" s="1"/>
  <c r="Y8" i="25"/>
  <c r="Y7" i="25"/>
  <c r="P7" i="25"/>
  <c r="R7" i="25" s="1"/>
  <c r="X6" i="25"/>
  <c r="L6" i="25"/>
  <c r="N6" i="25"/>
  <c r="O6" i="25" s="1"/>
  <c r="Y5" i="25"/>
  <c r="P5" i="25"/>
  <c r="R5" i="25" s="1"/>
  <c r="Z37" i="25"/>
  <c r="X42" i="25"/>
  <c r="X46" i="25" s="1"/>
  <c r="W37" i="25"/>
  <c r="U42" i="25"/>
  <c r="U46" i="25" s="1"/>
  <c r="X4" i="25"/>
  <c r="X11" i="25" s="1"/>
  <c r="L4" i="25"/>
  <c r="N4" i="25"/>
  <c r="O4" i="25" s="1"/>
  <c r="X33" i="21"/>
  <c r="N33" i="21"/>
  <c r="O33" i="21" s="1"/>
  <c r="L33" i="21"/>
  <c r="X31" i="21"/>
  <c r="N31" i="21"/>
  <c r="O31" i="21" s="1"/>
  <c r="L31" i="21"/>
  <c r="X14" i="21"/>
  <c r="N14" i="21"/>
  <c r="O14" i="21" s="1"/>
  <c r="L14" i="21"/>
  <c r="L9" i="21"/>
  <c r="X9" i="21"/>
  <c r="N9" i="21"/>
  <c r="O9" i="21" s="1"/>
  <c r="Z11" i="21"/>
  <c r="X42" i="21" s="1"/>
  <c r="Y35" i="24"/>
  <c r="P35" i="24"/>
  <c r="R35" i="24" s="1"/>
  <c r="P34" i="24"/>
  <c r="R34" i="24" s="1"/>
  <c r="Y34" i="24"/>
  <c r="Y33" i="24"/>
  <c r="P33" i="24"/>
  <c r="R33" i="24" s="1"/>
  <c r="P32" i="24"/>
  <c r="R32" i="24" s="1"/>
  <c r="Y32" i="24"/>
  <c r="P31" i="24"/>
  <c r="R31" i="24" s="1"/>
  <c r="Y31" i="24"/>
  <c r="Y30" i="24"/>
  <c r="P30" i="24"/>
  <c r="R30" i="24" s="1"/>
  <c r="P29" i="24"/>
  <c r="R29" i="24" s="1"/>
  <c r="Y29" i="24"/>
  <c r="P28" i="24"/>
  <c r="R28" i="24" s="1"/>
  <c r="Y28" i="24"/>
  <c r="P27" i="24"/>
  <c r="R27" i="24" s="1"/>
  <c r="Y27" i="24"/>
  <c r="Y36" i="24" s="1"/>
  <c r="W45" i="24" s="1"/>
  <c r="P25" i="24"/>
  <c r="R25" i="24" s="1"/>
  <c r="Y25" i="24"/>
  <c r="N24" i="24"/>
  <c r="O24" i="24" s="1"/>
  <c r="L24" i="24"/>
  <c r="X24" i="24"/>
  <c r="P23" i="24"/>
  <c r="R23" i="24" s="1"/>
  <c r="Y23" i="24"/>
  <c r="X22" i="24"/>
  <c r="X26" i="24" s="1"/>
  <c r="V44" i="24" s="1"/>
  <c r="N22" i="24"/>
  <c r="O22" i="24" s="1"/>
  <c r="L22" i="24"/>
  <c r="Y20" i="24"/>
  <c r="P20" i="24"/>
  <c r="R20" i="24" s="1"/>
  <c r="N20" i="24"/>
  <c r="O20" i="24" s="1"/>
  <c r="X20" i="24"/>
  <c r="Y19" i="24"/>
  <c r="P19" i="24"/>
  <c r="R19" i="24" s="1"/>
  <c r="Y18" i="24"/>
  <c r="P18" i="24"/>
  <c r="R18" i="24" s="1"/>
  <c r="P17" i="24"/>
  <c r="R17" i="24" s="1"/>
  <c r="Y17" i="24"/>
  <c r="Y16" i="24"/>
  <c r="P16" i="24"/>
  <c r="R16" i="24" s="1"/>
  <c r="S15" i="24"/>
  <c r="T15" i="24"/>
  <c r="U15" i="24"/>
  <c r="AA15" i="24"/>
  <c r="Y14" i="24"/>
  <c r="P14" i="24"/>
  <c r="R14" i="24" s="1"/>
  <c r="Y13" i="24"/>
  <c r="P13" i="24"/>
  <c r="R13" i="24" s="1"/>
  <c r="X12" i="24"/>
  <c r="X21" i="24" s="1"/>
  <c r="V43" i="24" s="1"/>
  <c r="N12" i="24"/>
  <c r="O12" i="24" s="1"/>
  <c r="L12" i="24"/>
  <c r="P10" i="24"/>
  <c r="R10" i="24" s="1"/>
  <c r="Y10" i="24"/>
  <c r="Y9" i="24"/>
  <c r="P9" i="24"/>
  <c r="R9" i="24" s="1"/>
  <c r="Y8" i="24"/>
  <c r="P8" i="24"/>
  <c r="R8" i="24" s="1"/>
  <c r="P7" i="24"/>
  <c r="R7" i="24" s="1"/>
  <c r="Y7" i="24"/>
  <c r="N6" i="24"/>
  <c r="O6" i="24" s="1"/>
  <c r="L6" i="24"/>
  <c r="X6" i="24"/>
  <c r="P5" i="24"/>
  <c r="R5" i="24" s="1"/>
  <c r="Y5" i="24"/>
  <c r="Z37" i="24"/>
  <c r="X42" i="24"/>
  <c r="X46" i="24" s="1"/>
  <c r="W37" i="24"/>
  <c r="U42" i="24"/>
  <c r="U46" i="24" s="1"/>
  <c r="N4" i="24"/>
  <c r="O4" i="24" s="1"/>
  <c r="X4" i="24"/>
  <c r="X11" i="24" s="1"/>
  <c r="L4" i="24"/>
  <c r="H32" i="23"/>
  <c r="H24" i="23"/>
  <c r="H16" i="23"/>
  <c r="H8" i="23"/>
  <c r="N4" i="21"/>
  <c r="O4" i="21" s="1"/>
  <c r="L4" i="21"/>
  <c r="X4" i="21"/>
  <c r="U35" i="22"/>
  <c r="AA35" i="22"/>
  <c r="S35" i="22"/>
  <c r="T35" i="22"/>
  <c r="Y34" i="22"/>
  <c r="P34" i="22"/>
  <c r="R34" i="22" s="1"/>
  <c r="Y33" i="22"/>
  <c r="P33" i="22"/>
  <c r="R33" i="22" s="1"/>
  <c r="P32" i="22"/>
  <c r="R32" i="22" s="1"/>
  <c r="Y32" i="22"/>
  <c r="Y31" i="22"/>
  <c r="P31" i="22"/>
  <c r="R31" i="22" s="1"/>
  <c r="Y30" i="22"/>
  <c r="P30" i="22"/>
  <c r="R30" i="22" s="1"/>
  <c r="S29" i="22"/>
  <c r="U29" i="22"/>
  <c r="AA29" i="22"/>
  <c r="T29" i="22"/>
  <c r="Y28" i="22"/>
  <c r="P28" i="22"/>
  <c r="R28" i="22" s="1"/>
  <c r="P27" i="22"/>
  <c r="R27" i="22" s="1"/>
  <c r="Y27" i="22"/>
  <c r="Y36" i="22" s="1"/>
  <c r="W45" i="22" s="1"/>
  <c r="P25" i="22"/>
  <c r="R25" i="22" s="1"/>
  <c r="Y25" i="22"/>
  <c r="P24" i="22"/>
  <c r="R24" i="22" s="1"/>
  <c r="Y24" i="22"/>
  <c r="Y23" i="22"/>
  <c r="P23" i="22"/>
  <c r="R23" i="22" s="1"/>
  <c r="Y22" i="22"/>
  <c r="Y26" i="22" s="1"/>
  <c r="W44" i="22" s="1"/>
  <c r="P22" i="22"/>
  <c r="R22" i="22" s="1"/>
  <c r="Y20" i="22"/>
  <c r="P20" i="22"/>
  <c r="R20" i="22" s="1"/>
  <c r="P19" i="22"/>
  <c r="R19" i="22" s="1"/>
  <c r="Y19" i="22"/>
  <c r="Y18" i="22"/>
  <c r="P18" i="22"/>
  <c r="R18" i="22" s="1"/>
  <c r="T17" i="22"/>
  <c r="AA17" i="22"/>
  <c r="U17" i="22"/>
  <c r="S17" i="22"/>
  <c r="P16" i="22"/>
  <c r="R16" i="22" s="1"/>
  <c r="Y16" i="22"/>
  <c r="Y15" i="22"/>
  <c r="P15" i="22"/>
  <c r="R15" i="22" s="1"/>
  <c r="Y14" i="22"/>
  <c r="P14" i="22"/>
  <c r="R14" i="22" s="1"/>
  <c r="P13" i="22"/>
  <c r="R13" i="22" s="1"/>
  <c r="Y13" i="22"/>
  <c r="Y12" i="22"/>
  <c r="Y21" i="22" s="1"/>
  <c r="W43" i="22" s="1"/>
  <c r="P12" i="22"/>
  <c r="R12" i="22" s="1"/>
  <c r="P10" i="22"/>
  <c r="R10" i="22" s="1"/>
  <c r="Y10" i="22"/>
  <c r="P9" i="22"/>
  <c r="R9" i="22" s="1"/>
  <c r="Y9" i="22"/>
  <c r="Y8" i="22"/>
  <c r="P8" i="22"/>
  <c r="R8" i="22" s="1"/>
  <c r="Y7" i="22"/>
  <c r="P7" i="22"/>
  <c r="R7" i="22" s="1"/>
  <c r="X42" i="22"/>
  <c r="X46" i="22" s="1"/>
  <c r="Z37" i="22"/>
  <c r="X37" i="22"/>
  <c r="V42" i="22"/>
  <c r="V46" i="22" s="1"/>
  <c r="U42" i="22"/>
  <c r="U46" i="22" s="1"/>
  <c r="W37" i="22"/>
  <c r="S6" i="22"/>
  <c r="AA6" i="22"/>
  <c r="T6" i="22"/>
  <c r="U6" i="22"/>
  <c r="P5" i="22"/>
  <c r="R5" i="22" s="1"/>
  <c r="Y5" i="22"/>
  <c r="P4" i="22"/>
  <c r="R4" i="22" s="1"/>
  <c r="Y4" i="22"/>
  <c r="Y11" i="22" s="1"/>
  <c r="W26" i="21"/>
  <c r="U44" i="21" s="1"/>
  <c r="W21" i="21"/>
  <c r="O19" i="21"/>
  <c r="T43" i="21"/>
  <c r="T46" i="21" s="1"/>
  <c r="T48" i="21" s="1"/>
  <c r="B37" i="21"/>
  <c r="Z36" i="21"/>
  <c r="W36" i="21"/>
  <c r="U45" i="21" s="1"/>
  <c r="P34" i="21"/>
  <c r="R34" i="21" s="1"/>
  <c r="Y34" i="21"/>
  <c r="Y18" i="21"/>
  <c r="P18" i="21"/>
  <c r="R18" i="21" s="1"/>
  <c r="T18" i="21" s="1"/>
  <c r="Y5" i="21"/>
  <c r="P5" i="21"/>
  <c r="R5" i="21" s="1"/>
  <c r="Y32" i="21"/>
  <c r="P32" i="21"/>
  <c r="R32" i="21" s="1"/>
  <c r="P30" i="21"/>
  <c r="R30" i="21" s="1"/>
  <c r="Y30" i="21"/>
  <c r="Y25" i="21"/>
  <c r="P25" i="21"/>
  <c r="R25" i="21" s="1"/>
  <c r="X24" i="21"/>
  <c r="L24" i="21"/>
  <c r="N24" i="21"/>
  <c r="O24" i="21" s="1"/>
  <c r="Y23" i="21"/>
  <c r="P23" i="21"/>
  <c r="R23" i="21" s="1"/>
  <c r="N22" i="21"/>
  <c r="O22" i="21" s="1"/>
  <c r="L22" i="21"/>
  <c r="X22" i="21"/>
  <c r="L20" i="21"/>
  <c r="X20" i="21"/>
  <c r="N20" i="21"/>
  <c r="O20" i="21" s="1"/>
  <c r="Y19" i="21"/>
  <c r="P19" i="21"/>
  <c r="R19" i="21" s="1"/>
  <c r="Y17" i="21"/>
  <c r="P17" i="21"/>
  <c r="R17" i="21" s="1"/>
  <c r="L12" i="21"/>
  <c r="X12" i="21"/>
  <c r="N12" i="21"/>
  <c r="O12" i="21" s="1"/>
  <c r="Y10" i="21"/>
  <c r="P10" i="21"/>
  <c r="R10" i="21" s="1"/>
  <c r="Y8" i="21"/>
  <c r="P8" i="21"/>
  <c r="R8" i="21" s="1"/>
  <c r="Y7" i="21"/>
  <c r="P7" i="21"/>
  <c r="R7" i="21" s="1"/>
  <c r="Y6" i="21"/>
  <c r="U42" i="21"/>
  <c r="X36" i="19"/>
  <c r="V45" i="19" s="1"/>
  <c r="X18" i="19"/>
  <c r="N18" i="19"/>
  <c r="O18" i="19" s="1"/>
  <c r="L18" i="19"/>
  <c r="X16" i="19"/>
  <c r="N16" i="19"/>
  <c r="O16" i="19" s="1"/>
  <c r="L16" i="19"/>
  <c r="Y35" i="20"/>
  <c r="P35" i="20"/>
  <c r="R35" i="20" s="1"/>
  <c r="Y34" i="20"/>
  <c r="P34" i="20"/>
  <c r="R34" i="20" s="1"/>
  <c r="Y33" i="20"/>
  <c r="P33" i="20"/>
  <c r="R33" i="20" s="1"/>
  <c r="Y32" i="20"/>
  <c r="P32" i="20"/>
  <c r="R32" i="20" s="1"/>
  <c r="Y31" i="20"/>
  <c r="P31" i="20"/>
  <c r="R31" i="20" s="1"/>
  <c r="Y30" i="20"/>
  <c r="P30" i="20"/>
  <c r="R30" i="20" s="1"/>
  <c r="Y29" i="20"/>
  <c r="P29" i="20"/>
  <c r="R29" i="20" s="1"/>
  <c r="Y28" i="20"/>
  <c r="P28" i="20"/>
  <c r="R28" i="20" s="1"/>
  <c r="Y27" i="20"/>
  <c r="Y36" i="20" s="1"/>
  <c r="W45" i="20" s="1"/>
  <c r="P27" i="20"/>
  <c r="R27" i="20" s="1"/>
  <c r="Y25" i="20"/>
  <c r="P25" i="20"/>
  <c r="R25" i="20" s="1"/>
  <c r="Y24" i="20"/>
  <c r="P24" i="20"/>
  <c r="R24" i="20" s="1"/>
  <c r="Y23" i="20"/>
  <c r="Y26" i="20" s="1"/>
  <c r="W44" i="20" s="1"/>
  <c r="P23" i="20"/>
  <c r="R23" i="20" s="1"/>
  <c r="S22" i="20"/>
  <c r="T22" i="20"/>
  <c r="U22" i="20"/>
  <c r="AA22" i="20"/>
  <c r="Y20" i="20"/>
  <c r="P20" i="20"/>
  <c r="R20" i="20" s="1"/>
  <c r="Y19" i="20"/>
  <c r="P19" i="20"/>
  <c r="R19" i="20" s="1"/>
  <c r="Y18" i="20"/>
  <c r="P18" i="20"/>
  <c r="R18" i="20" s="1"/>
  <c r="Y17" i="20"/>
  <c r="P17" i="20"/>
  <c r="R17" i="20" s="1"/>
  <c r="Y16" i="20"/>
  <c r="P16" i="20"/>
  <c r="R16" i="20" s="1"/>
  <c r="P15" i="20"/>
  <c r="R15" i="20" s="1"/>
  <c r="Y15" i="20"/>
  <c r="Y14" i="20"/>
  <c r="P14" i="20"/>
  <c r="R14" i="20" s="1"/>
  <c r="Y13" i="20"/>
  <c r="P13" i="20"/>
  <c r="R13" i="20" s="1"/>
  <c r="Y12" i="20"/>
  <c r="P12" i="20"/>
  <c r="R12" i="20" s="1"/>
  <c r="Y10" i="20"/>
  <c r="P10" i="20"/>
  <c r="R10" i="20" s="1"/>
  <c r="P9" i="20"/>
  <c r="R9" i="20" s="1"/>
  <c r="Y9" i="20"/>
  <c r="P8" i="20"/>
  <c r="R8" i="20" s="1"/>
  <c r="Y8" i="20"/>
  <c r="Y7" i="20"/>
  <c r="P7" i="20"/>
  <c r="R7" i="20" s="1"/>
  <c r="T6" i="20"/>
  <c r="U6" i="20"/>
  <c r="AA6" i="20"/>
  <c r="S6" i="20"/>
  <c r="Y5" i="20"/>
  <c r="P5" i="20"/>
  <c r="R5" i="20" s="1"/>
  <c r="Z37" i="20"/>
  <c r="X42" i="20"/>
  <c r="X46" i="20" s="1"/>
  <c r="X37" i="20"/>
  <c r="V42" i="20"/>
  <c r="V46" i="20" s="1"/>
  <c r="W37" i="20"/>
  <c r="U42" i="20"/>
  <c r="U46" i="20" s="1"/>
  <c r="P4" i="20"/>
  <c r="R4" i="20" s="1"/>
  <c r="Y4" i="20"/>
  <c r="Y11" i="20" s="1"/>
  <c r="W26" i="19"/>
  <c r="U44" i="19" s="1"/>
  <c r="T46" i="19"/>
  <c r="T48" i="19" s="1"/>
  <c r="Z26" i="19"/>
  <c r="U45" i="19"/>
  <c r="Z36" i="19"/>
  <c r="X26" i="19"/>
  <c r="W11" i="19"/>
  <c r="Y28" i="19"/>
  <c r="P28" i="19"/>
  <c r="R28" i="19" s="1"/>
  <c r="P22" i="19"/>
  <c r="R22" i="19" s="1"/>
  <c r="Y22" i="19"/>
  <c r="Z21" i="19"/>
  <c r="W21" i="19"/>
  <c r="U43" i="19" s="1"/>
  <c r="P13" i="19"/>
  <c r="R13" i="19" s="1"/>
  <c r="Y13" i="19"/>
  <c r="Z11" i="19"/>
  <c r="X42" i="19" s="1"/>
  <c r="Y8" i="19"/>
  <c r="P8" i="19"/>
  <c r="R8" i="19" s="1"/>
  <c r="P35" i="19"/>
  <c r="R35" i="19" s="1"/>
  <c r="Y35" i="19"/>
  <c r="P34" i="19"/>
  <c r="R34" i="19" s="1"/>
  <c r="Y34" i="19"/>
  <c r="P33" i="19"/>
  <c r="R33" i="19" s="1"/>
  <c r="Y33" i="19"/>
  <c r="Y32" i="19"/>
  <c r="P32" i="19"/>
  <c r="R32" i="19" s="1"/>
  <c r="Y31" i="19"/>
  <c r="P31" i="19"/>
  <c r="R31" i="19" s="1"/>
  <c r="P30" i="19"/>
  <c r="R30" i="19" s="1"/>
  <c r="Y30" i="19"/>
  <c r="P29" i="19"/>
  <c r="R29" i="19" s="1"/>
  <c r="Y29" i="19"/>
  <c r="Y27" i="19"/>
  <c r="P27" i="19"/>
  <c r="R27" i="19" s="1"/>
  <c r="Y25" i="19"/>
  <c r="P25" i="19"/>
  <c r="R25" i="19" s="1"/>
  <c r="Y24" i="19"/>
  <c r="P24" i="19"/>
  <c r="R24" i="19" s="1"/>
  <c r="Y23" i="19"/>
  <c r="P23" i="19"/>
  <c r="R23" i="19" s="1"/>
  <c r="N20" i="19"/>
  <c r="O20" i="19" s="1"/>
  <c r="X20" i="19"/>
  <c r="L20" i="19"/>
  <c r="Y19" i="19"/>
  <c r="P19" i="19"/>
  <c r="R19" i="19" s="1"/>
  <c r="Y17" i="19"/>
  <c r="P17" i="19"/>
  <c r="R17" i="19" s="1"/>
  <c r="P16" i="19"/>
  <c r="R16" i="19" s="1"/>
  <c r="Y16" i="19"/>
  <c r="Y15" i="19"/>
  <c r="P15" i="19"/>
  <c r="R15" i="19" s="1"/>
  <c r="Y14" i="19"/>
  <c r="P14" i="19"/>
  <c r="R14" i="19" s="1"/>
  <c r="L12" i="19"/>
  <c r="X12" i="19"/>
  <c r="N12" i="19"/>
  <c r="O12" i="19" s="1"/>
  <c r="Y10" i="19"/>
  <c r="P10" i="19"/>
  <c r="R10" i="19" s="1"/>
  <c r="Y9" i="19"/>
  <c r="P9" i="19"/>
  <c r="R9" i="19" s="1"/>
  <c r="Y7" i="19"/>
  <c r="P7" i="19"/>
  <c r="R7" i="19" s="1"/>
  <c r="N6" i="19"/>
  <c r="O6" i="19" s="1"/>
  <c r="X6" i="19"/>
  <c r="L6" i="19"/>
  <c r="Y5" i="19"/>
  <c r="P5" i="19"/>
  <c r="R5" i="19" s="1"/>
  <c r="X4" i="19"/>
  <c r="X11" i="19" s="1"/>
  <c r="V42" i="19" s="1"/>
  <c r="N4" i="19"/>
  <c r="O4" i="19" s="1"/>
  <c r="L4" i="19"/>
  <c r="N12" i="17"/>
  <c r="O12" i="17" s="1"/>
  <c r="X12" i="17"/>
  <c r="X21" i="17" s="1"/>
  <c r="O43" i="17" s="1"/>
  <c r="B46" i="17"/>
  <c r="B49" i="17" s="1"/>
  <c r="Y35" i="18"/>
  <c r="P35" i="18"/>
  <c r="R35" i="18" s="1"/>
  <c r="Y34" i="18"/>
  <c r="P34" i="18"/>
  <c r="R34" i="18" s="1"/>
  <c r="P33" i="18"/>
  <c r="R33" i="18" s="1"/>
  <c r="Y33" i="18"/>
  <c r="P32" i="18"/>
  <c r="R32" i="18" s="1"/>
  <c r="Y32" i="18"/>
  <c r="Y31" i="18"/>
  <c r="P31" i="18"/>
  <c r="R31" i="18" s="1"/>
  <c r="Y30" i="18"/>
  <c r="P30" i="18"/>
  <c r="R30" i="18" s="1"/>
  <c r="Y29" i="18"/>
  <c r="P29" i="18"/>
  <c r="R29" i="18" s="1"/>
  <c r="Y28" i="18"/>
  <c r="P28" i="18"/>
  <c r="R28" i="18" s="1"/>
  <c r="Y27" i="18"/>
  <c r="Y36" i="18" s="1"/>
  <c r="P27" i="18"/>
  <c r="R27" i="18" s="1"/>
  <c r="Y25" i="18"/>
  <c r="P25" i="18"/>
  <c r="R25" i="18" s="1"/>
  <c r="Y24" i="18"/>
  <c r="P24" i="18"/>
  <c r="R24" i="18" s="1"/>
  <c r="Y23" i="18"/>
  <c r="P23" i="18"/>
  <c r="R23" i="18" s="1"/>
  <c r="Y22" i="18"/>
  <c r="Y26" i="18" s="1"/>
  <c r="P22" i="18"/>
  <c r="R22" i="18" s="1"/>
  <c r="P20" i="18"/>
  <c r="R20" i="18" s="1"/>
  <c r="Y20" i="18"/>
  <c r="Y19" i="18"/>
  <c r="P19" i="18"/>
  <c r="R19" i="18" s="1"/>
  <c r="P18" i="18"/>
  <c r="R18" i="18" s="1"/>
  <c r="Y18" i="18"/>
  <c r="Y17" i="18"/>
  <c r="P17" i="18"/>
  <c r="R17" i="18" s="1"/>
  <c r="Y16" i="18"/>
  <c r="P16" i="18"/>
  <c r="R16" i="18" s="1"/>
  <c r="Y15" i="18"/>
  <c r="P15" i="18"/>
  <c r="R15" i="18" s="1"/>
  <c r="P14" i="18"/>
  <c r="R14" i="18" s="1"/>
  <c r="Y14" i="18"/>
  <c r="Y13" i="18"/>
  <c r="P13" i="18"/>
  <c r="R13" i="18" s="1"/>
  <c r="Y12" i="18"/>
  <c r="P12" i="18"/>
  <c r="R12" i="18" s="1"/>
  <c r="H20" i="18"/>
  <c r="J20" i="18" s="1"/>
  <c r="H14" i="18"/>
  <c r="J14" i="18" s="1"/>
  <c r="H19" i="18"/>
  <c r="J19" i="18" s="1"/>
  <c r="B37" i="18"/>
  <c r="B43" i="18"/>
  <c r="B46" i="18" s="1"/>
  <c r="B49" i="18" s="1"/>
  <c r="H18" i="18"/>
  <c r="J18" i="18" s="1"/>
  <c r="H17" i="18"/>
  <c r="J17" i="18" s="1"/>
  <c r="H16" i="18"/>
  <c r="J16" i="18" s="1"/>
  <c r="H15" i="18"/>
  <c r="J15" i="18" s="1"/>
  <c r="H12" i="18"/>
  <c r="J12" i="18" s="1"/>
  <c r="H13" i="18"/>
  <c r="J13" i="18" s="1"/>
  <c r="P10" i="18"/>
  <c r="R10" i="18" s="1"/>
  <c r="Y10" i="18"/>
  <c r="Y9" i="18"/>
  <c r="P9" i="18"/>
  <c r="R9" i="18" s="1"/>
  <c r="P42" i="18"/>
  <c r="P46" i="18" s="1"/>
  <c r="Z37" i="18"/>
  <c r="X37" i="18"/>
  <c r="O42" i="18"/>
  <c r="O46" i="18" s="1"/>
  <c r="W37" i="18"/>
  <c r="C42" i="18"/>
  <c r="C46" i="18" s="1"/>
  <c r="Y8" i="18"/>
  <c r="P8" i="18"/>
  <c r="R8" i="18" s="1"/>
  <c r="P7" i="18"/>
  <c r="R7" i="18" s="1"/>
  <c r="Y7" i="18"/>
  <c r="P6" i="18"/>
  <c r="R6" i="18" s="1"/>
  <c r="Y6" i="18"/>
  <c r="Y5" i="18"/>
  <c r="P5" i="18"/>
  <c r="R5" i="18" s="1"/>
  <c r="Y4" i="18"/>
  <c r="Y11" i="18" s="1"/>
  <c r="P4" i="18"/>
  <c r="R4" i="18" s="1"/>
  <c r="Z11" i="17"/>
  <c r="X11" i="17"/>
  <c r="O20" i="17"/>
  <c r="O19" i="17"/>
  <c r="O18" i="17"/>
  <c r="O17" i="17"/>
  <c r="O16" i="17"/>
  <c r="O15" i="17"/>
  <c r="O14" i="17"/>
  <c r="O13" i="17"/>
  <c r="H20" i="17"/>
  <c r="J20" i="17" s="1"/>
  <c r="H19" i="17"/>
  <c r="J19" i="17" s="1"/>
  <c r="H18" i="17"/>
  <c r="J18" i="17" s="1"/>
  <c r="H17" i="17"/>
  <c r="J17" i="17" s="1"/>
  <c r="H16" i="17"/>
  <c r="J16" i="17" s="1"/>
  <c r="H15" i="17"/>
  <c r="J15" i="17" s="1"/>
  <c r="H14" i="17"/>
  <c r="J14" i="17" s="1"/>
  <c r="H13" i="17"/>
  <c r="J13" i="17" s="1"/>
  <c r="H12" i="17"/>
  <c r="J12" i="17" s="1"/>
  <c r="Z36" i="17"/>
  <c r="P45" i="17" s="1"/>
  <c r="W36" i="17"/>
  <c r="C45" i="17" s="1"/>
  <c r="P32" i="17"/>
  <c r="R32" i="17" s="1"/>
  <c r="Y32" i="17"/>
  <c r="Z26" i="17"/>
  <c r="P44" i="17" s="1"/>
  <c r="X26" i="17"/>
  <c r="O44" i="17" s="1"/>
  <c r="W26" i="17"/>
  <c r="P25" i="17"/>
  <c r="R25" i="17" s="1"/>
  <c r="Y25" i="17"/>
  <c r="Y13" i="17"/>
  <c r="P13" i="17"/>
  <c r="R13" i="17" s="1"/>
  <c r="Y10" i="17"/>
  <c r="P10" i="17"/>
  <c r="R10" i="17" s="1"/>
  <c r="P8" i="17"/>
  <c r="R8" i="17" s="1"/>
  <c r="Y8" i="17"/>
  <c r="X35" i="17"/>
  <c r="N35" i="17"/>
  <c r="O35" i="17" s="1"/>
  <c r="L35" i="17"/>
  <c r="P34" i="17"/>
  <c r="R34" i="17" s="1"/>
  <c r="Y34" i="17"/>
  <c r="P33" i="17"/>
  <c r="R33" i="17" s="1"/>
  <c r="Y33" i="17"/>
  <c r="P31" i="17"/>
  <c r="R31" i="17" s="1"/>
  <c r="Y31" i="17"/>
  <c r="P30" i="17"/>
  <c r="R30" i="17" s="1"/>
  <c r="Y30" i="17"/>
  <c r="Y29" i="17"/>
  <c r="P29" i="17"/>
  <c r="R29" i="17" s="1"/>
  <c r="P28" i="17"/>
  <c r="R28" i="17" s="1"/>
  <c r="Y28" i="17"/>
  <c r="X27" i="17"/>
  <c r="X36" i="17" s="1"/>
  <c r="O45" i="17" s="1"/>
  <c r="N27" i="17"/>
  <c r="O27" i="17" s="1"/>
  <c r="L27" i="17"/>
  <c r="Y24" i="17"/>
  <c r="P24" i="17"/>
  <c r="R24" i="17" s="1"/>
  <c r="Y23" i="17"/>
  <c r="P23" i="17"/>
  <c r="R23" i="17" s="1"/>
  <c r="Y22" i="17"/>
  <c r="P22" i="17"/>
  <c r="R22" i="17" s="1"/>
  <c r="Y20" i="17"/>
  <c r="P20" i="17"/>
  <c r="R20" i="17" s="1"/>
  <c r="Y19" i="17"/>
  <c r="P19" i="17"/>
  <c r="R19" i="17" s="1"/>
  <c r="Y18" i="17"/>
  <c r="P18" i="17"/>
  <c r="R18" i="17" s="1"/>
  <c r="P17" i="17"/>
  <c r="R17" i="17" s="1"/>
  <c r="Y17" i="17"/>
  <c r="P16" i="17"/>
  <c r="R16" i="17" s="1"/>
  <c r="Y16" i="17"/>
  <c r="Y15" i="17"/>
  <c r="P15" i="17"/>
  <c r="R15" i="17" s="1"/>
  <c r="Y14" i="17"/>
  <c r="P14" i="17"/>
  <c r="R14" i="17" s="1"/>
  <c r="Y12" i="17"/>
  <c r="P12" i="17"/>
  <c r="R12" i="17" s="1"/>
  <c r="P9" i="17"/>
  <c r="R9" i="17" s="1"/>
  <c r="Y9" i="17"/>
  <c r="Y7" i="17"/>
  <c r="P7" i="17"/>
  <c r="R7" i="17" s="1"/>
  <c r="P6" i="17"/>
  <c r="R6" i="17" s="1"/>
  <c r="Y6" i="17"/>
  <c r="Y5" i="17"/>
  <c r="P5" i="17"/>
  <c r="R5" i="17" s="1"/>
  <c r="C42" i="17"/>
  <c r="Y4" i="17"/>
  <c r="P4" i="17"/>
  <c r="R4" i="17" s="1"/>
  <c r="Z36" i="16"/>
  <c r="W36" i="16"/>
  <c r="C45" i="16" s="1"/>
  <c r="X26" i="16"/>
  <c r="O44" i="16" s="1"/>
  <c r="W21" i="16"/>
  <c r="P33" i="16"/>
  <c r="R33" i="16" s="1"/>
  <c r="S33" i="16" s="1"/>
  <c r="Y33" i="16"/>
  <c r="P20" i="16"/>
  <c r="R20" i="16" s="1"/>
  <c r="Y20" i="16"/>
  <c r="X11" i="16"/>
  <c r="O42" i="16" s="1"/>
  <c r="Y8" i="16"/>
  <c r="P8" i="16"/>
  <c r="R8" i="16" s="1"/>
  <c r="X35" i="16"/>
  <c r="N35" i="16"/>
  <c r="O35" i="16" s="1"/>
  <c r="L35" i="16"/>
  <c r="P34" i="16"/>
  <c r="R34" i="16" s="1"/>
  <c r="Y34" i="16"/>
  <c r="T33" i="16"/>
  <c r="AA33" i="16"/>
  <c r="U33" i="16"/>
  <c r="Y32" i="16"/>
  <c r="P32" i="16"/>
  <c r="R32" i="16" s="1"/>
  <c r="Y31" i="16"/>
  <c r="P31" i="16"/>
  <c r="R31" i="16" s="1"/>
  <c r="Y30" i="16"/>
  <c r="P30" i="16"/>
  <c r="R30" i="16" s="1"/>
  <c r="P29" i="16"/>
  <c r="R29" i="16" s="1"/>
  <c r="Y29" i="16"/>
  <c r="Y28" i="16"/>
  <c r="P28" i="16"/>
  <c r="R28" i="16" s="1"/>
  <c r="X27" i="16"/>
  <c r="X36" i="16" s="1"/>
  <c r="N27" i="16"/>
  <c r="O27" i="16" s="1"/>
  <c r="L27" i="16"/>
  <c r="P25" i="16"/>
  <c r="R25" i="16" s="1"/>
  <c r="Y25" i="16"/>
  <c r="P24" i="16"/>
  <c r="R24" i="16" s="1"/>
  <c r="Y24" i="16"/>
  <c r="P23" i="16"/>
  <c r="R23" i="16" s="1"/>
  <c r="Y23" i="16"/>
  <c r="Y22" i="16"/>
  <c r="P22" i="16"/>
  <c r="R22" i="16" s="1"/>
  <c r="Y19" i="16"/>
  <c r="P19" i="16"/>
  <c r="R19" i="16" s="1"/>
  <c r="P18" i="16"/>
  <c r="R18" i="16" s="1"/>
  <c r="Y18" i="16"/>
  <c r="P17" i="16"/>
  <c r="R17" i="16" s="1"/>
  <c r="Y17" i="16"/>
  <c r="Y16" i="16"/>
  <c r="P16" i="16"/>
  <c r="R16" i="16" s="1"/>
  <c r="P15" i="16"/>
  <c r="R15" i="16" s="1"/>
  <c r="Y15" i="16"/>
  <c r="P14" i="16"/>
  <c r="R14" i="16" s="1"/>
  <c r="Y14" i="16"/>
  <c r="P13" i="16"/>
  <c r="R13" i="16" s="1"/>
  <c r="Y13" i="16"/>
  <c r="Y12" i="16"/>
  <c r="P12" i="16"/>
  <c r="R12" i="16" s="1"/>
  <c r="Y10" i="16"/>
  <c r="P10" i="16"/>
  <c r="R10" i="16" s="1"/>
  <c r="P9" i="16"/>
  <c r="R9" i="16" s="1"/>
  <c r="Y9" i="16"/>
  <c r="P7" i="16"/>
  <c r="R7" i="16" s="1"/>
  <c r="Y7" i="16"/>
  <c r="P6" i="16"/>
  <c r="R6" i="16" s="1"/>
  <c r="Y6" i="16"/>
  <c r="Y5" i="16"/>
  <c r="P5" i="16"/>
  <c r="R5" i="16" s="1"/>
  <c r="P42" i="16"/>
  <c r="C42" i="16"/>
  <c r="P4" i="16"/>
  <c r="R4" i="16" s="1"/>
  <c r="Y4" i="16"/>
  <c r="X29" i="14"/>
  <c r="N29" i="14"/>
  <c r="O29" i="14" s="1"/>
  <c r="L29" i="14"/>
  <c r="O24" i="14"/>
  <c r="O25" i="14"/>
  <c r="O23" i="14"/>
  <c r="B44" i="14"/>
  <c r="H22" i="14"/>
  <c r="J22" i="14" s="1"/>
  <c r="H25" i="14"/>
  <c r="J25" i="14" s="1"/>
  <c r="H24" i="14"/>
  <c r="J24" i="14" s="1"/>
  <c r="H23" i="14"/>
  <c r="J23" i="14" s="1"/>
  <c r="O19" i="14"/>
  <c r="O18" i="14"/>
  <c r="O17" i="14"/>
  <c r="O16" i="14"/>
  <c r="O15" i="14"/>
  <c r="B37" i="14"/>
  <c r="H20" i="14"/>
  <c r="J20" i="14" s="1"/>
  <c r="H19" i="14"/>
  <c r="J19" i="14" s="1"/>
  <c r="H18" i="14"/>
  <c r="J18" i="14" s="1"/>
  <c r="H17" i="14"/>
  <c r="J17" i="14" s="1"/>
  <c r="H16" i="14"/>
  <c r="J16" i="14" s="1"/>
  <c r="H15" i="14"/>
  <c r="J15" i="14" s="1"/>
  <c r="O14" i="14"/>
  <c r="O13" i="14"/>
  <c r="H14" i="14"/>
  <c r="J14" i="14" s="1"/>
  <c r="H13" i="14"/>
  <c r="J13" i="14" s="1"/>
  <c r="H12" i="14"/>
  <c r="J12" i="14" s="1"/>
  <c r="B43" i="14"/>
  <c r="B46" i="14" s="1"/>
  <c r="B49" i="14" s="1"/>
  <c r="P35" i="15"/>
  <c r="R35" i="15" s="1"/>
  <c r="Y35" i="15"/>
  <c r="P34" i="15"/>
  <c r="R34" i="15" s="1"/>
  <c r="Y34" i="15"/>
  <c r="Y33" i="15"/>
  <c r="P33" i="15"/>
  <c r="R33" i="15" s="1"/>
  <c r="Y32" i="15"/>
  <c r="P32" i="15"/>
  <c r="R32" i="15" s="1"/>
  <c r="Y31" i="15"/>
  <c r="P31" i="15"/>
  <c r="R31" i="15" s="1"/>
  <c r="P30" i="15"/>
  <c r="R30" i="15" s="1"/>
  <c r="Y30" i="15"/>
  <c r="Y29" i="15"/>
  <c r="P29" i="15"/>
  <c r="R29" i="15" s="1"/>
  <c r="Y28" i="15"/>
  <c r="P28" i="15"/>
  <c r="R28" i="15" s="1"/>
  <c r="P27" i="15"/>
  <c r="R27" i="15" s="1"/>
  <c r="Y27" i="15"/>
  <c r="Y36" i="15" s="1"/>
  <c r="P25" i="15"/>
  <c r="R25" i="15" s="1"/>
  <c r="Y25" i="15"/>
  <c r="Y24" i="15"/>
  <c r="P24" i="15"/>
  <c r="R24" i="15" s="1"/>
  <c r="Y23" i="15"/>
  <c r="P23" i="15"/>
  <c r="R23" i="15" s="1"/>
  <c r="P22" i="15"/>
  <c r="R22" i="15" s="1"/>
  <c r="Y22" i="15"/>
  <c r="Y26" i="15" s="1"/>
  <c r="Y20" i="15"/>
  <c r="P20" i="15"/>
  <c r="R20" i="15" s="1"/>
  <c r="Y19" i="15"/>
  <c r="P19" i="15"/>
  <c r="R19" i="15" s="1"/>
  <c r="P18" i="15"/>
  <c r="R18" i="15" s="1"/>
  <c r="Y18" i="15"/>
  <c r="P17" i="15"/>
  <c r="R17" i="15" s="1"/>
  <c r="Y17" i="15"/>
  <c r="Y16" i="15"/>
  <c r="P16" i="15"/>
  <c r="R16" i="15" s="1"/>
  <c r="Y15" i="15"/>
  <c r="P15" i="15"/>
  <c r="R15" i="15" s="1"/>
  <c r="P14" i="15"/>
  <c r="R14" i="15" s="1"/>
  <c r="Y14" i="15"/>
  <c r="P13" i="15"/>
  <c r="R13" i="15" s="1"/>
  <c r="Y13" i="15"/>
  <c r="P12" i="15"/>
  <c r="R12" i="15" s="1"/>
  <c r="Y12" i="15"/>
  <c r="Y21" i="15" s="1"/>
  <c r="P10" i="15"/>
  <c r="R10" i="15" s="1"/>
  <c r="Y10" i="15"/>
  <c r="Y9" i="15"/>
  <c r="P9" i="15"/>
  <c r="R9" i="15" s="1"/>
  <c r="Y8" i="15"/>
  <c r="P8" i="15"/>
  <c r="R8" i="15" s="1"/>
  <c r="Y7" i="15"/>
  <c r="P7" i="15"/>
  <c r="R7" i="15" s="1"/>
  <c r="Y6" i="15"/>
  <c r="P6" i="15"/>
  <c r="R6" i="15" s="1"/>
  <c r="P5" i="15"/>
  <c r="R5" i="15" s="1"/>
  <c r="Y5" i="15"/>
  <c r="Z37" i="15"/>
  <c r="P42" i="15"/>
  <c r="P46" i="15" s="1"/>
  <c r="X37" i="15"/>
  <c r="O42" i="15"/>
  <c r="O46" i="15" s="1"/>
  <c r="C42" i="15"/>
  <c r="C46" i="15" s="1"/>
  <c r="W37" i="15"/>
  <c r="Y4" i="15"/>
  <c r="Y11" i="15" s="1"/>
  <c r="Y37" i="15" s="1"/>
  <c r="P4" i="15"/>
  <c r="R4" i="15" s="1"/>
  <c r="Z11" i="14"/>
  <c r="P42" i="14" s="1"/>
  <c r="Z36" i="14"/>
  <c r="P45" i="14" s="1"/>
  <c r="W36" i="14"/>
  <c r="C45" i="14" s="1"/>
  <c r="P30" i="14"/>
  <c r="R30" i="14" s="1"/>
  <c r="Y30" i="14"/>
  <c r="Z26" i="14"/>
  <c r="W26" i="14"/>
  <c r="C44" i="14" s="1"/>
  <c r="P25" i="14"/>
  <c r="R25" i="14" s="1"/>
  <c r="Y25" i="14"/>
  <c r="Z21" i="14"/>
  <c r="P43" i="14" s="1"/>
  <c r="W21" i="14"/>
  <c r="C43" i="14" s="1"/>
  <c r="W11" i="14"/>
  <c r="X35" i="14"/>
  <c r="N35" i="14"/>
  <c r="O35" i="14" s="1"/>
  <c r="L35" i="14"/>
  <c r="Y34" i="14"/>
  <c r="P34" i="14"/>
  <c r="R34" i="14" s="1"/>
  <c r="Y33" i="14"/>
  <c r="P33" i="14"/>
  <c r="R33" i="14" s="1"/>
  <c r="Y32" i="14"/>
  <c r="P32" i="14"/>
  <c r="R32" i="14" s="1"/>
  <c r="Y31" i="14"/>
  <c r="P31" i="14"/>
  <c r="R31" i="14" s="1"/>
  <c r="P28" i="14"/>
  <c r="R28" i="14" s="1"/>
  <c r="Y28" i="14"/>
  <c r="X27" i="14"/>
  <c r="X36" i="14" s="1"/>
  <c r="O45" i="14" s="1"/>
  <c r="N27" i="14"/>
  <c r="O27" i="14" s="1"/>
  <c r="L27" i="14"/>
  <c r="Y24" i="14"/>
  <c r="P24" i="14"/>
  <c r="R24" i="14" s="1"/>
  <c r="P23" i="14"/>
  <c r="R23" i="14" s="1"/>
  <c r="Y23" i="14"/>
  <c r="N22" i="14"/>
  <c r="O22" i="14" s="1"/>
  <c r="X22" i="14"/>
  <c r="X26" i="14" s="1"/>
  <c r="O44" i="14" s="1"/>
  <c r="L22" i="14"/>
  <c r="N20" i="14"/>
  <c r="O20" i="14" s="1"/>
  <c r="L20" i="14"/>
  <c r="Y19" i="14"/>
  <c r="P19" i="14"/>
  <c r="R19" i="14" s="1"/>
  <c r="Y18" i="14"/>
  <c r="P18" i="14"/>
  <c r="R18" i="14" s="1"/>
  <c r="Y17" i="14"/>
  <c r="P17" i="14"/>
  <c r="R17" i="14" s="1"/>
  <c r="Y16" i="14"/>
  <c r="P16" i="14"/>
  <c r="R16" i="14" s="1"/>
  <c r="Y15" i="14"/>
  <c r="P15" i="14"/>
  <c r="R15" i="14" s="1"/>
  <c r="P14" i="14"/>
  <c r="R14" i="14" s="1"/>
  <c r="Y14" i="14"/>
  <c r="Y13" i="14"/>
  <c r="P13" i="14"/>
  <c r="R13" i="14" s="1"/>
  <c r="N12" i="14"/>
  <c r="O12" i="14" s="1"/>
  <c r="X12" i="14"/>
  <c r="X21" i="14" s="1"/>
  <c r="O43" i="14" s="1"/>
  <c r="L12" i="14"/>
  <c r="P10" i="14"/>
  <c r="R10" i="14" s="1"/>
  <c r="Y10" i="14"/>
  <c r="N9" i="14"/>
  <c r="O9" i="14" s="1"/>
  <c r="X9" i="14"/>
  <c r="X11" i="14" s="1"/>
  <c r="L9" i="14"/>
  <c r="P8" i="14"/>
  <c r="R8" i="14" s="1"/>
  <c r="Y8" i="14"/>
  <c r="P7" i="14"/>
  <c r="R7" i="14" s="1"/>
  <c r="Y7" i="14"/>
  <c r="N6" i="14"/>
  <c r="O6" i="14" s="1"/>
  <c r="L6" i="14"/>
  <c r="Y5" i="14"/>
  <c r="P5" i="14"/>
  <c r="R5" i="14" s="1"/>
  <c r="Y4" i="14"/>
  <c r="P4" i="14"/>
  <c r="R4" i="14" s="1"/>
  <c r="L33" i="12"/>
  <c r="X33" i="12"/>
  <c r="N33" i="12"/>
  <c r="O33" i="12" s="1"/>
  <c r="X29" i="12"/>
  <c r="N29" i="12"/>
  <c r="O29" i="12" s="1"/>
  <c r="L29" i="12"/>
  <c r="X27" i="12"/>
  <c r="N27" i="12"/>
  <c r="O27" i="12" s="1"/>
  <c r="L27" i="12"/>
  <c r="X22" i="12"/>
  <c r="X26" i="12" s="1"/>
  <c r="O44" i="12" s="1"/>
  <c r="N22" i="12"/>
  <c r="O22" i="12" s="1"/>
  <c r="L22" i="12"/>
  <c r="X20" i="12"/>
  <c r="N20" i="12"/>
  <c r="O20" i="12" s="1"/>
  <c r="L20" i="12"/>
  <c r="X18" i="12"/>
  <c r="N18" i="12"/>
  <c r="O18" i="12" s="1"/>
  <c r="L18" i="12"/>
  <c r="X16" i="12"/>
  <c r="N16" i="12"/>
  <c r="O16" i="12" s="1"/>
  <c r="L16" i="12"/>
  <c r="X14" i="12"/>
  <c r="N14" i="12"/>
  <c r="O14" i="12" s="1"/>
  <c r="L14" i="12"/>
  <c r="X9" i="12"/>
  <c r="N9" i="12"/>
  <c r="O9" i="12" s="1"/>
  <c r="L9" i="12"/>
  <c r="J6" i="12"/>
  <c r="L6" i="12"/>
  <c r="W6" i="12"/>
  <c r="W11" i="12" s="1"/>
  <c r="J4" i="12"/>
  <c r="S35" i="13"/>
  <c r="T35" i="13"/>
  <c r="U35" i="13"/>
  <c r="AA35" i="13"/>
  <c r="Y34" i="13"/>
  <c r="P34" i="13"/>
  <c r="R34" i="13" s="1"/>
  <c r="Y33" i="13"/>
  <c r="P33" i="13"/>
  <c r="R33" i="13" s="1"/>
  <c r="Y32" i="13"/>
  <c r="P32" i="13"/>
  <c r="R32" i="13" s="1"/>
  <c r="Y31" i="13"/>
  <c r="P31" i="13"/>
  <c r="R31" i="13" s="1"/>
  <c r="Y30" i="13"/>
  <c r="P30" i="13"/>
  <c r="R30" i="13" s="1"/>
  <c r="Y29" i="13"/>
  <c r="P29" i="13"/>
  <c r="R29" i="13" s="1"/>
  <c r="S28" i="13"/>
  <c r="T28" i="13"/>
  <c r="U28" i="13"/>
  <c r="AA28" i="13"/>
  <c r="Y27" i="13"/>
  <c r="Y36" i="13" s="1"/>
  <c r="P27" i="13"/>
  <c r="R27" i="13" s="1"/>
  <c r="P25" i="13"/>
  <c r="R25" i="13" s="1"/>
  <c r="Y25" i="13"/>
  <c r="Y24" i="13"/>
  <c r="P24" i="13"/>
  <c r="R24" i="13" s="1"/>
  <c r="Y23" i="13"/>
  <c r="P23" i="13"/>
  <c r="R23" i="13" s="1"/>
  <c r="Y22" i="13"/>
  <c r="Y26" i="13" s="1"/>
  <c r="P22" i="13"/>
  <c r="R22" i="13" s="1"/>
  <c r="H25" i="13"/>
  <c r="J25" i="13" s="1"/>
  <c r="H23" i="13"/>
  <c r="J23" i="13" s="1"/>
  <c r="H24" i="13"/>
  <c r="J24" i="13" s="1"/>
  <c r="H22" i="13"/>
  <c r="J22" i="13" s="1"/>
  <c r="B44" i="13"/>
  <c r="B46" i="13" s="1"/>
  <c r="B49" i="13" s="1"/>
  <c r="Y20" i="13"/>
  <c r="P20" i="13"/>
  <c r="R20" i="13" s="1"/>
  <c r="P19" i="13"/>
  <c r="R19" i="13" s="1"/>
  <c r="Y19" i="13"/>
  <c r="Y18" i="13"/>
  <c r="P18" i="13"/>
  <c r="R18" i="13" s="1"/>
  <c r="Y17" i="13"/>
  <c r="P17" i="13"/>
  <c r="R17" i="13" s="1"/>
  <c r="P16" i="13"/>
  <c r="R16" i="13" s="1"/>
  <c r="Y16" i="13"/>
  <c r="P15" i="13"/>
  <c r="R15" i="13" s="1"/>
  <c r="Y15" i="13"/>
  <c r="P14" i="13"/>
  <c r="R14" i="13" s="1"/>
  <c r="Y14" i="13"/>
  <c r="Y13" i="13"/>
  <c r="Y21" i="13" s="1"/>
  <c r="P13" i="13"/>
  <c r="R13" i="13" s="1"/>
  <c r="U12" i="13"/>
  <c r="T12" i="13"/>
  <c r="AA12" i="13"/>
  <c r="S12" i="13"/>
  <c r="Y10" i="13"/>
  <c r="P10" i="13"/>
  <c r="R10" i="13" s="1"/>
  <c r="Y9" i="13"/>
  <c r="P9" i="13"/>
  <c r="R9" i="13" s="1"/>
  <c r="Y8" i="13"/>
  <c r="P8" i="13"/>
  <c r="R8" i="13" s="1"/>
  <c r="Y7" i="13"/>
  <c r="P7" i="13"/>
  <c r="R7" i="13" s="1"/>
  <c r="P6" i="13"/>
  <c r="R6" i="13" s="1"/>
  <c r="Y6" i="13"/>
  <c r="Y5" i="13"/>
  <c r="P5" i="13"/>
  <c r="R5" i="13" s="1"/>
  <c r="Z37" i="13"/>
  <c r="P42" i="13"/>
  <c r="P46" i="13" s="1"/>
  <c r="X37" i="13"/>
  <c r="O42" i="13"/>
  <c r="O46" i="13" s="1"/>
  <c r="W37" i="13"/>
  <c r="C42" i="13"/>
  <c r="C46" i="13" s="1"/>
  <c r="P4" i="13"/>
  <c r="R4" i="13" s="1"/>
  <c r="Y4" i="13"/>
  <c r="Y11" i="13" s="1"/>
  <c r="Y37" i="13" s="1"/>
  <c r="W36" i="12"/>
  <c r="C45" i="12" s="1"/>
  <c r="Z11" i="12"/>
  <c r="P42" i="12" s="1"/>
  <c r="O19" i="12"/>
  <c r="O17" i="12"/>
  <c r="O15" i="12"/>
  <c r="O13" i="12"/>
  <c r="H20" i="12"/>
  <c r="J20" i="12" s="1"/>
  <c r="H19" i="12"/>
  <c r="J19" i="12" s="1"/>
  <c r="H18" i="12"/>
  <c r="J18" i="12" s="1"/>
  <c r="H17" i="12"/>
  <c r="J17" i="12" s="1"/>
  <c r="H16" i="12"/>
  <c r="J16" i="12" s="1"/>
  <c r="H15" i="12"/>
  <c r="J15" i="12" s="1"/>
  <c r="H14" i="12"/>
  <c r="J14" i="12" s="1"/>
  <c r="H13" i="12"/>
  <c r="J13" i="12" s="1"/>
  <c r="H12" i="12"/>
  <c r="J12" i="12" s="1"/>
  <c r="W21" i="12"/>
  <c r="C43" i="12" s="1"/>
  <c r="Y30" i="12"/>
  <c r="P30" i="12"/>
  <c r="R30" i="12" s="1"/>
  <c r="W26" i="12"/>
  <c r="C44" i="12" s="1"/>
  <c r="P23" i="12"/>
  <c r="R23" i="12" s="1"/>
  <c r="Y23" i="12"/>
  <c r="Z21" i="12"/>
  <c r="P10" i="12"/>
  <c r="R10" i="12" s="1"/>
  <c r="Y10" i="12"/>
  <c r="P7" i="12"/>
  <c r="R7" i="12" s="1"/>
  <c r="Y7" i="12"/>
  <c r="N35" i="12"/>
  <c r="O35" i="12" s="1"/>
  <c r="X35" i="12"/>
  <c r="P34" i="12"/>
  <c r="R34" i="12" s="1"/>
  <c r="Y34" i="12"/>
  <c r="Y32" i="12"/>
  <c r="P32" i="12"/>
  <c r="R32" i="12" s="1"/>
  <c r="Y31" i="12"/>
  <c r="P31" i="12"/>
  <c r="R31" i="12" s="1"/>
  <c r="Y28" i="12"/>
  <c r="P28" i="12"/>
  <c r="R28" i="12" s="1"/>
  <c r="Y25" i="12"/>
  <c r="P25" i="12"/>
  <c r="R25" i="12" s="1"/>
  <c r="Y24" i="12"/>
  <c r="P24" i="12"/>
  <c r="R24" i="12" s="1"/>
  <c r="H22" i="12"/>
  <c r="J22" i="12" s="1"/>
  <c r="H23" i="12"/>
  <c r="J23" i="12" s="1"/>
  <c r="Y19" i="12"/>
  <c r="P19" i="12"/>
  <c r="R19" i="12" s="1"/>
  <c r="P17" i="12"/>
  <c r="R17" i="12" s="1"/>
  <c r="Y17" i="12"/>
  <c r="Y15" i="12"/>
  <c r="P15" i="12"/>
  <c r="R15" i="12" s="1"/>
  <c r="P13" i="12"/>
  <c r="R13" i="12" s="1"/>
  <c r="Y13" i="12"/>
  <c r="X12" i="12"/>
  <c r="N12" i="12"/>
  <c r="O12" i="12" s="1"/>
  <c r="L12" i="12"/>
  <c r="P8" i="12"/>
  <c r="R8" i="12" s="1"/>
  <c r="Y8" i="12"/>
  <c r="X6" i="12"/>
  <c r="N6" i="12"/>
  <c r="O6" i="12" s="1"/>
  <c r="Y5" i="12"/>
  <c r="P5" i="12"/>
  <c r="R5" i="12" s="1"/>
  <c r="N4" i="12"/>
  <c r="O4" i="12" s="1"/>
  <c r="X4" i="12"/>
  <c r="L4" i="12"/>
  <c r="L35" i="11"/>
  <c r="X35" i="11"/>
  <c r="N35" i="11"/>
  <c r="O35" i="11" s="1"/>
  <c r="Y34" i="11"/>
  <c r="P34" i="11"/>
  <c r="R34" i="11" s="1"/>
  <c r="P33" i="11"/>
  <c r="R33" i="11" s="1"/>
  <c r="Y33" i="11"/>
  <c r="Y32" i="11"/>
  <c r="P32" i="11"/>
  <c r="R32" i="11" s="1"/>
  <c r="Y31" i="11"/>
  <c r="P31" i="11"/>
  <c r="R31" i="11" s="1"/>
  <c r="Y30" i="11"/>
  <c r="P30" i="11"/>
  <c r="R30" i="11" s="1"/>
  <c r="Y29" i="11"/>
  <c r="P29" i="11"/>
  <c r="R29" i="11" s="1"/>
  <c r="P28" i="11"/>
  <c r="R28" i="11" s="1"/>
  <c r="Y28" i="11"/>
  <c r="N27" i="11"/>
  <c r="O27" i="11" s="1"/>
  <c r="X27" i="11"/>
  <c r="X36" i="11" s="1"/>
  <c r="O45" i="11" s="1"/>
  <c r="L27" i="11"/>
  <c r="Y25" i="11"/>
  <c r="P25" i="11"/>
  <c r="R25" i="11" s="1"/>
  <c r="N24" i="11"/>
  <c r="O24" i="11" s="1"/>
  <c r="L24" i="11"/>
  <c r="X24" i="11"/>
  <c r="X26" i="11" s="1"/>
  <c r="O44" i="11" s="1"/>
  <c r="Y23" i="11"/>
  <c r="P23" i="11"/>
  <c r="R23" i="11" s="1"/>
  <c r="N22" i="11"/>
  <c r="O22" i="11" s="1"/>
  <c r="L22" i="11"/>
  <c r="L20" i="11"/>
  <c r="X20" i="11"/>
  <c r="N20" i="11"/>
  <c r="O20" i="11" s="1"/>
  <c r="P19" i="11"/>
  <c r="R19" i="11" s="1"/>
  <c r="Y19" i="11"/>
  <c r="P18" i="11"/>
  <c r="R18" i="11" s="1"/>
  <c r="Y18" i="11"/>
  <c r="Y17" i="11"/>
  <c r="P17" i="11"/>
  <c r="R17" i="11" s="1"/>
  <c r="P16" i="11"/>
  <c r="R16" i="11" s="1"/>
  <c r="Y16" i="11"/>
  <c r="Y15" i="11"/>
  <c r="P15" i="11"/>
  <c r="R15" i="11" s="1"/>
  <c r="X14" i="11"/>
  <c r="N14" i="11"/>
  <c r="O14" i="11" s="1"/>
  <c r="L14" i="11"/>
  <c r="Y13" i="11"/>
  <c r="P13" i="11"/>
  <c r="R13" i="11" s="1"/>
  <c r="L12" i="11"/>
  <c r="N12" i="11"/>
  <c r="O12" i="11" s="1"/>
  <c r="X12" i="11"/>
  <c r="X21" i="11" s="1"/>
  <c r="O43" i="11" s="1"/>
  <c r="P42" i="11"/>
  <c r="P46" i="11" s="1"/>
  <c r="Z37" i="11"/>
  <c r="W37" i="11"/>
  <c r="C42" i="11"/>
  <c r="C46" i="11" s="1"/>
  <c r="S10" i="11"/>
  <c r="T10" i="11"/>
  <c r="U10" i="11"/>
  <c r="AA10" i="11"/>
  <c r="X9" i="11"/>
  <c r="N9" i="11"/>
  <c r="O9" i="11" s="1"/>
  <c r="L9" i="11"/>
  <c r="Y8" i="11"/>
  <c r="P8" i="11"/>
  <c r="R8" i="11" s="1"/>
  <c r="P7" i="11"/>
  <c r="R7" i="11" s="1"/>
  <c r="Y7" i="11"/>
  <c r="X6" i="11"/>
  <c r="L6" i="11"/>
  <c r="N6" i="11"/>
  <c r="O6" i="11" s="1"/>
  <c r="Y5" i="11"/>
  <c r="P5" i="11"/>
  <c r="R5" i="11" s="1"/>
  <c r="X4" i="11"/>
  <c r="L4" i="11"/>
  <c r="N4" i="11"/>
  <c r="O4" i="11" s="1"/>
  <c r="X29" i="10"/>
  <c r="N29" i="10"/>
  <c r="O29" i="10" s="1"/>
  <c r="W26" i="10"/>
  <c r="C44" i="10" s="1"/>
  <c r="X24" i="10"/>
  <c r="N24" i="10"/>
  <c r="O24" i="10" s="1"/>
  <c r="L24" i="10"/>
  <c r="X16" i="10"/>
  <c r="N16" i="10"/>
  <c r="O16" i="10" s="1"/>
  <c r="L16" i="10"/>
  <c r="X14" i="10"/>
  <c r="N14" i="10"/>
  <c r="O14" i="10" s="1"/>
  <c r="L14" i="10"/>
  <c r="X9" i="10"/>
  <c r="N9" i="10"/>
  <c r="O9" i="10" s="1"/>
  <c r="L9" i="10"/>
  <c r="W36" i="10"/>
  <c r="C45" i="10" s="1"/>
  <c r="Z26" i="10"/>
  <c r="P44" i="10" s="1"/>
  <c r="O25" i="10"/>
  <c r="O23" i="10"/>
  <c r="H24" i="10"/>
  <c r="J24" i="10" s="1"/>
  <c r="H23" i="10"/>
  <c r="J23" i="10" s="1"/>
  <c r="H25" i="10"/>
  <c r="J25" i="10" s="1"/>
  <c r="B37" i="10"/>
  <c r="H22" i="10"/>
  <c r="J22" i="10" s="1"/>
  <c r="B44" i="10"/>
  <c r="B46" i="10" s="1"/>
  <c r="B49" i="10" s="1"/>
  <c r="W21" i="10"/>
  <c r="C43" i="10" s="1"/>
  <c r="P33" i="10"/>
  <c r="R33" i="10" s="1"/>
  <c r="S33" i="10" s="1"/>
  <c r="Y33" i="10"/>
  <c r="Z21" i="10"/>
  <c r="W11" i="10"/>
  <c r="Y8" i="10"/>
  <c r="P8" i="10"/>
  <c r="R8" i="10" s="1"/>
  <c r="X35" i="10"/>
  <c r="L35" i="10"/>
  <c r="N35" i="10"/>
  <c r="O35" i="10" s="1"/>
  <c r="P34" i="10"/>
  <c r="R34" i="10" s="1"/>
  <c r="Y34" i="10"/>
  <c r="T33" i="10"/>
  <c r="U33" i="10"/>
  <c r="AA33" i="10"/>
  <c r="Y32" i="10"/>
  <c r="P32" i="10"/>
  <c r="R32" i="10" s="1"/>
  <c r="Y31" i="10"/>
  <c r="P31" i="10"/>
  <c r="R31" i="10" s="1"/>
  <c r="Y30" i="10"/>
  <c r="P30" i="10"/>
  <c r="R30" i="10" s="1"/>
  <c r="Y29" i="10"/>
  <c r="P29" i="10"/>
  <c r="R29" i="10" s="1"/>
  <c r="P28" i="10"/>
  <c r="R28" i="10" s="1"/>
  <c r="Y28" i="10"/>
  <c r="L27" i="10"/>
  <c r="N27" i="10"/>
  <c r="O27" i="10" s="1"/>
  <c r="P25" i="10"/>
  <c r="R25" i="10" s="1"/>
  <c r="Y25" i="10"/>
  <c r="P23" i="10"/>
  <c r="R23" i="10" s="1"/>
  <c r="Y23" i="10"/>
  <c r="L22" i="10"/>
  <c r="N22" i="10"/>
  <c r="O22" i="10" s="1"/>
  <c r="X22" i="10"/>
  <c r="N20" i="10"/>
  <c r="O20" i="10" s="1"/>
  <c r="L20" i="10"/>
  <c r="Y19" i="10"/>
  <c r="P19" i="10"/>
  <c r="R19" i="10" s="1"/>
  <c r="Y18" i="10"/>
  <c r="P18" i="10"/>
  <c r="R18" i="10" s="1"/>
  <c r="Y17" i="10"/>
  <c r="P17" i="10"/>
  <c r="R17" i="10" s="1"/>
  <c r="Y15" i="10"/>
  <c r="P15" i="10"/>
  <c r="R15" i="10" s="1"/>
  <c r="P13" i="10"/>
  <c r="R13" i="10" s="1"/>
  <c r="S13" i="10" s="1"/>
  <c r="Y13" i="10"/>
  <c r="X12" i="10"/>
  <c r="N12" i="10"/>
  <c r="O12" i="10" s="1"/>
  <c r="L12" i="10"/>
  <c r="P42" i="10"/>
  <c r="P10" i="10"/>
  <c r="R10" i="10" s="1"/>
  <c r="Y10" i="10"/>
  <c r="P7" i="10"/>
  <c r="R7" i="10" s="1"/>
  <c r="Y7" i="10"/>
  <c r="L6" i="10"/>
  <c r="X6" i="10"/>
  <c r="N6" i="10"/>
  <c r="O6" i="10" s="1"/>
  <c r="P5" i="10"/>
  <c r="R5" i="10" s="1"/>
  <c r="Y5" i="10"/>
  <c r="L4" i="10"/>
  <c r="N4" i="10"/>
  <c r="O4" i="10" s="1"/>
  <c r="X4" i="10"/>
  <c r="H5" i="10"/>
  <c r="J5" i="10" s="1"/>
  <c r="H4" i="10"/>
  <c r="J4" i="10" s="1"/>
  <c r="H6" i="10"/>
  <c r="J6" i="10" s="1"/>
  <c r="H7" i="10"/>
  <c r="J7" i="10" s="1"/>
  <c r="H8" i="10"/>
  <c r="J8" i="10" s="1"/>
  <c r="T23" i="31" l="1"/>
  <c r="S23" i="31"/>
  <c r="U23" i="31"/>
  <c r="P13" i="31"/>
  <c r="R13" i="31" s="1"/>
  <c r="Y13" i="31"/>
  <c r="AB35" i="34"/>
  <c r="S35" i="34"/>
  <c r="T35" i="34"/>
  <c r="U35" i="34"/>
  <c r="T34" i="34"/>
  <c r="U34" i="34"/>
  <c r="AB34" i="34"/>
  <c r="S34" i="34"/>
  <c r="S33" i="34"/>
  <c r="U33" i="34"/>
  <c r="AB33" i="34"/>
  <c r="T33" i="34"/>
  <c r="T32" i="34"/>
  <c r="AB32" i="34"/>
  <c r="S32" i="34"/>
  <c r="U32" i="34"/>
  <c r="T31" i="34"/>
  <c r="S31" i="34"/>
  <c r="U31" i="34"/>
  <c r="AB31" i="34"/>
  <c r="S30" i="34"/>
  <c r="T30" i="34"/>
  <c r="U30" i="34"/>
  <c r="AB30" i="34"/>
  <c r="T29" i="34"/>
  <c r="S29" i="34"/>
  <c r="U29" i="34"/>
  <c r="AB29" i="34"/>
  <c r="T28" i="34"/>
  <c r="S28" i="34"/>
  <c r="U28" i="34"/>
  <c r="AB28" i="34"/>
  <c r="U27" i="34"/>
  <c r="AB27" i="34"/>
  <c r="AB36" i="34" s="1"/>
  <c r="Z45" i="34" s="1"/>
  <c r="S27" i="34"/>
  <c r="S36" i="34" s="1"/>
  <c r="T27" i="34"/>
  <c r="T36" i="34" s="1"/>
  <c r="AB25" i="34"/>
  <c r="U25" i="34"/>
  <c r="S25" i="34"/>
  <c r="T25" i="34"/>
  <c r="S24" i="34"/>
  <c r="T24" i="34"/>
  <c r="U24" i="34"/>
  <c r="AB24" i="34"/>
  <c r="T23" i="34"/>
  <c r="U23" i="34"/>
  <c r="S23" i="34"/>
  <c r="AB23" i="34"/>
  <c r="P22" i="34"/>
  <c r="R22" i="34" s="1"/>
  <c r="Y22" i="34"/>
  <c r="Y26" i="34" s="1"/>
  <c r="W44" i="34" s="1"/>
  <c r="P20" i="34"/>
  <c r="R20" i="34" s="1"/>
  <c r="Y20" i="34"/>
  <c r="S19" i="34"/>
  <c r="T19" i="34"/>
  <c r="U19" i="34"/>
  <c r="AB19" i="34"/>
  <c r="P18" i="34"/>
  <c r="R18" i="34" s="1"/>
  <c r="Y18" i="34"/>
  <c r="S17" i="34"/>
  <c r="T17" i="34"/>
  <c r="U17" i="34"/>
  <c r="AB17" i="34"/>
  <c r="S16" i="34"/>
  <c r="T16" i="34"/>
  <c r="U16" i="34"/>
  <c r="AB16" i="34"/>
  <c r="S15" i="34"/>
  <c r="T15" i="34"/>
  <c r="U15" i="34"/>
  <c r="AB15" i="34"/>
  <c r="S14" i="34"/>
  <c r="T14" i="34"/>
  <c r="U14" i="34"/>
  <c r="AB14" i="34"/>
  <c r="S13" i="34"/>
  <c r="T13" i="34"/>
  <c r="U13" i="34"/>
  <c r="AB13" i="34"/>
  <c r="P12" i="34"/>
  <c r="R12" i="34" s="1"/>
  <c r="Y12" i="34"/>
  <c r="Y21" i="34" s="1"/>
  <c r="W43" i="34" s="1"/>
  <c r="S10" i="34"/>
  <c r="T10" i="34"/>
  <c r="U10" i="34"/>
  <c r="AB10" i="34"/>
  <c r="S9" i="34"/>
  <c r="T9" i="34"/>
  <c r="U9" i="34"/>
  <c r="AB9" i="34"/>
  <c r="S8" i="34"/>
  <c r="T8" i="34"/>
  <c r="U8" i="34"/>
  <c r="AB8" i="34"/>
  <c r="S7" i="34"/>
  <c r="T7" i="34"/>
  <c r="U7" i="34"/>
  <c r="AB7" i="34"/>
  <c r="P6" i="34"/>
  <c r="R6" i="34" s="1"/>
  <c r="Y6" i="34"/>
  <c r="S5" i="34"/>
  <c r="T5" i="34"/>
  <c r="U5" i="34"/>
  <c r="AB5" i="34"/>
  <c r="P4" i="34"/>
  <c r="R4" i="34" s="1"/>
  <c r="Y4" i="34"/>
  <c r="Y11" i="34" s="1"/>
  <c r="X37" i="34"/>
  <c r="V42" i="34"/>
  <c r="V46" i="34" s="1"/>
  <c r="O21" i="31"/>
  <c r="P35" i="33"/>
  <c r="R35" i="33" s="1"/>
  <c r="Y35" i="33"/>
  <c r="T34" i="33"/>
  <c r="U34" i="33"/>
  <c r="AB34" i="33"/>
  <c r="S34" i="33"/>
  <c r="P33" i="33"/>
  <c r="R33" i="33" s="1"/>
  <c r="Y33" i="33"/>
  <c r="T32" i="33"/>
  <c r="U32" i="33"/>
  <c r="S32" i="33"/>
  <c r="AB32" i="33"/>
  <c r="S31" i="33"/>
  <c r="U31" i="33"/>
  <c r="T31" i="33"/>
  <c r="AB31" i="33"/>
  <c r="Y30" i="33"/>
  <c r="P30" i="33"/>
  <c r="R30" i="33" s="1"/>
  <c r="P29" i="33"/>
  <c r="R29" i="33" s="1"/>
  <c r="Y29" i="33"/>
  <c r="S28" i="33"/>
  <c r="U28" i="33"/>
  <c r="AB28" i="33"/>
  <c r="T28" i="33"/>
  <c r="P27" i="33"/>
  <c r="R27" i="33" s="1"/>
  <c r="Y27" i="33"/>
  <c r="Y36" i="33" s="1"/>
  <c r="W45" i="33" s="1"/>
  <c r="T25" i="33"/>
  <c r="AB25" i="33"/>
  <c r="S25" i="33"/>
  <c r="U25" i="33"/>
  <c r="P24" i="33"/>
  <c r="R24" i="33" s="1"/>
  <c r="Y24" i="33"/>
  <c r="P22" i="33"/>
  <c r="R22" i="33" s="1"/>
  <c r="Y22" i="33"/>
  <c r="Y26" i="33" s="1"/>
  <c r="W44" i="33" s="1"/>
  <c r="P20" i="33"/>
  <c r="R20" i="33" s="1"/>
  <c r="Y20" i="33"/>
  <c r="AB19" i="33"/>
  <c r="T19" i="33"/>
  <c r="U19" i="33"/>
  <c r="S19" i="33"/>
  <c r="AB18" i="33"/>
  <c r="U18" i="33"/>
  <c r="T18" i="33"/>
  <c r="S18" i="33"/>
  <c r="U17" i="33"/>
  <c r="S17" i="33"/>
  <c r="T17" i="33"/>
  <c r="AB17" i="33"/>
  <c r="S16" i="33"/>
  <c r="U16" i="33"/>
  <c r="T16" i="33"/>
  <c r="AB16" i="33"/>
  <c r="T15" i="33"/>
  <c r="S15" i="33"/>
  <c r="U15" i="33"/>
  <c r="AB15" i="33"/>
  <c r="S14" i="33"/>
  <c r="U14" i="33"/>
  <c r="T14" i="33"/>
  <c r="AB14" i="33"/>
  <c r="U13" i="33"/>
  <c r="T13" i="33"/>
  <c r="AB13" i="33"/>
  <c r="S13" i="33"/>
  <c r="Y12" i="33"/>
  <c r="Y21" i="33" s="1"/>
  <c r="W43" i="33" s="1"/>
  <c r="P12" i="33"/>
  <c r="R12" i="33" s="1"/>
  <c r="S10" i="33"/>
  <c r="U10" i="33"/>
  <c r="AB10" i="33"/>
  <c r="T10" i="33"/>
  <c r="U9" i="33"/>
  <c r="AB9" i="33"/>
  <c r="T9" i="33"/>
  <c r="S9" i="33"/>
  <c r="U8" i="33"/>
  <c r="S8" i="33"/>
  <c r="AB8" i="33"/>
  <c r="T8" i="33"/>
  <c r="T7" i="33"/>
  <c r="U7" i="33"/>
  <c r="S7" i="33"/>
  <c r="AB7" i="33"/>
  <c r="Y6" i="33"/>
  <c r="P6" i="33"/>
  <c r="R6" i="33" s="1"/>
  <c r="AB5" i="33"/>
  <c r="S5" i="33"/>
  <c r="U5" i="33"/>
  <c r="T5" i="33"/>
  <c r="X37" i="33"/>
  <c r="V42" i="33"/>
  <c r="V46" i="33" s="1"/>
  <c r="Y4" i="33"/>
  <c r="Y11" i="33" s="1"/>
  <c r="P4" i="33"/>
  <c r="R4" i="33" s="1"/>
  <c r="X36" i="31"/>
  <c r="Y27" i="31"/>
  <c r="R27" i="31"/>
  <c r="Y26" i="31"/>
  <c r="W44" i="31" s="1"/>
  <c r="P20" i="31"/>
  <c r="R20" i="31" s="1"/>
  <c r="Y20" i="31"/>
  <c r="P12" i="31"/>
  <c r="R12" i="31" s="1"/>
  <c r="Y12" i="31"/>
  <c r="Y31" i="31"/>
  <c r="P31" i="31"/>
  <c r="R31" i="31" s="1"/>
  <c r="Y44" i="31"/>
  <c r="Y46" i="31" s="1"/>
  <c r="AA37" i="31"/>
  <c r="P35" i="32"/>
  <c r="R35" i="32" s="1"/>
  <c r="Y35" i="32"/>
  <c r="U34" i="32"/>
  <c r="S34" i="32"/>
  <c r="T34" i="32"/>
  <c r="AB34" i="32"/>
  <c r="P33" i="32"/>
  <c r="R33" i="32" s="1"/>
  <c r="Y33" i="32"/>
  <c r="S32" i="32"/>
  <c r="U32" i="32"/>
  <c r="AB32" i="32"/>
  <c r="T32" i="32"/>
  <c r="P31" i="32"/>
  <c r="R31" i="32" s="1"/>
  <c r="Y31" i="32"/>
  <c r="T30" i="32"/>
  <c r="S30" i="32"/>
  <c r="U30" i="32"/>
  <c r="AB30" i="32"/>
  <c r="P29" i="32"/>
  <c r="R29" i="32" s="1"/>
  <c r="Y29" i="32"/>
  <c r="S28" i="32"/>
  <c r="T28" i="32"/>
  <c r="U28" i="32"/>
  <c r="AB28" i="32"/>
  <c r="P27" i="32"/>
  <c r="R27" i="32" s="1"/>
  <c r="Y27" i="32"/>
  <c r="Y36" i="32" s="1"/>
  <c r="W45" i="32" s="1"/>
  <c r="T25" i="32"/>
  <c r="AB25" i="32"/>
  <c r="U25" i="32"/>
  <c r="S25" i="32"/>
  <c r="Y24" i="32"/>
  <c r="P24" i="32"/>
  <c r="R24" i="32" s="1"/>
  <c r="U23" i="32"/>
  <c r="AB23" i="32"/>
  <c r="S23" i="32"/>
  <c r="T23" i="32"/>
  <c r="P22" i="32"/>
  <c r="R22" i="32" s="1"/>
  <c r="Y22" i="32"/>
  <c r="Y26" i="32" s="1"/>
  <c r="W44" i="32" s="1"/>
  <c r="S20" i="32"/>
  <c r="T20" i="32"/>
  <c r="AB20" i="32"/>
  <c r="U20" i="32"/>
  <c r="T19" i="32"/>
  <c r="U19" i="32"/>
  <c r="AB19" i="32"/>
  <c r="S19" i="32"/>
  <c r="T18" i="32"/>
  <c r="S18" i="32"/>
  <c r="AB18" i="32"/>
  <c r="U18" i="32"/>
  <c r="AB17" i="32"/>
  <c r="T17" i="32"/>
  <c r="S17" i="32"/>
  <c r="U17" i="32"/>
  <c r="S16" i="32"/>
  <c r="U16" i="32"/>
  <c r="AB16" i="32"/>
  <c r="T16" i="32"/>
  <c r="U15" i="32"/>
  <c r="AB15" i="32"/>
  <c r="S15" i="32"/>
  <c r="T15" i="32"/>
  <c r="T14" i="32"/>
  <c r="S14" i="32"/>
  <c r="AB14" i="32"/>
  <c r="U14" i="32"/>
  <c r="T13" i="32"/>
  <c r="U13" i="32"/>
  <c r="AB13" i="32"/>
  <c r="S13" i="32"/>
  <c r="U12" i="32"/>
  <c r="T12" i="32"/>
  <c r="T21" i="32" s="1"/>
  <c r="AB12" i="32"/>
  <c r="AB21" i="32" s="1"/>
  <c r="Z43" i="32" s="1"/>
  <c r="S12" i="32"/>
  <c r="S21" i="32" s="1"/>
  <c r="U10" i="32"/>
  <c r="S10" i="32"/>
  <c r="T10" i="32"/>
  <c r="AB10" i="32"/>
  <c r="S9" i="32"/>
  <c r="U9" i="32"/>
  <c r="AB9" i="32"/>
  <c r="T9" i="32"/>
  <c r="T8" i="32"/>
  <c r="S8" i="32"/>
  <c r="AB8" i="32"/>
  <c r="U8" i="32"/>
  <c r="AB7" i="32"/>
  <c r="T7" i="32"/>
  <c r="S7" i="32"/>
  <c r="U7" i="32"/>
  <c r="T6" i="32"/>
  <c r="U6" i="32"/>
  <c r="AB6" i="32"/>
  <c r="S6" i="32"/>
  <c r="S4" i="32"/>
  <c r="S11" i="32" s="1"/>
  <c r="T4" i="32"/>
  <c r="T11" i="32" s="1"/>
  <c r="U4" i="32"/>
  <c r="AB4" i="32"/>
  <c r="AB11" i="32" s="1"/>
  <c r="Y37" i="32"/>
  <c r="W42" i="32"/>
  <c r="W46" i="32" s="1"/>
  <c r="X42" i="31"/>
  <c r="X46" i="31" s="1"/>
  <c r="Z37" i="31"/>
  <c r="U42" i="31"/>
  <c r="U46" i="31" s="1"/>
  <c r="U48" i="31" s="1"/>
  <c r="W37" i="31"/>
  <c r="AB10" i="31"/>
  <c r="S10" i="31"/>
  <c r="T10" i="31"/>
  <c r="U10" i="31"/>
  <c r="S35" i="31"/>
  <c r="AB35" i="31"/>
  <c r="T35" i="31"/>
  <c r="U35" i="31"/>
  <c r="T34" i="31"/>
  <c r="S34" i="31"/>
  <c r="U34" i="31"/>
  <c r="AB34" i="31"/>
  <c r="U33" i="31"/>
  <c r="T33" i="31"/>
  <c r="S33" i="31"/>
  <c r="AB33" i="31"/>
  <c r="AB32" i="31"/>
  <c r="U32" i="31"/>
  <c r="S32" i="31"/>
  <c r="T32" i="31"/>
  <c r="S30" i="31"/>
  <c r="T30" i="31"/>
  <c r="AB30" i="31"/>
  <c r="U30" i="31"/>
  <c r="T29" i="31"/>
  <c r="S29" i="31"/>
  <c r="AB29" i="31"/>
  <c r="U29" i="31"/>
  <c r="S28" i="31"/>
  <c r="U28" i="31"/>
  <c r="AB28" i="31"/>
  <c r="T28" i="31"/>
  <c r="S25" i="31"/>
  <c r="U25" i="31"/>
  <c r="AB25" i="31"/>
  <c r="T25" i="31"/>
  <c r="U24" i="31"/>
  <c r="S24" i="31"/>
  <c r="AB24" i="31"/>
  <c r="T24" i="31"/>
  <c r="S22" i="31"/>
  <c r="T22" i="31"/>
  <c r="U22" i="31"/>
  <c r="AB22" i="31"/>
  <c r="S20" i="31"/>
  <c r="U20" i="31"/>
  <c r="T19" i="31"/>
  <c r="U19" i="31"/>
  <c r="S19" i="31"/>
  <c r="AB19" i="31"/>
  <c r="U18" i="31"/>
  <c r="T18" i="31"/>
  <c r="S18" i="31"/>
  <c r="AB18" i="31"/>
  <c r="U17" i="31"/>
  <c r="AB17" i="31"/>
  <c r="T17" i="31"/>
  <c r="S17" i="31"/>
  <c r="T16" i="31"/>
  <c r="S16" i="31"/>
  <c r="U16" i="31"/>
  <c r="AB16" i="31"/>
  <c r="U15" i="31"/>
  <c r="T15" i="31"/>
  <c r="S15" i="31"/>
  <c r="AB15" i="31"/>
  <c r="T14" i="31"/>
  <c r="S14" i="31"/>
  <c r="U14" i="31"/>
  <c r="AB14" i="31"/>
  <c r="Y9" i="31"/>
  <c r="P9" i="31"/>
  <c r="R9" i="31" s="1"/>
  <c r="S8" i="31"/>
  <c r="U8" i="31"/>
  <c r="AB8" i="31"/>
  <c r="T8" i="31"/>
  <c r="T7" i="31"/>
  <c r="S7" i="31"/>
  <c r="AB7" i="31"/>
  <c r="U7" i="31"/>
  <c r="Y6" i="31"/>
  <c r="P6" i="31"/>
  <c r="R6" i="31" s="1"/>
  <c r="S5" i="31"/>
  <c r="T5" i="31"/>
  <c r="U5" i="31"/>
  <c r="AB5" i="31"/>
  <c r="P4" i="31"/>
  <c r="R4" i="31" s="1"/>
  <c r="Y4" i="31"/>
  <c r="Y11" i="31" s="1"/>
  <c r="V42" i="31"/>
  <c r="X46" i="29"/>
  <c r="Z37" i="29"/>
  <c r="W37" i="29"/>
  <c r="U46" i="29"/>
  <c r="P35" i="30"/>
  <c r="R35" i="30" s="1"/>
  <c r="Y35" i="30"/>
  <c r="S34" i="30"/>
  <c r="U34" i="30"/>
  <c r="T34" i="30"/>
  <c r="AB34" i="30"/>
  <c r="P33" i="30"/>
  <c r="R33" i="30" s="1"/>
  <c r="Y33" i="30"/>
  <c r="T32" i="30"/>
  <c r="U32" i="30"/>
  <c r="AB32" i="30"/>
  <c r="S32" i="30"/>
  <c r="Y31" i="30"/>
  <c r="P31" i="30"/>
  <c r="R31" i="30" s="1"/>
  <c r="S30" i="30"/>
  <c r="T30" i="30"/>
  <c r="U30" i="30"/>
  <c r="AB30" i="30"/>
  <c r="P29" i="30"/>
  <c r="R29" i="30" s="1"/>
  <c r="Y29" i="30"/>
  <c r="P28" i="30"/>
  <c r="R28" i="30" s="1"/>
  <c r="Y28" i="30"/>
  <c r="P27" i="30"/>
  <c r="R27" i="30" s="1"/>
  <c r="Y27" i="30"/>
  <c r="Y36" i="30" s="1"/>
  <c r="W45" i="30" s="1"/>
  <c r="U25" i="30"/>
  <c r="S25" i="30"/>
  <c r="T25" i="30"/>
  <c r="AB25" i="30"/>
  <c r="T23" i="30"/>
  <c r="U23" i="30"/>
  <c r="AB23" i="30"/>
  <c r="S23" i="30"/>
  <c r="S22" i="30"/>
  <c r="S26" i="30" s="1"/>
  <c r="U22" i="30"/>
  <c r="T22" i="30"/>
  <c r="T26" i="30" s="1"/>
  <c r="AB22" i="30"/>
  <c r="AB26" i="30" s="1"/>
  <c r="Z44" i="30" s="1"/>
  <c r="U20" i="30"/>
  <c r="S20" i="30"/>
  <c r="T20" i="30"/>
  <c r="AB20" i="30"/>
  <c r="AB19" i="30"/>
  <c r="T19" i="30"/>
  <c r="U19" i="30"/>
  <c r="S19" i="30"/>
  <c r="T18" i="30"/>
  <c r="S18" i="30"/>
  <c r="U18" i="30"/>
  <c r="AB18" i="30"/>
  <c r="U17" i="30"/>
  <c r="T17" i="30"/>
  <c r="AB17" i="30"/>
  <c r="S17" i="30"/>
  <c r="U16" i="30"/>
  <c r="AB16" i="30"/>
  <c r="S16" i="30"/>
  <c r="T16" i="30"/>
  <c r="S14" i="30"/>
  <c r="T14" i="30"/>
  <c r="U14" i="30"/>
  <c r="AB14" i="30"/>
  <c r="AB13" i="30"/>
  <c r="U13" i="30"/>
  <c r="S13" i="30"/>
  <c r="T13" i="30"/>
  <c r="S12" i="30"/>
  <c r="S21" i="30" s="1"/>
  <c r="AB12" i="30"/>
  <c r="AB21" i="30" s="1"/>
  <c r="Z43" i="30" s="1"/>
  <c r="U12" i="30"/>
  <c r="T12" i="30"/>
  <c r="T21" i="30" s="1"/>
  <c r="U10" i="30"/>
  <c r="AB10" i="30"/>
  <c r="T10" i="30"/>
  <c r="S10" i="30"/>
  <c r="U9" i="30"/>
  <c r="S9" i="30"/>
  <c r="T9" i="30"/>
  <c r="AB9" i="30"/>
  <c r="S8" i="30"/>
  <c r="T8" i="30"/>
  <c r="U8" i="30"/>
  <c r="AB8" i="30"/>
  <c r="S7" i="30"/>
  <c r="T7" i="30"/>
  <c r="U7" i="30"/>
  <c r="AB7" i="30"/>
  <c r="S6" i="30"/>
  <c r="T6" i="30"/>
  <c r="U6" i="30"/>
  <c r="AB6" i="30"/>
  <c r="S5" i="30"/>
  <c r="T5" i="30"/>
  <c r="U5" i="30"/>
  <c r="AB5" i="30"/>
  <c r="W42" i="30"/>
  <c r="W46" i="30" s="1"/>
  <c r="Y37" i="30"/>
  <c r="S4" i="30"/>
  <c r="S11" i="30" s="1"/>
  <c r="T4" i="30"/>
  <c r="T11" i="30" s="1"/>
  <c r="U4" i="30"/>
  <c r="AB4" i="30"/>
  <c r="AB11" i="30" s="1"/>
  <c r="P27" i="29"/>
  <c r="R27" i="29" s="1"/>
  <c r="Y27" i="29"/>
  <c r="Y36" i="29" s="1"/>
  <c r="W45" i="29" s="1"/>
  <c r="V45" i="29"/>
  <c r="V46" i="29" s="1"/>
  <c r="X37" i="29"/>
  <c r="Y21" i="29"/>
  <c r="W43" i="29" s="1"/>
  <c r="Y11" i="29"/>
  <c r="Y26" i="29"/>
  <c r="W44" i="29" s="1"/>
  <c r="T35" i="29"/>
  <c r="AB35" i="29"/>
  <c r="S35" i="29"/>
  <c r="U35" i="29"/>
  <c r="S34" i="29"/>
  <c r="U34" i="29"/>
  <c r="AB34" i="29"/>
  <c r="T34" i="29"/>
  <c r="T33" i="29"/>
  <c r="AB33" i="29"/>
  <c r="S33" i="29"/>
  <c r="U33" i="29"/>
  <c r="T32" i="29"/>
  <c r="AB32" i="29"/>
  <c r="S32" i="29"/>
  <c r="U32" i="29"/>
  <c r="S31" i="29"/>
  <c r="T31" i="29"/>
  <c r="U31" i="29"/>
  <c r="AB31" i="29"/>
  <c r="S30" i="29"/>
  <c r="U30" i="29"/>
  <c r="T30" i="29"/>
  <c r="AB30" i="29"/>
  <c r="T29" i="29"/>
  <c r="S29" i="29"/>
  <c r="U29" i="29"/>
  <c r="AB29" i="29"/>
  <c r="T28" i="29"/>
  <c r="AB28" i="29"/>
  <c r="S28" i="29"/>
  <c r="U28" i="29"/>
  <c r="AB27" i="29"/>
  <c r="S27" i="29"/>
  <c r="S25" i="29"/>
  <c r="U25" i="29"/>
  <c r="AB25" i="29"/>
  <c r="T25" i="29"/>
  <c r="S24" i="29"/>
  <c r="T24" i="29"/>
  <c r="AB24" i="29"/>
  <c r="U24" i="29"/>
  <c r="T23" i="29"/>
  <c r="S23" i="29"/>
  <c r="U23" i="29"/>
  <c r="AB23" i="29"/>
  <c r="U22" i="29"/>
  <c r="T22" i="29"/>
  <c r="T26" i="29" s="1"/>
  <c r="AB22" i="29"/>
  <c r="S22" i="29"/>
  <c r="S26" i="29" s="1"/>
  <c r="S20" i="29"/>
  <c r="T20" i="29"/>
  <c r="U20" i="29"/>
  <c r="AB20" i="29"/>
  <c r="U19" i="29"/>
  <c r="S19" i="29"/>
  <c r="T19" i="29"/>
  <c r="AB19" i="29"/>
  <c r="U18" i="29"/>
  <c r="S18" i="29"/>
  <c r="AB18" i="29"/>
  <c r="T18" i="29"/>
  <c r="T17" i="29"/>
  <c r="S17" i="29"/>
  <c r="U17" i="29"/>
  <c r="AB17" i="29"/>
  <c r="T16" i="29"/>
  <c r="AB16" i="29"/>
  <c r="S16" i="29"/>
  <c r="U16" i="29"/>
  <c r="U15" i="29"/>
  <c r="S15" i="29"/>
  <c r="T15" i="29"/>
  <c r="AB15" i="29"/>
  <c r="U14" i="29"/>
  <c r="T14" i="29"/>
  <c r="S14" i="29"/>
  <c r="AB14" i="29"/>
  <c r="U13" i="29"/>
  <c r="T13" i="29"/>
  <c r="AB13" i="29"/>
  <c r="S13" i="29"/>
  <c r="T12" i="29"/>
  <c r="AB12" i="29"/>
  <c r="S12" i="29"/>
  <c r="U12" i="29"/>
  <c r="U10" i="29"/>
  <c r="AB10" i="29"/>
  <c r="S10" i="29"/>
  <c r="T10" i="29"/>
  <c r="S9" i="29"/>
  <c r="T9" i="29"/>
  <c r="AB9" i="29"/>
  <c r="U9" i="29"/>
  <c r="S8" i="29"/>
  <c r="U8" i="29"/>
  <c r="AB8" i="29"/>
  <c r="T8" i="29"/>
  <c r="AB7" i="29"/>
  <c r="T7" i="29"/>
  <c r="U7" i="29"/>
  <c r="S7" i="29"/>
  <c r="U6" i="29"/>
  <c r="AB6" i="29"/>
  <c r="T6" i="29"/>
  <c r="S6" i="29"/>
  <c r="U5" i="29"/>
  <c r="T5" i="29"/>
  <c r="S5" i="29"/>
  <c r="AB5" i="29"/>
  <c r="T4" i="29"/>
  <c r="U4" i="29"/>
  <c r="S4" i="29"/>
  <c r="AB4" i="29"/>
  <c r="Y36" i="28"/>
  <c r="W45" i="28" s="1"/>
  <c r="AA4" i="28"/>
  <c r="S4" i="28"/>
  <c r="U4" i="28"/>
  <c r="T4" i="28"/>
  <c r="U43" i="28"/>
  <c r="U46" i="28" s="1"/>
  <c r="W37" i="28"/>
  <c r="V44" i="28"/>
  <c r="V46" i="28" s="1"/>
  <c r="X37" i="28"/>
  <c r="U35" i="28"/>
  <c r="T35" i="28"/>
  <c r="AA35" i="28"/>
  <c r="S35" i="28"/>
  <c r="U34" i="28"/>
  <c r="AA34" i="28"/>
  <c r="S34" i="28"/>
  <c r="T34" i="28"/>
  <c r="U33" i="28"/>
  <c r="T33" i="28"/>
  <c r="AA33" i="28"/>
  <c r="S33" i="28"/>
  <c r="AA32" i="28"/>
  <c r="S32" i="28"/>
  <c r="U32" i="28"/>
  <c r="T32" i="28"/>
  <c r="AA31" i="28"/>
  <c r="T31" i="28"/>
  <c r="S31" i="28"/>
  <c r="U31" i="28"/>
  <c r="U30" i="28"/>
  <c r="S30" i="28"/>
  <c r="T30" i="28"/>
  <c r="AA30" i="28"/>
  <c r="S29" i="28"/>
  <c r="U29" i="28"/>
  <c r="T29" i="28"/>
  <c r="AA29" i="28"/>
  <c r="AA28" i="28"/>
  <c r="U28" i="28"/>
  <c r="S28" i="28"/>
  <c r="T28" i="28"/>
  <c r="U27" i="28"/>
  <c r="AA27" i="28"/>
  <c r="T27" i="28"/>
  <c r="S27" i="28"/>
  <c r="U25" i="28"/>
  <c r="AA25" i="28"/>
  <c r="S25" i="28"/>
  <c r="T25" i="28"/>
  <c r="T24" i="28"/>
  <c r="AA24" i="28"/>
  <c r="U24" i="28"/>
  <c r="S24" i="28"/>
  <c r="T23" i="28"/>
  <c r="AA23" i="28"/>
  <c r="U23" i="28"/>
  <c r="S23" i="28"/>
  <c r="P22" i="28"/>
  <c r="R22" i="28" s="1"/>
  <c r="Y22" i="28"/>
  <c r="Y26" i="28" s="1"/>
  <c r="W44" i="28" s="1"/>
  <c r="P20" i="28"/>
  <c r="R20" i="28" s="1"/>
  <c r="Y20" i="28"/>
  <c r="U19" i="28"/>
  <c r="T19" i="28"/>
  <c r="AA19" i="28"/>
  <c r="S19" i="28"/>
  <c r="U18" i="28"/>
  <c r="S18" i="28"/>
  <c r="AA18" i="28"/>
  <c r="T18" i="28"/>
  <c r="U17" i="28"/>
  <c r="T17" i="28"/>
  <c r="AA17" i="28"/>
  <c r="S17" i="28"/>
  <c r="AA16" i="28"/>
  <c r="T16" i="28"/>
  <c r="S16" i="28"/>
  <c r="U16" i="28"/>
  <c r="P15" i="28"/>
  <c r="R15" i="28" s="1"/>
  <c r="Y15" i="28"/>
  <c r="P14" i="28"/>
  <c r="R14" i="28" s="1"/>
  <c r="Y14" i="28"/>
  <c r="P13" i="28"/>
  <c r="R13" i="28" s="1"/>
  <c r="Y13" i="28"/>
  <c r="P12" i="28"/>
  <c r="R12" i="28" s="1"/>
  <c r="Y12" i="28"/>
  <c r="Y21" i="28" s="1"/>
  <c r="W43" i="28" s="1"/>
  <c r="U10" i="28"/>
  <c r="T10" i="28"/>
  <c r="AA10" i="28"/>
  <c r="S10" i="28"/>
  <c r="T9" i="28"/>
  <c r="U9" i="28"/>
  <c r="S9" i="28"/>
  <c r="AA9" i="28"/>
  <c r="S8" i="28"/>
  <c r="AA8" i="28"/>
  <c r="T8" i="28"/>
  <c r="U8" i="28"/>
  <c r="Y6" i="28"/>
  <c r="Y11" i="28" s="1"/>
  <c r="P6" i="28"/>
  <c r="R6" i="28" s="1"/>
  <c r="T5" i="28"/>
  <c r="U5" i="28"/>
  <c r="S5" i="28"/>
  <c r="AA5" i="28"/>
  <c r="Y35" i="21"/>
  <c r="P35" i="21"/>
  <c r="R35" i="21" s="1"/>
  <c r="Y29" i="21"/>
  <c r="P29" i="21"/>
  <c r="R29" i="21" s="1"/>
  <c r="S29" i="21" s="1"/>
  <c r="Y28" i="21"/>
  <c r="P28" i="21"/>
  <c r="R28" i="21" s="1"/>
  <c r="X36" i="21"/>
  <c r="V45" i="21" s="1"/>
  <c r="Y15" i="21"/>
  <c r="P15" i="21"/>
  <c r="R15" i="21" s="1"/>
  <c r="Y13" i="21"/>
  <c r="P13" i="21"/>
  <c r="R13" i="21" s="1"/>
  <c r="Y16" i="21"/>
  <c r="P16" i="21"/>
  <c r="R16" i="21" s="1"/>
  <c r="U35" i="27"/>
  <c r="S35" i="27"/>
  <c r="AA35" i="27"/>
  <c r="T35" i="27"/>
  <c r="AA34" i="27"/>
  <c r="T34" i="27"/>
  <c r="S34" i="27"/>
  <c r="U34" i="27"/>
  <c r="U33" i="27"/>
  <c r="AA33" i="27"/>
  <c r="T33" i="27"/>
  <c r="S33" i="27"/>
  <c r="T32" i="27"/>
  <c r="S32" i="27"/>
  <c r="U32" i="27"/>
  <c r="AA32" i="27"/>
  <c r="S31" i="27"/>
  <c r="AA31" i="27"/>
  <c r="U31" i="27"/>
  <c r="T31" i="27"/>
  <c r="U30" i="27"/>
  <c r="T30" i="27"/>
  <c r="S30" i="27"/>
  <c r="AA30" i="27"/>
  <c r="T29" i="27"/>
  <c r="S29" i="27"/>
  <c r="AA29" i="27"/>
  <c r="U29" i="27"/>
  <c r="AA28" i="27"/>
  <c r="S28" i="27"/>
  <c r="U28" i="27"/>
  <c r="T28" i="27"/>
  <c r="U27" i="27"/>
  <c r="S27" i="27"/>
  <c r="S36" i="27" s="1"/>
  <c r="AA27" i="27"/>
  <c r="AA36" i="27" s="1"/>
  <c r="Y45" i="27" s="1"/>
  <c r="T27" i="27"/>
  <c r="T36" i="27" s="1"/>
  <c r="S24" i="27"/>
  <c r="T24" i="27"/>
  <c r="U24" i="27"/>
  <c r="AA24" i="27"/>
  <c r="S23" i="27"/>
  <c r="T23" i="27"/>
  <c r="U23" i="27"/>
  <c r="AA23" i="27"/>
  <c r="P22" i="27"/>
  <c r="R22" i="27" s="1"/>
  <c r="Y22" i="27"/>
  <c r="Y26" i="27" s="1"/>
  <c r="W44" i="27" s="1"/>
  <c r="S20" i="27"/>
  <c r="T20" i="27"/>
  <c r="U20" i="27"/>
  <c r="AA20" i="27"/>
  <c r="T19" i="27"/>
  <c r="S19" i="27"/>
  <c r="U19" i="27"/>
  <c r="AA19" i="27"/>
  <c r="U18" i="27"/>
  <c r="S18" i="27"/>
  <c r="AA18" i="27"/>
  <c r="T18" i="27"/>
  <c r="S17" i="27"/>
  <c r="T17" i="27"/>
  <c r="U17" i="27"/>
  <c r="AA17" i="27"/>
  <c r="U16" i="27"/>
  <c r="T16" i="27"/>
  <c r="AA16" i="27"/>
  <c r="S16" i="27"/>
  <c r="U15" i="27"/>
  <c r="S15" i="27"/>
  <c r="AA15" i="27"/>
  <c r="T15" i="27"/>
  <c r="T13" i="27"/>
  <c r="S13" i="27"/>
  <c r="AA13" i="27"/>
  <c r="U13" i="27"/>
  <c r="S12" i="27"/>
  <c r="S21" i="27" s="1"/>
  <c r="T12" i="27"/>
  <c r="T21" i="27" s="1"/>
  <c r="AA12" i="27"/>
  <c r="AA21" i="27" s="1"/>
  <c r="Y43" i="27" s="1"/>
  <c r="U12" i="27"/>
  <c r="S9" i="27"/>
  <c r="T9" i="27"/>
  <c r="U9" i="27"/>
  <c r="AA9" i="27"/>
  <c r="S8" i="27"/>
  <c r="T8" i="27"/>
  <c r="U8" i="27"/>
  <c r="AA8" i="27"/>
  <c r="S7" i="27"/>
  <c r="T7" i="27"/>
  <c r="U7" i="27"/>
  <c r="AA7" i="27"/>
  <c r="P6" i="27"/>
  <c r="R6" i="27" s="1"/>
  <c r="Y6" i="27"/>
  <c r="S5" i="27"/>
  <c r="T5" i="27"/>
  <c r="U5" i="27"/>
  <c r="AA5" i="27"/>
  <c r="P4" i="27"/>
  <c r="R4" i="27" s="1"/>
  <c r="Y4" i="27"/>
  <c r="Y11" i="27" s="1"/>
  <c r="V42" i="27"/>
  <c r="V46" i="27" s="1"/>
  <c r="X37" i="27"/>
  <c r="S5" i="21"/>
  <c r="U5" i="21"/>
  <c r="AA35" i="26"/>
  <c r="S35" i="26"/>
  <c r="U35" i="26"/>
  <c r="T35" i="26"/>
  <c r="U34" i="26"/>
  <c r="S34" i="26"/>
  <c r="T34" i="26"/>
  <c r="AA34" i="26"/>
  <c r="U33" i="26"/>
  <c r="AA33" i="26"/>
  <c r="S33" i="26"/>
  <c r="T33" i="26"/>
  <c r="T32" i="26"/>
  <c r="AA32" i="26"/>
  <c r="U32" i="26"/>
  <c r="S32" i="26"/>
  <c r="T31" i="26"/>
  <c r="U31" i="26"/>
  <c r="S31" i="26"/>
  <c r="AA31" i="26"/>
  <c r="AA30" i="26"/>
  <c r="T30" i="26"/>
  <c r="U30" i="26"/>
  <c r="S30" i="26"/>
  <c r="U29" i="26"/>
  <c r="AA29" i="26"/>
  <c r="S29" i="26"/>
  <c r="T29" i="26"/>
  <c r="U28" i="26"/>
  <c r="AA28" i="26"/>
  <c r="AA36" i="26" s="1"/>
  <c r="Y45" i="26" s="1"/>
  <c r="S28" i="26"/>
  <c r="S36" i="26" s="1"/>
  <c r="T28" i="26"/>
  <c r="T36" i="26" s="1"/>
  <c r="P27" i="26"/>
  <c r="Y27" i="26"/>
  <c r="Y36" i="26" s="1"/>
  <c r="W45" i="26" s="1"/>
  <c r="T25" i="26"/>
  <c r="AA25" i="26"/>
  <c r="S25" i="26"/>
  <c r="U25" i="26"/>
  <c r="T24" i="26"/>
  <c r="S24" i="26"/>
  <c r="AA24" i="26"/>
  <c r="U24" i="26"/>
  <c r="T23" i="26"/>
  <c r="U23" i="26"/>
  <c r="S23" i="26"/>
  <c r="AA23" i="26"/>
  <c r="T22" i="26"/>
  <c r="T26" i="26" s="1"/>
  <c r="AA22" i="26"/>
  <c r="AA26" i="26" s="1"/>
  <c r="Y44" i="26" s="1"/>
  <c r="S22" i="26"/>
  <c r="S26" i="26" s="1"/>
  <c r="U22" i="26"/>
  <c r="Y20" i="26"/>
  <c r="P20" i="26"/>
  <c r="R20" i="26" s="1"/>
  <c r="T19" i="26"/>
  <c r="AA19" i="26"/>
  <c r="U19" i="26"/>
  <c r="S19" i="26"/>
  <c r="T18" i="26"/>
  <c r="U18" i="26"/>
  <c r="S18" i="26"/>
  <c r="AA18" i="26"/>
  <c r="S17" i="26"/>
  <c r="T17" i="26"/>
  <c r="U17" i="26"/>
  <c r="AA17" i="26"/>
  <c r="AA16" i="26"/>
  <c r="S16" i="26"/>
  <c r="T16" i="26"/>
  <c r="U16" i="26"/>
  <c r="U15" i="26"/>
  <c r="AA15" i="26"/>
  <c r="S15" i="26"/>
  <c r="T15" i="26"/>
  <c r="S14" i="26"/>
  <c r="U14" i="26"/>
  <c r="AA14" i="26"/>
  <c r="T14" i="26"/>
  <c r="AA13" i="26"/>
  <c r="U13" i="26"/>
  <c r="T13" i="26"/>
  <c r="S13" i="26"/>
  <c r="P12" i="26"/>
  <c r="R12" i="26" s="1"/>
  <c r="Y12" i="26"/>
  <c r="Y21" i="26" s="1"/>
  <c r="W43" i="26" s="1"/>
  <c r="AA10" i="26"/>
  <c r="S10" i="26"/>
  <c r="T10" i="26"/>
  <c r="U10" i="26"/>
  <c r="S9" i="26"/>
  <c r="U9" i="26"/>
  <c r="T9" i="26"/>
  <c r="AA9" i="26"/>
  <c r="AA8" i="26"/>
  <c r="T8" i="26"/>
  <c r="U8" i="26"/>
  <c r="S8" i="26"/>
  <c r="T7" i="26"/>
  <c r="U7" i="26"/>
  <c r="AA7" i="26"/>
  <c r="S7" i="26"/>
  <c r="T6" i="26"/>
  <c r="AA6" i="26"/>
  <c r="U6" i="26"/>
  <c r="S6" i="26"/>
  <c r="U5" i="26"/>
  <c r="T5" i="26"/>
  <c r="S5" i="26"/>
  <c r="AA5" i="26"/>
  <c r="X37" i="26"/>
  <c r="V42" i="26"/>
  <c r="V46" i="26" s="1"/>
  <c r="Y4" i="26"/>
  <c r="Y11" i="26" s="1"/>
  <c r="P4" i="26"/>
  <c r="R4" i="26" s="1"/>
  <c r="P27" i="21"/>
  <c r="R27" i="21" s="1"/>
  <c r="Y27" i="21"/>
  <c r="Y14" i="21"/>
  <c r="P14" i="21"/>
  <c r="R14" i="21" s="1"/>
  <c r="S14" i="21" s="1"/>
  <c r="T5" i="21"/>
  <c r="AA5" i="21"/>
  <c r="P35" i="25"/>
  <c r="R35" i="25" s="1"/>
  <c r="Y35" i="25"/>
  <c r="U34" i="25"/>
  <c r="AA34" i="25"/>
  <c r="S34" i="25"/>
  <c r="T34" i="25"/>
  <c r="T33" i="25"/>
  <c r="S33" i="25"/>
  <c r="U33" i="25"/>
  <c r="AA33" i="25"/>
  <c r="T32" i="25"/>
  <c r="U32" i="25"/>
  <c r="S32" i="25"/>
  <c r="AA32" i="25"/>
  <c r="U31" i="25"/>
  <c r="AA31" i="25"/>
  <c r="S31" i="25"/>
  <c r="T31" i="25"/>
  <c r="AA30" i="25"/>
  <c r="T30" i="25"/>
  <c r="S30" i="25"/>
  <c r="U30" i="25"/>
  <c r="U29" i="25"/>
  <c r="T29" i="25"/>
  <c r="S29" i="25"/>
  <c r="AA29" i="25"/>
  <c r="T28" i="25"/>
  <c r="U28" i="25"/>
  <c r="S28" i="25"/>
  <c r="AA28" i="25"/>
  <c r="P27" i="25"/>
  <c r="R27" i="25" s="1"/>
  <c r="Y27" i="25"/>
  <c r="Y36" i="25" s="1"/>
  <c r="W45" i="25" s="1"/>
  <c r="T25" i="25"/>
  <c r="AA25" i="25"/>
  <c r="S25" i="25"/>
  <c r="U25" i="25"/>
  <c r="P24" i="25"/>
  <c r="R24" i="25" s="1"/>
  <c r="Y24" i="25"/>
  <c r="Y26" i="25" s="1"/>
  <c r="W44" i="25" s="1"/>
  <c r="S23" i="25"/>
  <c r="AA23" i="25"/>
  <c r="U23" i="25"/>
  <c r="T23" i="25"/>
  <c r="T22" i="25"/>
  <c r="AA22" i="25"/>
  <c r="S22" i="25"/>
  <c r="U22" i="25"/>
  <c r="Y20" i="25"/>
  <c r="P20" i="25"/>
  <c r="R20" i="25" s="1"/>
  <c r="T19" i="25"/>
  <c r="AA19" i="25"/>
  <c r="S19" i="25"/>
  <c r="U19" i="25"/>
  <c r="AA18" i="25"/>
  <c r="U18" i="25"/>
  <c r="S18" i="25"/>
  <c r="T18" i="25"/>
  <c r="U17" i="25"/>
  <c r="T17" i="25"/>
  <c r="S17" i="25"/>
  <c r="AA17" i="25"/>
  <c r="S16" i="25"/>
  <c r="T16" i="25"/>
  <c r="AA16" i="25"/>
  <c r="U16" i="25"/>
  <c r="AA15" i="25"/>
  <c r="S15" i="25"/>
  <c r="U15" i="25"/>
  <c r="T15" i="25"/>
  <c r="S13" i="25"/>
  <c r="T13" i="25"/>
  <c r="U13" i="25"/>
  <c r="AA13" i="25"/>
  <c r="P12" i="25"/>
  <c r="R12" i="25" s="1"/>
  <c r="Y12" i="25"/>
  <c r="Y21" i="25" s="1"/>
  <c r="W43" i="25" s="1"/>
  <c r="P9" i="25"/>
  <c r="R9" i="25" s="1"/>
  <c r="Y9" i="25"/>
  <c r="AA8" i="25"/>
  <c r="S8" i="25"/>
  <c r="T8" i="25"/>
  <c r="U8" i="25"/>
  <c r="AA7" i="25"/>
  <c r="T7" i="25"/>
  <c r="U7" i="25"/>
  <c r="S7" i="25"/>
  <c r="P6" i="25"/>
  <c r="R6" i="25" s="1"/>
  <c r="Y6" i="25"/>
  <c r="S5" i="25"/>
  <c r="U5" i="25"/>
  <c r="AA5" i="25"/>
  <c r="T5" i="25"/>
  <c r="X37" i="25"/>
  <c r="V42" i="25"/>
  <c r="V46" i="25" s="1"/>
  <c r="Y4" i="25"/>
  <c r="Y11" i="25" s="1"/>
  <c r="P4" i="25"/>
  <c r="R4" i="25" s="1"/>
  <c r="Y33" i="21"/>
  <c r="P33" i="21"/>
  <c r="R33" i="21" s="1"/>
  <c r="P31" i="21"/>
  <c r="R31" i="21" s="1"/>
  <c r="Y31" i="21"/>
  <c r="X11" i="21"/>
  <c r="V42" i="21" s="1"/>
  <c r="Y9" i="21"/>
  <c r="P9" i="21"/>
  <c r="R9" i="21" s="1"/>
  <c r="AA35" i="24"/>
  <c r="S35" i="24"/>
  <c r="U35" i="24"/>
  <c r="T35" i="24"/>
  <c r="S34" i="24"/>
  <c r="U34" i="24"/>
  <c r="T34" i="24"/>
  <c r="AA34" i="24"/>
  <c r="S33" i="24"/>
  <c r="U33" i="24"/>
  <c r="T33" i="24"/>
  <c r="AA33" i="24"/>
  <c r="S32" i="24"/>
  <c r="U32" i="24"/>
  <c r="T32" i="24"/>
  <c r="AA32" i="24"/>
  <c r="U31" i="24"/>
  <c r="AA31" i="24"/>
  <c r="T31" i="24"/>
  <c r="S31" i="24"/>
  <c r="U30" i="24"/>
  <c r="S30" i="24"/>
  <c r="T30" i="24"/>
  <c r="AA30" i="24"/>
  <c r="U29" i="24"/>
  <c r="S29" i="24"/>
  <c r="AA29" i="24"/>
  <c r="T29" i="24"/>
  <c r="S28" i="24"/>
  <c r="U28" i="24"/>
  <c r="T28" i="24"/>
  <c r="AA28" i="24"/>
  <c r="S27" i="24"/>
  <c r="S36" i="24" s="1"/>
  <c r="T27" i="24"/>
  <c r="T36" i="24" s="1"/>
  <c r="U27" i="24"/>
  <c r="AA27" i="24"/>
  <c r="AA36" i="24" s="1"/>
  <c r="Y45" i="24" s="1"/>
  <c r="AA25" i="24"/>
  <c r="U25" i="24"/>
  <c r="S25" i="24"/>
  <c r="T25" i="24"/>
  <c r="Y24" i="24"/>
  <c r="P24" i="24"/>
  <c r="R24" i="24" s="1"/>
  <c r="U23" i="24"/>
  <c r="T23" i="24"/>
  <c r="S23" i="24"/>
  <c r="AA23" i="24"/>
  <c r="Y22" i="24"/>
  <c r="Y26" i="24" s="1"/>
  <c r="W44" i="24" s="1"/>
  <c r="P22" i="24"/>
  <c r="R22" i="24" s="1"/>
  <c r="AA20" i="24"/>
  <c r="T20" i="24"/>
  <c r="S20" i="24"/>
  <c r="U20" i="24"/>
  <c r="T19" i="24"/>
  <c r="S19" i="24"/>
  <c r="U19" i="24"/>
  <c r="AA19" i="24"/>
  <c r="U18" i="24"/>
  <c r="S18" i="24"/>
  <c r="T18" i="24"/>
  <c r="AA18" i="24"/>
  <c r="T17" i="24"/>
  <c r="S17" i="24"/>
  <c r="AA17" i="24"/>
  <c r="U17" i="24"/>
  <c r="U16" i="24"/>
  <c r="S16" i="24"/>
  <c r="AA16" i="24"/>
  <c r="T16" i="24"/>
  <c r="S14" i="24"/>
  <c r="T14" i="24"/>
  <c r="U14" i="24"/>
  <c r="AA14" i="24"/>
  <c r="S13" i="24"/>
  <c r="T13" i="24"/>
  <c r="U13" i="24"/>
  <c r="AA13" i="24"/>
  <c r="P12" i="24"/>
  <c r="R12" i="24" s="1"/>
  <c r="Y12" i="24"/>
  <c r="Y21" i="24" s="1"/>
  <c r="W43" i="24" s="1"/>
  <c r="AA10" i="24"/>
  <c r="U10" i="24"/>
  <c r="S10" i="24"/>
  <c r="T10" i="24"/>
  <c r="T9" i="24"/>
  <c r="U9" i="24"/>
  <c r="AA9" i="24"/>
  <c r="S9" i="24"/>
  <c r="S8" i="24"/>
  <c r="T8" i="24"/>
  <c r="U8" i="24"/>
  <c r="AA8" i="24"/>
  <c r="S7" i="24"/>
  <c r="U7" i="24"/>
  <c r="T7" i="24"/>
  <c r="AA7" i="24"/>
  <c r="P6" i="24"/>
  <c r="R6" i="24" s="1"/>
  <c r="Y6" i="24"/>
  <c r="T5" i="24"/>
  <c r="AA5" i="24"/>
  <c r="S5" i="24"/>
  <c r="U5" i="24"/>
  <c r="X37" i="24"/>
  <c r="V42" i="24"/>
  <c r="V46" i="24" s="1"/>
  <c r="Y4" i="24"/>
  <c r="Y11" i="24" s="1"/>
  <c r="P4" i="24"/>
  <c r="R4" i="24" s="1"/>
  <c r="I32" i="23"/>
  <c r="J32" i="23"/>
  <c r="I24" i="23"/>
  <c r="J24" i="23"/>
  <c r="I16" i="23"/>
  <c r="J16" i="23"/>
  <c r="I8" i="23"/>
  <c r="J8" i="23"/>
  <c r="T34" i="21"/>
  <c r="AA34" i="21"/>
  <c r="X26" i="21"/>
  <c r="V44" i="21" s="1"/>
  <c r="Y4" i="21"/>
  <c r="P4" i="21"/>
  <c r="R4" i="21" s="1"/>
  <c r="S34" i="21"/>
  <c r="U34" i="21"/>
  <c r="AA18" i="21"/>
  <c r="U18" i="21"/>
  <c r="S18" i="21"/>
  <c r="U34" i="22"/>
  <c r="AA34" i="22"/>
  <c r="T34" i="22"/>
  <c r="S34" i="22"/>
  <c r="S33" i="22"/>
  <c r="AA33" i="22"/>
  <c r="T33" i="22"/>
  <c r="U33" i="22"/>
  <c r="U32" i="22"/>
  <c r="AA32" i="22"/>
  <c r="S32" i="22"/>
  <c r="T32" i="22"/>
  <c r="U31" i="22"/>
  <c r="S31" i="22"/>
  <c r="T31" i="22"/>
  <c r="AA31" i="22"/>
  <c r="T30" i="22"/>
  <c r="S30" i="22"/>
  <c r="U30" i="22"/>
  <c r="AA30" i="22"/>
  <c r="S28" i="22"/>
  <c r="T28" i="22"/>
  <c r="U28" i="22"/>
  <c r="AA28" i="22"/>
  <c r="S27" i="22"/>
  <c r="S36" i="22" s="1"/>
  <c r="T27" i="22"/>
  <c r="T36" i="22" s="1"/>
  <c r="U27" i="22"/>
  <c r="AA27" i="22"/>
  <c r="AA36" i="22" s="1"/>
  <c r="Y45" i="22" s="1"/>
  <c r="S25" i="22"/>
  <c r="AA25" i="22"/>
  <c r="T25" i="22"/>
  <c r="U25" i="22"/>
  <c r="U24" i="22"/>
  <c r="S24" i="22"/>
  <c r="T24" i="22"/>
  <c r="AA24" i="22"/>
  <c r="AA23" i="22"/>
  <c r="U23" i="22"/>
  <c r="T23" i="22"/>
  <c r="S23" i="22"/>
  <c r="S22" i="22"/>
  <c r="S26" i="22" s="1"/>
  <c r="U22" i="22"/>
  <c r="T22" i="22"/>
  <c r="T26" i="22" s="1"/>
  <c r="AA22" i="22"/>
  <c r="AA26" i="22" s="1"/>
  <c r="Y44" i="22" s="1"/>
  <c r="S20" i="22"/>
  <c r="T20" i="22"/>
  <c r="U20" i="22"/>
  <c r="AA20" i="22"/>
  <c r="AA19" i="22"/>
  <c r="S19" i="22"/>
  <c r="U19" i="22"/>
  <c r="T19" i="22"/>
  <c r="T18" i="22"/>
  <c r="U18" i="22"/>
  <c r="AA18" i="22"/>
  <c r="S18" i="22"/>
  <c r="S16" i="22"/>
  <c r="T16" i="22"/>
  <c r="U16" i="22"/>
  <c r="AA16" i="22"/>
  <c r="S15" i="22"/>
  <c r="T15" i="22"/>
  <c r="U15" i="22"/>
  <c r="AA15" i="22"/>
  <c r="S14" i="22"/>
  <c r="T14" i="22"/>
  <c r="U14" i="22"/>
  <c r="AA14" i="22"/>
  <c r="S13" i="22"/>
  <c r="T13" i="22"/>
  <c r="U13" i="22"/>
  <c r="AA13" i="22"/>
  <c r="S12" i="22"/>
  <c r="S21" i="22" s="1"/>
  <c r="T12" i="22"/>
  <c r="T21" i="22" s="1"/>
  <c r="U12" i="22"/>
  <c r="AA12" i="22"/>
  <c r="AA21" i="22" s="1"/>
  <c r="Y43" i="22" s="1"/>
  <c r="S10" i="22"/>
  <c r="T10" i="22"/>
  <c r="U10" i="22"/>
  <c r="AA10" i="22"/>
  <c r="AA9" i="22"/>
  <c r="S9" i="22"/>
  <c r="U9" i="22"/>
  <c r="T9" i="22"/>
  <c r="U8" i="22"/>
  <c r="T8" i="22"/>
  <c r="S8" i="22"/>
  <c r="AA8" i="22"/>
  <c r="AA7" i="22"/>
  <c r="U7" i="22"/>
  <c r="T7" i="22"/>
  <c r="S7" i="22"/>
  <c r="S5" i="22"/>
  <c r="T5" i="22"/>
  <c r="U5" i="22"/>
  <c r="AA5" i="22"/>
  <c r="S4" i="22"/>
  <c r="S11" i="22" s="1"/>
  <c r="T4" i="22"/>
  <c r="T11" i="22" s="1"/>
  <c r="U4" i="22"/>
  <c r="AA4" i="22"/>
  <c r="AA11" i="22" s="1"/>
  <c r="W42" i="22"/>
  <c r="W46" i="22" s="1"/>
  <c r="Y37" i="22"/>
  <c r="X45" i="21"/>
  <c r="X46" i="21" s="1"/>
  <c r="Z37" i="21"/>
  <c r="U43" i="21"/>
  <c r="W37" i="21"/>
  <c r="U46" i="21"/>
  <c r="S32" i="21"/>
  <c r="U32" i="21"/>
  <c r="T32" i="21"/>
  <c r="AA32" i="21"/>
  <c r="AA30" i="21"/>
  <c r="S30" i="21"/>
  <c r="U30" i="21"/>
  <c r="T30" i="21"/>
  <c r="T29" i="21"/>
  <c r="U29" i="21"/>
  <c r="AA29" i="21"/>
  <c r="S25" i="21"/>
  <c r="T25" i="21"/>
  <c r="U25" i="21"/>
  <c r="AA25" i="21"/>
  <c r="P24" i="21"/>
  <c r="R24" i="21" s="1"/>
  <c r="Y24" i="21"/>
  <c r="S23" i="21"/>
  <c r="T23" i="21"/>
  <c r="U23" i="21"/>
  <c r="AA23" i="21"/>
  <c r="P22" i="21"/>
  <c r="R22" i="21" s="1"/>
  <c r="Y22" i="21"/>
  <c r="Y26" i="21" s="1"/>
  <c r="W44" i="21" s="1"/>
  <c r="P20" i="21"/>
  <c r="R20" i="21" s="1"/>
  <c r="Y20" i="21"/>
  <c r="AA19" i="21"/>
  <c r="U19" i="21"/>
  <c r="T19" i="21"/>
  <c r="S19" i="21"/>
  <c r="S17" i="21"/>
  <c r="T17" i="21"/>
  <c r="U17" i="21"/>
  <c r="AA17" i="21"/>
  <c r="P12" i="21"/>
  <c r="R12" i="21" s="1"/>
  <c r="Y12" i="21"/>
  <c r="S10" i="21"/>
  <c r="T10" i="21"/>
  <c r="AA10" i="21"/>
  <c r="U10" i="21"/>
  <c r="U8" i="21"/>
  <c r="S8" i="21"/>
  <c r="AA8" i="21"/>
  <c r="T8" i="21"/>
  <c r="U7" i="21"/>
  <c r="T7" i="21"/>
  <c r="AA7" i="21"/>
  <c r="S7" i="21"/>
  <c r="S6" i="21"/>
  <c r="T6" i="21"/>
  <c r="AA6" i="21"/>
  <c r="U6" i="21"/>
  <c r="X21" i="21"/>
  <c r="X21" i="19"/>
  <c r="Y18" i="19"/>
  <c r="P18" i="19"/>
  <c r="R18" i="19" s="1"/>
  <c r="U28" i="19"/>
  <c r="AA28" i="19"/>
  <c r="S35" i="20"/>
  <c r="T35" i="20"/>
  <c r="U35" i="20"/>
  <c r="AA35" i="20"/>
  <c r="S34" i="20"/>
  <c r="T34" i="20"/>
  <c r="U34" i="20"/>
  <c r="AA34" i="20"/>
  <c r="S33" i="20"/>
  <c r="T33" i="20"/>
  <c r="U33" i="20"/>
  <c r="AA33" i="20"/>
  <c r="S32" i="20"/>
  <c r="T32" i="20"/>
  <c r="U32" i="20"/>
  <c r="AA32" i="20"/>
  <c r="S31" i="20"/>
  <c r="T31" i="20"/>
  <c r="U31" i="20"/>
  <c r="AA31" i="20"/>
  <c r="S30" i="20"/>
  <c r="T30" i="20"/>
  <c r="U30" i="20"/>
  <c r="AA30" i="20"/>
  <c r="S29" i="20"/>
  <c r="T29" i="20"/>
  <c r="U29" i="20"/>
  <c r="AA29" i="20"/>
  <c r="S28" i="20"/>
  <c r="T28" i="20"/>
  <c r="U28" i="20"/>
  <c r="AA28" i="20"/>
  <c r="S27" i="20"/>
  <c r="T27" i="20"/>
  <c r="T36" i="20" s="1"/>
  <c r="U27" i="20"/>
  <c r="AA27" i="20"/>
  <c r="AA36" i="20" s="1"/>
  <c r="Y45" i="20" s="1"/>
  <c r="S25" i="20"/>
  <c r="T25" i="20"/>
  <c r="U25" i="20"/>
  <c r="AA25" i="20"/>
  <c r="S24" i="20"/>
  <c r="T24" i="20"/>
  <c r="U24" i="20"/>
  <c r="AA24" i="20"/>
  <c r="S23" i="20"/>
  <c r="S26" i="20" s="1"/>
  <c r="T23" i="20"/>
  <c r="T26" i="20" s="1"/>
  <c r="U23" i="20"/>
  <c r="AA23" i="20"/>
  <c r="AA26" i="20" s="1"/>
  <c r="Y44" i="20" s="1"/>
  <c r="Z44" i="20"/>
  <c r="AA44" i="20"/>
  <c r="S20" i="20"/>
  <c r="T20" i="20"/>
  <c r="U20" i="20"/>
  <c r="AA20" i="20"/>
  <c r="S19" i="20"/>
  <c r="T19" i="20"/>
  <c r="U19" i="20"/>
  <c r="AA19" i="20"/>
  <c r="S18" i="20"/>
  <c r="T18" i="20"/>
  <c r="U18" i="20"/>
  <c r="AA18" i="20"/>
  <c r="S17" i="20"/>
  <c r="T17" i="20"/>
  <c r="U17" i="20"/>
  <c r="AA17" i="20"/>
  <c r="S16" i="20"/>
  <c r="T16" i="20"/>
  <c r="U16" i="20"/>
  <c r="AA16" i="20"/>
  <c r="S15" i="20"/>
  <c r="T15" i="20"/>
  <c r="U15" i="20"/>
  <c r="AA15" i="20"/>
  <c r="S14" i="20"/>
  <c r="T14" i="20"/>
  <c r="U14" i="20"/>
  <c r="AA14" i="20"/>
  <c r="S13" i="20"/>
  <c r="T13" i="20"/>
  <c r="U13" i="20"/>
  <c r="AA13" i="20"/>
  <c r="S12" i="20"/>
  <c r="S21" i="20" s="1"/>
  <c r="T12" i="20"/>
  <c r="T21" i="20" s="1"/>
  <c r="U12" i="20"/>
  <c r="AA12" i="20"/>
  <c r="AA21" i="20" s="1"/>
  <c r="Y43" i="20" s="1"/>
  <c r="S10" i="20"/>
  <c r="T10" i="20"/>
  <c r="U10" i="20"/>
  <c r="AA10" i="20"/>
  <c r="S9" i="20"/>
  <c r="T9" i="20"/>
  <c r="U9" i="20"/>
  <c r="AA9" i="20"/>
  <c r="S8" i="20"/>
  <c r="T8" i="20"/>
  <c r="U8" i="20"/>
  <c r="AA8" i="20"/>
  <c r="T7" i="20"/>
  <c r="U7" i="20"/>
  <c r="AA7" i="20"/>
  <c r="S7" i="20"/>
  <c r="T5" i="20"/>
  <c r="S5" i="20"/>
  <c r="U5" i="20"/>
  <c r="AA5" i="20"/>
  <c r="AA4" i="20"/>
  <c r="AA11" i="20" s="1"/>
  <c r="S4" i="20"/>
  <c r="S11" i="20" s="1"/>
  <c r="T4" i="20"/>
  <c r="T11" i="20" s="1"/>
  <c r="U4" i="20"/>
  <c r="W42" i="20"/>
  <c r="Y21" i="20"/>
  <c r="Y26" i="19"/>
  <c r="W44" i="19" s="1"/>
  <c r="X44" i="19"/>
  <c r="X45" i="19"/>
  <c r="V44" i="19"/>
  <c r="U42" i="19"/>
  <c r="U46" i="19" s="1"/>
  <c r="X43" i="19"/>
  <c r="S28" i="19"/>
  <c r="T28" i="19"/>
  <c r="S22" i="19"/>
  <c r="U22" i="19"/>
  <c r="T22" i="19"/>
  <c r="AA22" i="19"/>
  <c r="S13" i="19"/>
  <c r="T13" i="19"/>
  <c r="U13" i="19"/>
  <c r="AA13" i="19"/>
  <c r="Z37" i="19"/>
  <c r="U8" i="19"/>
  <c r="T8" i="19"/>
  <c r="S8" i="19"/>
  <c r="AA8" i="19"/>
  <c r="Y36" i="19"/>
  <c r="W45" i="19" s="1"/>
  <c r="W37" i="19"/>
  <c r="S35" i="19"/>
  <c r="T35" i="19"/>
  <c r="U35" i="19"/>
  <c r="AA35" i="19"/>
  <c r="S34" i="19"/>
  <c r="T34" i="19"/>
  <c r="U34" i="19"/>
  <c r="AA34" i="19"/>
  <c r="S33" i="19"/>
  <c r="T33" i="19"/>
  <c r="U33" i="19"/>
  <c r="AA33" i="19"/>
  <c r="S32" i="19"/>
  <c r="U32" i="19"/>
  <c r="AA32" i="19"/>
  <c r="T32" i="19"/>
  <c r="U31" i="19"/>
  <c r="T31" i="19"/>
  <c r="S31" i="19"/>
  <c r="AA31" i="19"/>
  <c r="AA30" i="19"/>
  <c r="T30" i="19"/>
  <c r="S30" i="19"/>
  <c r="U30" i="19"/>
  <c r="T29" i="19"/>
  <c r="S29" i="19"/>
  <c r="U29" i="19"/>
  <c r="AA29" i="19"/>
  <c r="T27" i="19"/>
  <c r="AA27" i="19"/>
  <c r="U27" i="19"/>
  <c r="S27" i="19"/>
  <c r="S25" i="19"/>
  <c r="U25" i="19"/>
  <c r="AA25" i="19"/>
  <c r="T25" i="19"/>
  <c r="T24" i="19"/>
  <c r="AA24" i="19"/>
  <c r="S24" i="19"/>
  <c r="U24" i="19"/>
  <c r="T23" i="19"/>
  <c r="S23" i="19"/>
  <c r="U23" i="19"/>
  <c r="AA23" i="19"/>
  <c r="P20" i="19"/>
  <c r="R20" i="19" s="1"/>
  <c r="Y20" i="19"/>
  <c r="S19" i="19"/>
  <c r="T19" i="19"/>
  <c r="U19" i="19"/>
  <c r="AA19" i="19"/>
  <c r="U17" i="19"/>
  <c r="S17" i="19"/>
  <c r="T17" i="19"/>
  <c r="AA17" i="19"/>
  <c r="U16" i="19"/>
  <c r="T16" i="19"/>
  <c r="AA16" i="19"/>
  <c r="S16" i="19"/>
  <c r="S15" i="19"/>
  <c r="AA15" i="19"/>
  <c r="T15" i="19"/>
  <c r="U15" i="19"/>
  <c r="T14" i="19"/>
  <c r="AA14" i="19"/>
  <c r="S14" i="19"/>
  <c r="U14" i="19"/>
  <c r="P12" i="19"/>
  <c r="R12" i="19" s="1"/>
  <c r="Y12" i="19"/>
  <c r="U10" i="19"/>
  <c r="AA10" i="19"/>
  <c r="S10" i="19"/>
  <c r="T10" i="19"/>
  <c r="T9" i="19"/>
  <c r="S9" i="19"/>
  <c r="AA9" i="19"/>
  <c r="U9" i="19"/>
  <c r="U7" i="19"/>
  <c r="S7" i="19"/>
  <c r="T7" i="19"/>
  <c r="AA7" i="19"/>
  <c r="P6" i="19"/>
  <c r="R6" i="19" s="1"/>
  <c r="Y6" i="19"/>
  <c r="T5" i="19"/>
  <c r="AA5" i="19"/>
  <c r="S5" i="19"/>
  <c r="U5" i="19"/>
  <c r="P4" i="19"/>
  <c r="R4" i="19" s="1"/>
  <c r="Y4" i="19"/>
  <c r="T35" i="18"/>
  <c r="U35" i="18"/>
  <c r="AA35" i="18"/>
  <c r="S35" i="18"/>
  <c r="S34" i="18"/>
  <c r="T34" i="18"/>
  <c r="U34" i="18"/>
  <c r="AA34" i="18"/>
  <c r="T33" i="18"/>
  <c r="AA33" i="18"/>
  <c r="S33" i="18"/>
  <c r="U33" i="18"/>
  <c r="T32" i="18"/>
  <c r="U32" i="18"/>
  <c r="AA32" i="18"/>
  <c r="S32" i="18"/>
  <c r="S31" i="18"/>
  <c r="T31" i="18"/>
  <c r="U31" i="18"/>
  <c r="AA31" i="18"/>
  <c r="S30" i="18"/>
  <c r="T30" i="18"/>
  <c r="U30" i="18"/>
  <c r="AA30" i="18"/>
  <c r="S29" i="18"/>
  <c r="T29" i="18"/>
  <c r="U29" i="18"/>
  <c r="AA29" i="18"/>
  <c r="S28" i="18"/>
  <c r="T28" i="18"/>
  <c r="U28" i="18"/>
  <c r="AA28" i="18"/>
  <c r="S27" i="18"/>
  <c r="S36" i="18" s="1"/>
  <c r="T27" i="18"/>
  <c r="T36" i="18" s="1"/>
  <c r="U27" i="18"/>
  <c r="AA27" i="18"/>
  <c r="AA36" i="18" s="1"/>
  <c r="D45" i="18" s="1"/>
  <c r="S25" i="18"/>
  <c r="T25" i="18"/>
  <c r="U25" i="18"/>
  <c r="AA25" i="18"/>
  <c r="S24" i="18"/>
  <c r="T24" i="18"/>
  <c r="U24" i="18"/>
  <c r="AA24" i="18"/>
  <c r="S23" i="18"/>
  <c r="T23" i="18"/>
  <c r="U23" i="18"/>
  <c r="AA23" i="18"/>
  <c r="S22" i="18"/>
  <c r="S26" i="18" s="1"/>
  <c r="T22" i="18"/>
  <c r="T26" i="18" s="1"/>
  <c r="U22" i="18"/>
  <c r="AA22" i="18"/>
  <c r="AA26" i="18" s="1"/>
  <c r="D44" i="18" s="1"/>
  <c r="S20" i="18"/>
  <c r="T20" i="18"/>
  <c r="U20" i="18"/>
  <c r="AA20" i="18"/>
  <c r="S19" i="18"/>
  <c r="T19" i="18"/>
  <c r="U19" i="18"/>
  <c r="AA19" i="18"/>
  <c r="S18" i="18"/>
  <c r="T18" i="18"/>
  <c r="U18" i="18"/>
  <c r="AA18" i="18"/>
  <c r="S17" i="18"/>
  <c r="T17" i="18"/>
  <c r="U17" i="18"/>
  <c r="AA17" i="18"/>
  <c r="S16" i="18"/>
  <c r="T16" i="18"/>
  <c r="U16" i="18"/>
  <c r="AA16" i="18"/>
  <c r="S15" i="18"/>
  <c r="T15" i="18"/>
  <c r="U15" i="18"/>
  <c r="AA15" i="18"/>
  <c r="S14" i="18"/>
  <c r="T14" i="18"/>
  <c r="U14" i="18"/>
  <c r="AA14" i="18"/>
  <c r="AA13" i="18"/>
  <c r="S13" i="18"/>
  <c r="U13" i="18"/>
  <c r="T13" i="18"/>
  <c r="U12" i="18"/>
  <c r="AA12" i="18"/>
  <c r="AA21" i="18" s="1"/>
  <c r="D43" i="18" s="1"/>
  <c r="S12" i="18"/>
  <c r="S21" i="18" s="1"/>
  <c r="T12" i="18"/>
  <c r="T21" i="18" s="1"/>
  <c r="U10" i="18"/>
  <c r="T10" i="18"/>
  <c r="AA10" i="18"/>
  <c r="S10" i="18"/>
  <c r="U9" i="18"/>
  <c r="S9" i="18"/>
  <c r="T9" i="18"/>
  <c r="AA9" i="18"/>
  <c r="AA8" i="18"/>
  <c r="S8" i="18"/>
  <c r="U8" i="18"/>
  <c r="T8" i="18"/>
  <c r="S7" i="18"/>
  <c r="T7" i="18"/>
  <c r="U7" i="18"/>
  <c r="AA7" i="18"/>
  <c r="S6" i="18"/>
  <c r="T6" i="18"/>
  <c r="U6" i="18"/>
  <c r="AA6" i="18"/>
  <c r="S5" i="18"/>
  <c r="T5" i="18"/>
  <c r="U5" i="18"/>
  <c r="AA5" i="18"/>
  <c r="S4" i="18"/>
  <c r="S11" i="18" s="1"/>
  <c r="T4" i="18"/>
  <c r="T11" i="18" s="1"/>
  <c r="U4" i="18"/>
  <c r="AA4" i="18"/>
  <c r="AA11" i="18" s="1"/>
  <c r="Y21" i="18"/>
  <c r="Y37" i="18" s="1"/>
  <c r="S32" i="17"/>
  <c r="T32" i="17"/>
  <c r="U32" i="17"/>
  <c r="AA32" i="17"/>
  <c r="Y26" i="17"/>
  <c r="S25" i="17"/>
  <c r="T25" i="17"/>
  <c r="AA25" i="17"/>
  <c r="U25" i="17"/>
  <c r="C44" i="17"/>
  <c r="C46" i="17" s="1"/>
  <c r="W37" i="17"/>
  <c r="Y21" i="17"/>
  <c r="S13" i="17"/>
  <c r="T13" i="17"/>
  <c r="U13" i="17"/>
  <c r="AA13" i="17"/>
  <c r="Z37" i="17"/>
  <c r="P42" i="17"/>
  <c r="P46" i="17" s="1"/>
  <c r="Y11" i="17"/>
  <c r="X37" i="17"/>
  <c r="O42" i="17"/>
  <c r="O46" i="17" s="1"/>
  <c r="T10" i="17"/>
  <c r="AA10" i="17"/>
  <c r="S10" i="17"/>
  <c r="U10" i="17"/>
  <c r="S8" i="17"/>
  <c r="U8" i="17"/>
  <c r="AA8" i="17"/>
  <c r="T8" i="17"/>
  <c r="P35" i="17"/>
  <c r="R35" i="17" s="1"/>
  <c r="Y35" i="17"/>
  <c r="T34" i="17"/>
  <c r="AA34" i="17"/>
  <c r="S34" i="17"/>
  <c r="U34" i="17"/>
  <c r="T33" i="17"/>
  <c r="S33" i="17"/>
  <c r="U33" i="17"/>
  <c r="AA33" i="17"/>
  <c r="S31" i="17"/>
  <c r="T31" i="17"/>
  <c r="U31" i="17"/>
  <c r="AA31" i="17"/>
  <c r="S30" i="17"/>
  <c r="T30" i="17"/>
  <c r="U30" i="17"/>
  <c r="AA30" i="17"/>
  <c r="S29" i="17"/>
  <c r="T29" i="17"/>
  <c r="U29" i="17"/>
  <c r="AA29" i="17"/>
  <c r="S28" i="17"/>
  <c r="T28" i="17"/>
  <c r="U28" i="17"/>
  <c r="AA28" i="17"/>
  <c r="P27" i="17"/>
  <c r="R27" i="17" s="1"/>
  <c r="Y27" i="17"/>
  <c r="S24" i="17"/>
  <c r="T24" i="17"/>
  <c r="U24" i="17"/>
  <c r="AA24" i="17"/>
  <c r="S23" i="17"/>
  <c r="T23" i="17"/>
  <c r="U23" i="17"/>
  <c r="AA23" i="17"/>
  <c r="S22" i="17"/>
  <c r="T22" i="17"/>
  <c r="U22" i="17"/>
  <c r="AA22" i="17"/>
  <c r="AA26" i="17" s="1"/>
  <c r="D44" i="17" s="1"/>
  <c r="F44" i="17" s="1"/>
  <c r="S20" i="17"/>
  <c r="T20" i="17"/>
  <c r="U20" i="17"/>
  <c r="AA20" i="17"/>
  <c r="S19" i="17"/>
  <c r="T19" i="17"/>
  <c r="U19" i="17"/>
  <c r="AA19" i="17"/>
  <c r="S18" i="17"/>
  <c r="T18" i="17"/>
  <c r="U18" i="17"/>
  <c r="AA18" i="17"/>
  <c r="S17" i="17"/>
  <c r="U17" i="17"/>
  <c r="AA17" i="17"/>
  <c r="T17" i="17"/>
  <c r="S16" i="17"/>
  <c r="T16" i="17"/>
  <c r="U16" i="17"/>
  <c r="AA16" i="17"/>
  <c r="T15" i="17"/>
  <c r="U15" i="17"/>
  <c r="AA15" i="17"/>
  <c r="S15" i="17"/>
  <c r="U14" i="17"/>
  <c r="T14" i="17"/>
  <c r="S14" i="17"/>
  <c r="AA14" i="17"/>
  <c r="T12" i="17"/>
  <c r="AA12" i="17"/>
  <c r="S12" i="17"/>
  <c r="U12" i="17"/>
  <c r="S9" i="17"/>
  <c r="U9" i="17"/>
  <c r="AA9" i="17"/>
  <c r="T9" i="17"/>
  <c r="T7" i="17"/>
  <c r="S7" i="17"/>
  <c r="U7" i="17"/>
  <c r="AA7" i="17"/>
  <c r="T6" i="17"/>
  <c r="U6" i="17"/>
  <c r="S6" i="17"/>
  <c r="AA6" i="17"/>
  <c r="U5" i="17"/>
  <c r="T5" i="17"/>
  <c r="AA5" i="17"/>
  <c r="AA4" i="17"/>
  <c r="S4" i="17"/>
  <c r="T4" i="17"/>
  <c r="U4" i="17"/>
  <c r="P45" i="16"/>
  <c r="P46" i="16" s="1"/>
  <c r="Z37" i="16"/>
  <c r="C43" i="16"/>
  <c r="C46" i="16" s="1"/>
  <c r="W37" i="16"/>
  <c r="T8" i="16"/>
  <c r="S8" i="16"/>
  <c r="U8" i="16"/>
  <c r="AA8" i="16"/>
  <c r="Y26" i="16"/>
  <c r="S20" i="16"/>
  <c r="T20" i="16"/>
  <c r="U20" i="16"/>
  <c r="AA20" i="16"/>
  <c r="Y21" i="16"/>
  <c r="Y35" i="16"/>
  <c r="P35" i="16"/>
  <c r="R35" i="16" s="1"/>
  <c r="T34" i="16"/>
  <c r="S34" i="16"/>
  <c r="U34" i="16"/>
  <c r="AA34" i="16"/>
  <c r="S32" i="16"/>
  <c r="T32" i="16"/>
  <c r="U32" i="16"/>
  <c r="AA32" i="16"/>
  <c r="S31" i="16"/>
  <c r="T31" i="16"/>
  <c r="U31" i="16"/>
  <c r="AA31" i="16"/>
  <c r="S30" i="16"/>
  <c r="T30" i="16"/>
  <c r="U30" i="16"/>
  <c r="AA30" i="16"/>
  <c r="S29" i="16"/>
  <c r="T29" i="16"/>
  <c r="U29" i="16"/>
  <c r="AA29" i="16"/>
  <c r="S28" i="16"/>
  <c r="T28" i="16"/>
  <c r="U28" i="16"/>
  <c r="AA28" i="16"/>
  <c r="P27" i="16"/>
  <c r="R27" i="16" s="1"/>
  <c r="Y27" i="16"/>
  <c r="Y36" i="16" s="1"/>
  <c r="T25" i="16"/>
  <c r="U25" i="16"/>
  <c r="S25" i="16"/>
  <c r="AA25" i="16"/>
  <c r="AA24" i="16"/>
  <c r="U24" i="16"/>
  <c r="S24" i="16"/>
  <c r="T24" i="16"/>
  <c r="U23" i="16"/>
  <c r="S23" i="16"/>
  <c r="T23" i="16"/>
  <c r="AA23" i="16"/>
  <c r="AA22" i="16"/>
  <c r="U22" i="16"/>
  <c r="S22" i="16"/>
  <c r="T22" i="16"/>
  <c r="S19" i="16"/>
  <c r="T19" i="16"/>
  <c r="U19" i="16"/>
  <c r="AA19" i="16"/>
  <c r="S18" i="16"/>
  <c r="T18" i="16"/>
  <c r="U18" i="16"/>
  <c r="AA18" i="16"/>
  <c r="S17" i="16"/>
  <c r="T17" i="16"/>
  <c r="U17" i="16"/>
  <c r="AA17" i="16"/>
  <c r="S16" i="16"/>
  <c r="T16" i="16"/>
  <c r="U16" i="16"/>
  <c r="AA16" i="16"/>
  <c r="S15" i="16"/>
  <c r="T15" i="16"/>
  <c r="U15" i="16"/>
  <c r="AA15" i="16"/>
  <c r="S14" i="16"/>
  <c r="T14" i="16"/>
  <c r="U14" i="16"/>
  <c r="AA14" i="16"/>
  <c r="S13" i="16"/>
  <c r="T13" i="16"/>
  <c r="U13" i="16"/>
  <c r="AA13" i="16"/>
  <c r="S12" i="16"/>
  <c r="T12" i="16"/>
  <c r="U12" i="16"/>
  <c r="AA12" i="16"/>
  <c r="S10" i="16"/>
  <c r="T10" i="16"/>
  <c r="U10" i="16"/>
  <c r="AA10" i="16"/>
  <c r="U9" i="16"/>
  <c r="S9" i="16"/>
  <c r="AA9" i="16"/>
  <c r="T9" i="16"/>
  <c r="S7" i="16"/>
  <c r="T7" i="16"/>
  <c r="U7" i="16"/>
  <c r="AA7" i="16"/>
  <c r="S6" i="16"/>
  <c r="T6" i="16"/>
  <c r="U6" i="16"/>
  <c r="AA6" i="16"/>
  <c r="U5" i="16"/>
  <c r="T5" i="16"/>
  <c r="S5" i="16"/>
  <c r="AA5" i="16"/>
  <c r="U4" i="16"/>
  <c r="AA4" i="16"/>
  <c r="T4" i="16"/>
  <c r="S4" i="16"/>
  <c r="Y11" i="16"/>
  <c r="O45" i="16"/>
  <c r="O46" i="16" s="1"/>
  <c r="X37" i="16"/>
  <c r="P29" i="14"/>
  <c r="R29" i="14" s="1"/>
  <c r="Y29" i="14"/>
  <c r="U35" i="15"/>
  <c r="S35" i="15"/>
  <c r="AA35" i="15"/>
  <c r="T35" i="15"/>
  <c r="U34" i="15"/>
  <c r="AA34" i="15"/>
  <c r="S34" i="15"/>
  <c r="T34" i="15"/>
  <c r="AA33" i="15"/>
  <c r="S33" i="15"/>
  <c r="U33" i="15"/>
  <c r="T33" i="15"/>
  <c r="U32" i="15"/>
  <c r="AA32" i="15"/>
  <c r="S32" i="15"/>
  <c r="T32" i="15"/>
  <c r="S31" i="15"/>
  <c r="T31" i="15"/>
  <c r="AA31" i="15"/>
  <c r="U31" i="15"/>
  <c r="S30" i="15"/>
  <c r="T30" i="15"/>
  <c r="U30" i="15"/>
  <c r="AA30" i="15"/>
  <c r="T29" i="15"/>
  <c r="AA29" i="15"/>
  <c r="U29" i="15"/>
  <c r="S29" i="15"/>
  <c r="AA28" i="15"/>
  <c r="T28" i="15"/>
  <c r="U28" i="15"/>
  <c r="S28" i="15"/>
  <c r="U27" i="15"/>
  <c r="S27" i="15"/>
  <c r="S36" i="15" s="1"/>
  <c r="T27" i="15"/>
  <c r="T36" i="15" s="1"/>
  <c r="T37" i="15" s="1"/>
  <c r="AA27" i="15"/>
  <c r="AA36" i="15" s="1"/>
  <c r="D45" i="15" s="1"/>
  <c r="U25" i="15"/>
  <c r="T25" i="15"/>
  <c r="S25" i="15"/>
  <c r="AA25" i="15"/>
  <c r="U24" i="15"/>
  <c r="AA24" i="15"/>
  <c r="S24" i="15"/>
  <c r="T24" i="15"/>
  <c r="S23" i="15"/>
  <c r="U23" i="15"/>
  <c r="AA23" i="15"/>
  <c r="T23" i="15"/>
  <c r="T22" i="15"/>
  <c r="T26" i="15" s="1"/>
  <c r="U22" i="15"/>
  <c r="AA22" i="15"/>
  <c r="S22" i="15"/>
  <c r="S26" i="15" s="1"/>
  <c r="T20" i="15"/>
  <c r="S20" i="15"/>
  <c r="U20" i="15"/>
  <c r="AA20" i="15"/>
  <c r="S19" i="15"/>
  <c r="U19" i="15"/>
  <c r="AA19" i="15"/>
  <c r="T19" i="15"/>
  <c r="U18" i="15"/>
  <c r="T18" i="15"/>
  <c r="S18" i="15"/>
  <c r="AA18" i="15"/>
  <c r="AA17" i="15"/>
  <c r="T17" i="15"/>
  <c r="S17" i="15"/>
  <c r="U17" i="15"/>
  <c r="T16" i="15"/>
  <c r="S16" i="15"/>
  <c r="U16" i="15"/>
  <c r="AA16" i="15"/>
  <c r="T15" i="15"/>
  <c r="AA15" i="15"/>
  <c r="S15" i="15"/>
  <c r="U15" i="15"/>
  <c r="S14" i="15"/>
  <c r="U14" i="15"/>
  <c r="T14" i="15"/>
  <c r="AA14" i="15"/>
  <c r="S13" i="15"/>
  <c r="U13" i="15"/>
  <c r="T13" i="15"/>
  <c r="AA13" i="15"/>
  <c r="S12" i="15"/>
  <c r="S21" i="15" s="1"/>
  <c r="T12" i="15"/>
  <c r="T21" i="15" s="1"/>
  <c r="U12" i="15"/>
  <c r="AA12" i="15"/>
  <c r="AA21" i="15" s="1"/>
  <c r="D43" i="15" s="1"/>
  <c r="U10" i="15"/>
  <c r="AA10" i="15"/>
  <c r="T10" i="15"/>
  <c r="S10" i="15"/>
  <c r="U9" i="15"/>
  <c r="AA9" i="15"/>
  <c r="S9" i="15"/>
  <c r="T9" i="15"/>
  <c r="T8" i="15"/>
  <c r="S8" i="15"/>
  <c r="U8" i="15"/>
  <c r="AA8" i="15"/>
  <c r="U7" i="15"/>
  <c r="T7" i="15"/>
  <c r="AA7" i="15"/>
  <c r="S7" i="15"/>
  <c r="AA6" i="15"/>
  <c r="T6" i="15"/>
  <c r="S6" i="15"/>
  <c r="U6" i="15"/>
  <c r="U5" i="15"/>
  <c r="AA5" i="15"/>
  <c r="S5" i="15"/>
  <c r="T5" i="15"/>
  <c r="T4" i="15"/>
  <c r="T11" i="15" s="1"/>
  <c r="AA4" i="15"/>
  <c r="AA11" i="15" s="1"/>
  <c r="S4" i="15"/>
  <c r="S11" i="15" s="1"/>
  <c r="U4" i="15"/>
  <c r="S30" i="14"/>
  <c r="T30" i="14"/>
  <c r="U30" i="14"/>
  <c r="AA30" i="14"/>
  <c r="P44" i="14"/>
  <c r="P46" i="14" s="1"/>
  <c r="Z37" i="14"/>
  <c r="S25" i="14"/>
  <c r="T25" i="14"/>
  <c r="U25" i="14"/>
  <c r="AA25" i="14"/>
  <c r="X37" i="14"/>
  <c r="O42" i="14"/>
  <c r="O46" i="14" s="1"/>
  <c r="W37" i="14"/>
  <c r="C42" i="14"/>
  <c r="C46" i="14" s="1"/>
  <c r="P35" i="14"/>
  <c r="R35" i="14" s="1"/>
  <c r="Y35" i="14"/>
  <c r="S34" i="14"/>
  <c r="T34" i="14"/>
  <c r="U34" i="14"/>
  <c r="AA34" i="14"/>
  <c r="S33" i="14"/>
  <c r="T33" i="14"/>
  <c r="U33" i="14"/>
  <c r="AA33" i="14"/>
  <c r="S32" i="14"/>
  <c r="T32" i="14"/>
  <c r="U32" i="14"/>
  <c r="AA32" i="14"/>
  <c r="S31" i="14"/>
  <c r="T31" i="14"/>
  <c r="U31" i="14"/>
  <c r="AA31" i="14"/>
  <c r="S28" i="14"/>
  <c r="T28" i="14"/>
  <c r="U28" i="14"/>
  <c r="AA28" i="14"/>
  <c r="P27" i="14"/>
  <c r="R27" i="14" s="1"/>
  <c r="Y27" i="14"/>
  <c r="S24" i="14"/>
  <c r="T24" i="14"/>
  <c r="U24" i="14"/>
  <c r="AA24" i="14"/>
  <c r="S23" i="14"/>
  <c r="T23" i="14"/>
  <c r="U23" i="14"/>
  <c r="AA23" i="14"/>
  <c r="P22" i="14"/>
  <c r="R22" i="14" s="1"/>
  <c r="Y22" i="14"/>
  <c r="Y26" i="14" s="1"/>
  <c r="P20" i="14"/>
  <c r="R20" i="14" s="1"/>
  <c r="Y20" i="14"/>
  <c r="S19" i="14"/>
  <c r="T19" i="14"/>
  <c r="U19" i="14"/>
  <c r="AA19" i="14"/>
  <c r="S18" i="14"/>
  <c r="T18" i="14"/>
  <c r="U18" i="14"/>
  <c r="AA18" i="14"/>
  <c r="U17" i="14"/>
  <c r="T17" i="14"/>
  <c r="AA17" i="14"/>
  <c r="S17" i="14"/>
  <c r="T16" i="14"/>
  <c r="AA16" i="14"/>
  <c r="S16" i="14"/>
  <c r="U16" i="14"/>
  <c r="S15" i="14"/>
  <c r="T15" i="14"/>
  <c r="U15" i="14"/>
  <c r="AA15" i="14"/>
  <c r="S14" i="14"/>
  <c r="T14" i="14"/>
  <c r="U14" i="14"/>
  <c r="AA14" i="14"/>
  <c r="S13" i="14"/>
  <c r="T13" i="14"/>
  <c r="U13" i="14"/>
  <c r="AA13" i="14"/>
  <c r="P12" i="14"/>
  <c r="R12" i="14" s="1"/>
  <c r="Y12" i="14"/>
  <c r="U10" i="14"/>
  <c r="S10" i="14"/>
  <c r="AA10" i="14"/>
  <c r="T10" i="14"/>
  <c r="P9" i="14"/>
  <c r="R9" i="14" s="1"/>
  <c r="Y9" i="14"/>
  <c r="T8" i="14"/>
  <c r="U8" i="14"/>
  <c r="S8" i="14"/>
  <c r="AA8" i="14"/>
  <c r="U7" i="14"/>
  <c r="AA7" i="14"/>
  <c r="S7" i="14"/>
  <c r="T7" i="14"/>
  <c r="P6" i="14"/>
  <c r="R6" i="14" s="1"/>
  <c r="Y6" i="14"/>
  <c r="Y11" i="14" s="1"/>
  <c r="S5" i="14"/>
  <c r="T5" i="14"/>
  <c r="U5" i="14"/>
  <c r="AA5" i="14"/>
  <c r="S4" i="14"/>
  <c r="T4" i="14"/>
  <c r="U4" i="14"/>
  <c r="AA4" i="14"/>
  <c r="Y33" i="12"/>
  <c r="P33" i="12"/>
  <c r="R33" i="12" s="1"/>
  <c r="X36" i="12"/>
  <c r="O45" i="12" s="1"/>
  <c r="Y29" i="12"/>
  <c r="P29" i="12"/>
  <c r="R29" i="12" s="1"/>
  <c r="P27" i="12"/>
  <c r="R27" i="12" s="1"/>
  <c r="Y27" i="12"/>
  <c r="Y22" i="12"/>
  <c r="P22" i="12"/>
  <c r="R22" i="12" s="1"/>
  <c r="P20" i="12"/>
  <c r="R20" i="12" s="1"/>
  <c r="Y20" i="12"/>
  <c r="P18" i="12"/>
  <c r="R18" i="12" s="1"/>
  <c r="Y18" i="12"/>
  <c r="P16" i="12"/>
  <c r="R16" i="12" s="1"/>
  <c r="Y16" i="12"/>
  <c r="X21" i="12"/>
  <c r="O43" i="12" s="1"/>
  <c r="Y14" i="12"/>
  <c r="P14" i="12"/>
  <c r="R14" i="12" s="1"/>
  <c r="Y9" i="12"/>
  <c r="P9" i="12"/>
  <c r="R9" i="12" s="1"/>
  <c r="S34" i="13"/>
  <c r="T34" i="13"/>
  <c r="U34" i="13"/>
  <c r="AA34" i="13"/>
  <c r="S33" i="13"/>
  <c r="T33" i="13"/>
  <c r="U33" i="13"/>
  <c r="AA33" i="13"/>
  <c r="S32" i="13"/>
  <c r="T32" i="13"/>
  <c r="U32" i="13"/>
  <c r="AA32" i="13"/>
  <c r="S31" i="13"/>
  <c r="T31" i="13"/>
  <c r="U31" i="13"/>
  <c r="AA31" i="13"/>
  <c r="S30" i="13"/>
  <c r="T30" i="13"/>
  <c r="U30" i="13"/>
  <c r="AA30" i="13"/>
  <c r="S29" i="13"/>
  <c r="T29" i="13"/>
  <c r="U29" i="13"/>
  <c r="AA29" i="13"/>
  <c r="S27" i="13"/>
  <c r="S36" i="13" s="1"/>
  <c r="T27" i="13"/>
  <c r="T36" i="13" s="1"/>
  <c r="U27" i="13"/>
  <c r="AA27" i="13"/>
  <c r="AA36" i="13" s="1"/>
  <c r="D45" i="13" s="1"/>
  <c r="T25" i="13"/>
  <c r="U25" i="13"/>
  <c r="AA25" i="13"/>
  <c r="S25" i="13"/>
  <c r="S24" i="13"/>
  <c r="U24" i="13"/>
  <c r="T24" i="13"/>
  <c r="AA24" i="13"/>
  <c r="S23" i="13"/>
  <c r="U23" i="13"/>
  <c r="AA23" i="13"/>
  <c r="T23" i="13"/>
  <c r="U22" i="13"/>
  <c r="AA22" i="13"/>
  <c r="AA26" i="13" s="1"/>
  <c r="D44" i="13" s="1"/>
  <c r="S22" i="13"/>
  <c r="S26" i="13" s="1"/>
  <c r="T22" i="13"/>
  <c r="T26" i="13" s="1"/>
  <c r="U20" i="13"/>
  <c r="S20" i="13"/>
  <c r="T20" i="13"/>
  <c r="AA20" i="13"/>
  <c r="S19" i="13"/>
  <c r="U19" i="13"/>
  <c r="AA19" i="13"/>
  <c r="T19" i="13"/>
  <c r="U18" i="13"/>
  <c r="S18" i="13"/>
  <c r="T18" i="13"/>
  <c r="AA18" i="13"/>
  <c r="T17" i="13"/>
  <c r="S17" i="13"/>
  <c r="U17" i="13"/>
  <c r="AA17" i="13"/>
  <c r="S16" i="13"/>
  <c r="U16" i="13"/>
  <c r="T16" i="13"/>
  <c r="AA16" i="13"/>
  <c r="T15" i="13"/>
  <c r="S15" i="13"/>
  <c r="U15" i="13"/>
  <c r="AA15" i="13"/>
  <c r="AA14" i="13"/>
  <c r="U14" i="13"/>
  <c r="T14" i="13"/>
  <c r="S14" i="13"/>
  <c r="U13" i="13"/>
  <c r="AA13" i="13"/>
  <c r="AA21" i="13" s="1"/>
  <c r="D43" i="13" s="1"/>
  <c r="S13" i="13"/>
  <c r="S21" i="13" s="1"/>
  <c r="T13" i="13"/>
  <c r="T21" i="13" s="1"/>
  <c r="E43" i="13"/>
  <c r="F43" i="13"/>
  <c r="S10" i="13"/>
  <c r="U10" i="13"/>
  <c r="T10" i="13"/>
  <c r="AA10" i="13"/>
  <c r="AA9" i="13"/>
  <c r="S9" i="13"/>
  <c r="T9" i="13"/>
  <c r="U9" i="13"/>
  <c r="AA8" i="13"/>
  <c r="T8" i="13"/>
  <c r="S8" i="13"/>
  <c r="U8" i="13"/>
  <c r="T7" i="13"/>
  <c r="U7" i="13"/>
  <c r="AA7" i="13"/>
  <c r="S7" i="13"/>
  <c r="S6" i="13"/>
  <c r="T6" i="13"/>
  <c r="AA6" i="13"/>
  <c r="U6" i="13"/>
  <c r="S5" i="13"/>
  <c r="U5" i="13"/>
  <c r="T5" i="13"/>
  <c r="AA5" i="13"/>
  <c r="AA4" i="13"/>
  <c r="AA11" i="13" s="1"/>
  <c r="U4" i="13"/>
  <c r="T4" i="13"/>
  <c r="T11" i="13" s="1"/>
  <c r="S4" i="13"/>
  <c r="S33" i="12"/>
  <c r="T33" i="12"/>
  <c r="AA33" i="12"/>
  <c r="U33" i="12"/>
  <c r="S10" i="12"/>
  <c r="T10" i="12"/>
  <c r="AA10" i="12"/>
  <c r="U10" i="12"/>
  <c r="X11" i="12"/>
  <c r="S7" i="12"/>
  <c r="T7" i="12"/>
  <c r="U7" i="12"/>
  <c r="AA7" i="12"/>
  <c r="S30" i="12"/>
  <c r="T30" i="12"/>
  <c r="U30" i="12"/>
  <c r="AA30" i="12"/>
  <c r="Y26" i="12"/>
  <c r="S23" i="12"/>
  <c r="T23" i="12"/>
  <c r="U23" i="12"/>
  <c r="AA23" i="12"/>
  <c r="P43" i="12"/>
  <c r="P46" i="12" s="1"/>
  <c r="Z37" i="12"/>
  <c r="W37" i="12"/>
  <c r="C42" i="12"/>
  <c r="C46" i="12" s="1"/>
  <c r="P35" i="12"/>
  <c r="R35" i="12" s="1"/>
  <c r="Y35" i="12"/>
  <c r="S34" i="12"/>
  <c r="T34" i="12"/>
  <c r="U34" i="12"/>
  <c r="AA34" i="12"/>
  <c r="S32" i="12"/>
  <c r="T32" i="12"/>
  <c r="U32" i="12"/>
  <c r="AA32" i="12"/>
  <c r="S31" i="12"/>
  <c r="T31" i="12"/>
  <c r="U31" i="12"/>
  <c r="AA31" i="12"/>
  <c r="S28" i="12"/>
  <c r="T28" i="12"/>
  <c r="U28" i="12"/>
  <c r="AA28" i="12"/>
  <c r="S25" i="12"/>
  <c r="T25" i="12"/>
  <c r="U25" i="12"/>
  <c r="AA25" i="12"/>
  <c r="S24" i="12"/>
  <c r="T24" i="12"/>
  <c r="U24" i="12"/>
  <c r="AA24" i="12"/>
  <c r="S19" i="12"/>
  <c r="T19" i="12"/>
  <c r="U19" i="12"/>
  <c r="AA19" i="12"/>
  <c r="S17" i="12"/>
  <c r="T17" i="12"/>
  <c r="U17" i="12"/>
  <c r="AA17" i="12"/>
  <c r="S15" i="12"/>
  <c r="T15" i="12"/>
  <c r="U15" i="12"/>
  <c r="AA15" i="12"/>
  <c r="S13" i="12"/>
  <c r="T13" i="12"/>
  <c r="U13" i="12"/>
  <c r="AA13" i="12"/>
  <c r="P12" i="12"/>
  <c r="R12" i="12" s="1"/>
  <c r="Y12" i="12"/>
  <c r="S8" i="12"/>
  <c r="T8" i="12"/>
  <c r="U8" i="12"/>
  <c r="AA8" i="12"/>
  <c r="P6" i="12"/>
  <c r="R6" i="12" s="1"/>
  <c r="Y6" i="12"/>
  <c r="S5" i="12"/>
  <c r="T5" i="12"/>
  <c r="U5" i="12"/>
  <c r="AA5" i="12"/>
  <c r="P4" i="12"/>
  <c r="R4" i="12" s="1"/>
  <c r="Y4" i="12"/>
  <c r="Y35" i="11"/>
  <c r="P35" i="11"/>
  <c r="R35" i="11" s="1"/>
  <c r="S34" i="11"/>
  <c r="T34" i="11"/>
  <c r="U34" i="11"/>
  <c r="AA34" i="11"/>
  <c r="S33" i="11"/>
  <c r="T33" i="11"/>
  <c r="U33" i="11"/>
  <c r="AA33" i="11"/>
  <c r="S32" i="11"/>
  <c r="T32" i="11"/>
  <c r="U32" i="11"/>
  <c r="AA32" i="11"/>
  <c r="S31" i="11"/>
  <c r="T31" i="11"/>
  <c r="U31" i="11"/>
  <c r="AA31" i="11"/>
  <c r="S30" i="11"/>
  <c r="T30" i="11"/>
  <c r="U30" i="11"/>
  <c r="AA30" i="11"/>
  <c r="S29" i="11"/>
  <c r="T29" i="11"/>
  <c r="U29" i="11"/>
  <c r="AA29" i="11"/>
  <c r="S28" i="11"/>
  <c r="T28" i="11"/>
  <c r="U28" i="11"/>
  <c r="AA28" i="11"/>
  <c r="P27" i="11"/>
  <c r="R27" i="11" s="1"/>
  <c r="Y27" i="11"/>
  <c r="Y36" i="11" s="1"/>
  <c r="U25" i="11"/>
  <c r="S25" i="11"/>
  <c r="T25" i="11"/>
  <c r="AA25" i="11"/>
  <c r="P24" i="11"/>
  <c r="R24" i="11" s="1"/>
  <c r="Y24" i="11"/>
  <c r="T23" i="11"/>
  <c r="S23" i="11"/>
  <c r="U23" i="11"/>
  <c r="AA23" i="11"/>
  <c r="P22" i="11"/>
  <c r="R22" i="11" s="1"/>
  <c r="Y22" i="11"/>
  <c r="Y26" i="11" s="1"/>
  <c r="P20" i="11"/>
  <c r="R20" i="11" s="1"/>
  <c r="Y20" i="11"/>
  <c r="S19" i="11"/>
  <c r="T19" i="11"/>
  <c r="U19" i="11"/>
  <c r="AA19" i="11"/>
  <c r="S18" i="11"/>
  <c r="T18" i="11"/>
  <c r="U18" i="11"/>
  <c r="AA18" i="11"/>
  <c r="S17" i="11"/>
  <c r="T17" i="11"/>
  <c r="U17" i="11"/>
  <c r="AA17" i="11"/>
  <c r="S16" i="11"/>
  <c r="T16" i="11"/>
  <c r="U16" i="11"/>
  <c r="AA16" i="11"/>
  <c r="S15" i="11"/>
  <c r="T15" i="11"/>
  <c r="U15" i="11"/>
  <c r="AA15" i="11"/>
  <c r="P14" i="11"/>
  <c r="R14" i="11" s="1"/>
  <c r="Y14" i="11"/>
  <c r="S13" i="11"/>
  <c r="T13" i="11"/>
  <c r="U13" i="11"/>
  <c r="AA13" i="11"/>
  <c r="P12" i="11"/>
  <c r="R12" i="11" s="1"/>
  <c r="Y12" i="11"/>
  <c r="P9" i="11"/>
  <c r="R9" i="11" s="1"/>
  <c r="Y9" i="11"/>
  <c r="S8" i="11"/>
  <c r="T8" i="11"/>
  <c r="U8" i="11"/>
  <c r="AA8" i="11"/>
  <c r="S7" i="11"/>
  <c r="T7" i="11"/>
  <c r="U7" i="11"/>
  <c r="AA7" i="11"/>
  <c r="P6" i="11"/>
  <c r="R6" i="11" s="1"/>
  <c r="Y6" i="11"/>
  <c r="T5" i="11"/>
  <c r="S5" i="11"/>
  <c r="U5" i="11"/>
  <c r="AA5" i="11"/>
  <c r="Y4" i="11"/>
  <c r="Y11" i="11" s="1"/>
  <c r="P4" i="11"/>
  <c r="R4" i="11" s="1"/>
  <c r="X11" i="11"/>
  <c r="X36" i="10"/>
  <c r="O45" i="10" s="1"/>
  <c r="X26" i="10"/>
  <c r="O44" i="10" s="1"/>
  <c r="Y24" i="10"/>
  <c r="P24" i="10"/>
  <c r="R24" i="10" s="1"/>
  <c r="P16" i="10"/>
  <c r="R16" i="10" s="1"/>
  <c r="Y16" i="10"/>
  <c r="X21" i="10"/>
  <c r="O43" i="10" s="1"/>
  <c r="P14" i="10"/>
  <c r="R14" i="10" s="1"/>
  <c r="Y14" i="10"/>
  <c r="X11" i="10"/>
  <c r="P9" i="10"/>
  <c r="R9" i="10" s="1"/>
  <c r="Y9" i="10"/>
  <c r="C42" i="10"/>
  <c r="C46" i="10" s="1"/>
  <c r="W37" i="10"/>
  <c r="P43" i="10"/>
  <c r="P46" i="10" s="1"/>
  <c r="Z37" i="10"/>
  <c r="S8" i="10"/>
  <c r="T8" i="10"/>
  <c r="U8" i="10"/>
  <c r="AA8" i="10"/>
  <c r="P35" i="10"/>
  <c r="R35" i="10" s="1"/>
  <c r="Y35" i="10"/>
  <c r="S34" i="10"/>
  <c r="T34" i="10"/>
  <c r="U34" i="10"/>
  <c r="AA34" i="10"/>
  <c r="S32" i="10"/>
  <c r="T32" i="10"/>
  <c r="U32" i="10"/>
  <c r="AA32" i="10"/>
  <c r="S31" i="10"/>
  <c r="T31" i="10"/>
  <c r="U31" i="10"/>
  <c r="AA31" i="10"/>
  <c r="S30" i="10"/>
  <c r="T30" i="10"/>
  <c r="U30" i="10"/>
  <c r="AA30" i="10"/>
  <c r="S29" i="10"/>
  <c r="T29" i="10"/>
  <c r="U29" i="10"/>
  <c r="AA29" i="10"/>
  <c r="S28" i="10"/>
  <c r="T28" i="10"/>
  <c r="U28" i="10"/>
  <c r="AA28" i="10"/>
  <c r="P27" i="10"/>
  <c r="R27" i="10" s="1"/>
  <c r="Y27" i="10"/>
  <c r="S25" i="10"/>
  <c r="T25" i="10"/>
  <c r="U25" i="10"/>
  <c r="AA25" i="10"/>
  <c r="S23" i="10"/>
  <c r="T23" i="10"/>
  <c r="U23" i="10"/>
  <c r="AA23" i="10"/>
  <c r="P22" i="10"/>
  <c r="R22" i="10" s="1"/>
  <c r="Y22" i="10"/>
  <c r="P20" i="10"/>
  <c r="R20" i="10" s="1"/>
  <c r="Y20" i="10"/>
  <c r="S19" i="10"/>
  <c r="T19" i="10"/>
  <c r="U19" i="10"/>
  <c r="AA19" i="10"/>
  <c r="S18" i="10"/>
  <c r="T18" i="10"/>
  <c r="U18" i="10"/>
  <c r="AA18" i="10"/>
  <c r="S17" i="10"/>
  <c r="T17" i="10"/>
  <c r="U17" i="10"/>
  <c r="AA17" i="10"/>
  <c r="S15" i="10"/>
  <c r="T15" i="10"/>
  <c r="U15" i="10"/>
  <c r="AA15" i="10"/>
  <c r="T13" i="10"/>
  <c r="U13" i="10"/>
  <c r="AA13" i="10"/>
  <c r="P12" i="10"/>
  <c r="R12" i="10" s="1"/>
  <c r="S12" i="10" s="1"/>
  <c r="Y12" i="10"/>
  <c r="S10" i="10"/>
  <c r="T10" i="10"/>
  <c r="U10" i="10"/>
  <c r="AA10" i="10"/>
  <c r="S7" i="10"/>
  <c r="T7" i="10"/>
  <c r="U7" i="10"/>
  <c r="AA7" i="10"/>
  <c r="P6" i="10"/>
  <c r="R6" i="10" s="1"/>
  <c r="Y6" i="10"/>
  <c r="S5" i="10"/>
  <c r="T5" i="10"/>
  <c r="U5" i="10"/>
  <c r="AA5" i="10"/>
  <c r="P4" i="10"/>
  <c r="R4" i="10" s="1"/>
  <c r="Y4" i="10"/>
  <c r="S13" i="31" l="1"/>
  <c r="AB13" i="31"/>
  <c r="U13" i="31"/>
  <c r="T13" i="31"/>
  <c r="T20" i="31"/>
  <c r="AB20" i="31"/>
  <c r="Y21" i="31"/>
  <c r="W43" i="31" s="1"/>
  <c r="Y36" i="31"/>
  <c r="AA45" i="34"/>
  <c r="AB45" i="34"/>
  <c r="T22" i="34"/>
  <c r="T26" i="34" s="1"/>
  <c r="AB22" i="34"/>
  <c r="AB26" i="34" s="1"/>
  <c r="Z44" i="34" s="1"/>
  <c r="S22" i="34"/>
  <c r="S26" i="34" s="1"/>
  <c r="U22" i="34"/>
  <c r="S20" i="34"/>
  <c r="T20" i="34"/>
  <c r="U20" i="34"/>
  <c r="AB20" i="34"/>
  <c r="S18" i="34"/>
  <c r="T18" i="34"/>
  <c r="U18" i="34"/>
  <c r="AB18" i="34"/>
  <c r="S12" i="34"/>
  <c r="S21" i="34" s="1"/>
  <c r="T12" i="34"/>
  <c r="T21" i="34" s="1"/>
  <c r="U12" i="34"/>
  <c r="AB12" i="34"/>
  <c r="AB21" i="34" s="1"/>
  <c r="Z43" i="34" s="1"/>
  <c r="S6" i="34"/>
  <c r="T6" i="34"/>
  <c r="U6" i="34"/>
  <c r="AB6" i="34"/>
  <c r="S4" i="34"/>
  <c r="S11" i="34" s="1"/>
  <c r="T4" i="34"/>
  <c r="T11" i="34" s="1"/>
  <c r="U4" i="34"/>
  <c r="AB4" i="34"/>
  <c r="AB11" i="34" s="1"/>
  <c r="W42" i="34"/>
  <c r="W46" i="34" s="1"/>
  <c r="Y37" i="34"/>
  <c r="AB27" i="31"/>
  <c r="U27" i="31"/>
  <c r="T27" i="31"/>
  <c r="S27" i="31"/>
  <c r="AB12" i="31"/>
  <c r="AB21" i="31" s="1"/>
  <c r="Z43" i="31" s="1"/>
  <c r="T12" i="31"/>
  <c r="T21" i="31" s="1"/>
  <c r="S12" i="31"/>
  <c r="S21" i="31" s="1"/>
  <c r="U12" i="31"/>
  <c r="T31" i="31"/>
  <c r="U31" i="31"/>
  <c r="S31" i="31"/>
  <c r="AB31" i="31"/>
  <c r="S35" i="33"/>
  <c r="T35" i="33"/>
  <c r="U35" i="33"/>
  <c r="AB35" i="33"/>
  <c r="S33" i="33"/>
  <c r="U33" i="33"/>
  <c r="T33" i="33"/>
  <c r="AB33" i="33"/>
  <c r="T30" i="33"/>
  <c r="U30" i="33"/>
  <c r="AB30" i="33"/>
  <c r="S30" i="33"/>
  <c r="U29" i="33"/>
  <c r="T29" i="33"/>
  <c r="S29" i="33"/>
  <c r="AB29" i="33"/>
  <c r="S27" i="33"/>
  <c r="S36" i="33" s="1"/>
  <c r="U27" i="33"/>
  <c r="T27" i="33"/>
  <c r="T36" i="33" s="1"/>
  <c r="AB27" i="33"/>
  <c r="AB36" i="33" s="1"/>
  <c r="Z45" i="33" s="1"/>
  <c r="U24" i="33"/>
  <c r="S24" i="33"/>
  <c r="AB24" i="33"/>
  <c r="T24" i="33"/>
  <c r="AB22" i="33"/>
  <c r="AB26" i="33" s="1"/>
  <c r="Z44" i="33" s="1"/>
  <c r="S22" i="33"/>
  <c r="S26" i="33" s="1"/>
  <c r="U22" i="33"/>
  <c r="T22" i="33"/>
  <c r="T26" i="33" s="1"/>
  <c r="T20" i="33"/>
  <c r="U20" i="33"/>
  <c r="S20" i="33"/>
  <c r="AB20" i="33"/>
  <c r="T12" i="33"/>
  <c r="AB12" i="33"/>
  <c r="AB21" i="33" s="1"/>
  <c r="Z43" i="33" s="1"/>
  <c r="U12" i="33"/>
  <c r="S12" i="33"/>
  <c r="S21" i="33" s="1"/>
  <c r="T6" i="33"/>
  <c r="S6" i="33"/>
  <c r="U6" i="33"/>
  <c r="AB6" i="33"/>
  <c r="W42" i="33"/>
  <c r="W46" i="33" s="1"/>
  <c r="Y37" i="33"/>
  <c r="T4" i="33"/>
  <c r="T11" i="33" s="1"/>
  <c r="U4" i="33"/>
  <c r="AB4" i="33"/>
  <c r="AB11" i="33" s="1"/>
  <c r="S4" i="33"/>
  <c r="S11" i="33" s="1"/>
  <c r="V45" i="31"/>
  <c r="V46" i="31" s="1"/>
  <c r="X37" i="31"/>
  <c r="T26" i="31"/>
  <c r="S35" i="32"/>
  <c r="T35" i="32"/>
  <c r="U35" i="32"/>
  <c r="AB35" i="32"/>
  <c r="T33" i="32"/>
  <c r="S33" i="32"/>
  <c r="U33" i="32"/>
  <c r="AB33" i="32"/>
  <c r="U31" i="32"/>
  <c r="AB31" i="32"/>
  <c r="S31" i="32"/>
  <c r="T31" i="32"/>
  <c r="T29" i="32"/>
  <c r="AB29" i="32"/>
  <c r="S29" i="32"/>
  <c r="U29" i="32"/>
  <c r="T27" i="32"/>
  <c r="T36" i="32" s="1"/>
  <c r="AB27" i="32"/>
  <c r="AB36" i="32" s="1"/>
  <c r="Z45" i="32" s="1"/>
  <c r="S27" i="32"/>
  <c r="S36" i="32" s="1"/>
  <c r="U27" i="32"/>
  <c r="U24" i="32"/>
  <c r="S24" i="32"/>
  <c r="T24" i="32"/>
  <c r="AB24" i="32"/>
  <c r="S22" i="32"/>
  <c r="S26" i="32" s="1"/>
  <c r="T22" i="32"/>
  <c r="T26" i="32" s="1"/>
  <c r="U22" i="32"/>
  <c r="AB22" i="32"/>
  <c r="AB26" i="32" s="1"/>
  <c r="Z44" i="32" s="1"/>
  <c r="AA43" i="32"/>
  <c r="AB43" i="32"/>
  <c r="Z42" i="32"/>
  <c r="AB37" i="32"/>
  <c r="AB26" i="31"/>
  <c r="Z44" i="31" s="1"/>
  <c r="S26" i="31"/>
  <c r="U9" i="31"/>
  <c r="T9" i="31"/>
  <c r="AB9" i="31"/>
  <c r="S9" i="31"/>
  <c r="U6" i="31"/>
  <c r="AB6" i="31"/>
  <c r="S6" i="31"/>
  <c r="T6" i="31"/>
  <c r="S4" i="31"/>
  <c r="T4" i="31"/>
  <c r="U4" i="31"/>
  <c r="AB4" i="31"/>
  <c r="W42" i="31"/>
  <c r="T27" i="29"/>
  <c r="U27" i="29"/>
  <c r="AB26" i="29"/>
  <c r="Z44" i="29" s="1"/>
  <c r="T35" i="30"/>
  <c r="S35" i="30"/>
  <c r="U35" i="30"/>
  <c r="AB35" i="30"/>
  <c r="S33" i="30"/>
  <c r="U33" i="30"/>
  <c r="T33" i="30"/>
  <c r="AB33" i="30"/>
  <c r="T31" i="30"/>
  <c r="AB31" i="30"/>
  <c r="S31" i="30"/>
  <c r="U31" i="30"/>
  <c r="S29" i="30"/>
  <c r="T29" i="30"/>
  <c r="U29" i="30"/>
  <c r="AB29" i="30"/>
  <c r="S28" i="30"/>
  <c r="T28" i="30"/>
  <c r="U28" i="30"/>
  <c r="AB28" i="30"/>
  <c r="T27" i="30"/>
  <c r="T36" i="30" s="1"/>
  <c r="T37" i="30" s="1"/>
  <c r="U27" i="30"/>
  <c r="AB27" i="30"/>
  <c r="AB36" i="30" s="1"/>
  <c r="Z45" i="30" s="1"/>
  <c r="S27" i="30"/>
  <c r="S36" i="30" s="1"/>
  <c r="S37" i="30" s="1"/>
  <c r="AA44" i="30"/>
  <c r="AB44" i="30"/>
  <c r="AA43" i="30"/>
  <c r="AB43" i="30"/>
  <c r="AB37" i="30"/>
  <c r="Z42" i="30"/>
  <c r="AB21" i="29"/>
  <c r="Z43" i="29" s="1"/>
  <c r="Z45" i="29"/>
  <c r="S36" i="29"/>
  <c r="T36" i="29"/>
  <c r="S21" i="29"/>
  <c r="T21" i="29"/>
  <c r="Y37" i="29"/>
  <c r="W42" i="29"/>
  <c r="W46" i="29" s="1"/>
  <c r="T11" i="29"/>
  <c r="AB11" i="29"/>
  <c r="S11" i="29"/>
  <c r="T36" i="28"/>
  <c r="AA36" i="28"/>
  <c r="Y45" i="28" s="1"/>
  <c r="S36" i="28"/>
  <c r="T22" i="28"/>
  <c r="T26" i="28" s="1"/>
  <c r="AA22" i="28"/>
  <c r="AA26" i="28" s="1"/>
  <c r="Y44" i="28" s="1"/>
  <c r="S22" i="28"/>
  <c r="S26" i="28" s="1"/>
  <c r="U22" i="28"/>
  <c r="AA20" i="28"/>
  <c r="U20" i="28"/>
  <c r="S20" i="28"/>
  <c r="T20" i="28"/>
  <c r="S15" i="28"/>
  <c r="T15" i="28"/>
  <c r="AA15" i="28"/>
  <c r="U15" i="28"/>
  <c r="AA14" i="28"/>
  <c r="T14" i="28"/>
  <c r="S14" i="28"/>
  <c r="U14" i="28"/>
  <c r="AA13" i="28"/>
  <c r="S13" i="28"/>
  <c r="U13" i="28"/>
  <c r="T13" i="28"/>
  <c r="AA12" i="28"/>
  <c r="T12" i="28"/>
  <c r="T21" i="28" s="1"/>
  <c r="U12" i="28"/>
  <c r="S12" i="28"/>
  <c r="S21" i="28" s="1"/>
  <c r="Y37" i="28"/>
  <c r="W42" i="28"/>
  <c r="W46" i="28" s="1"/>
  <c r="T6" i="28"/>
  <c r="T11" i="28" s="1"/>
  <c r="S6" i="28"/>
  <c r="S11" i="28" s="1"/>
  <c r="AA6" i="28"/>
  <c r="AA11" i="28" s="1"/>
  <c r="U6" i="28"/>
  <c r="AA35" i="21"/>
  <c r="U35" i="21"/>
  <c r="S35" i="21"/>
  <c r="T35" i="21"/>
  <c r="S28" i="21"/>
  <c r="U28" i="21"/>
  <c r="T28" i="21"/>
  <c r="AA28" i="21"/>
  <c r="AA15" i="21"/>
  <c r="T15" i="21"/>
  <c r="U15" i="21"/>
  <c r="S15" i="21"/>
  <c r="S13" i="21"/>
  <c r="U13" i="21"/>
  <c r="T13" i="21"/>
  <c r="AA13" i="21"/>
  <c r="AA16" i="21"/>
  <c r="T16" i="21"/>
  <c r="U16" i="21"/>
  <c r="S16" i="21"/>
  <c r="Z45" i="27"/>
  <c r="AA45" i="27"/>
  <c r="S22" i="27"/>
  <c r="S26" i="27" s="1"/>
  <c r="T22" i="27"/>
  <c r="T26" i="27" s="1"/>
  <c r="U22" i="27"/>
  <c r="AA22" i="27"/>
  <c r="AA26" i="27" s="1"/>
  <c r="Y44" i="27" s="1"/>
  <c r="AA43" i="27"/>
  <c r="Z43" i="27"/>
  <c r="S6" i="27"/>
  <c r="T6" i="27"/>
  <c r="U6" i="27"/>
  <c r="AA6" i="27"/>
  <c r="S4" i="27"/>
  <c r="S11" i="27" s="1"/>
  <c r="T4" i="27"/>
  <c r="T11" i="27" s="1"/>
  <c r="U4" i="27"/>
  <c r="AA4" i="27"/>
  <c r="AA11" i="27" s="1"/>
  <c r="W42" i="27"/>
  <c r="W46" i="27" s="1"/>
  <c r="Y37" i="27"/>
  <c r="Z45" i="26"/>
  <c r="AA45" i="26"/>
  <c r="Z44" i="26"/>
  <c r="AA44" i="26"/>
  <c r="S20" i="26"/>
  <c r="T20" i="26"/>
  <c r="U20" i="26"/>
  <c r="AA20" i="26"/>
  <c r="S12" i="26"/>
  <c r="S21" i="26" s="1"/>
  <c r="AA12" i="26"/>
  <c r="AA21" i="26" s="1"/>
  <c r="Y43" i="26" s="1"/>
  <c r="U12" i="26"/>
  <c r="T12" i="26"/>
  <c r="T21" i="26" s="1"/>
  <c r="Y37" i="26"/>
  <c r="W42" i="26"/>
  <c r="W46" i="26" s="1"/>
  <c r="U4" i="26"/>
  <c r="S4" i="26"/>
  <c r="S11" i="26" s="1"/>
  <c r="AA4" i="26"/>
  <c r="AA11" i="26" s="1"/>
  <c r="T4" i="26"/>
  <c r="T11" i="26" s="1"/>
  <c r="T37" i="26"/>
  <c r="S37" i="26"/>
  <c r="Y36" i="21"/>
  <c r="W45" i="21" s="1"/>
  <c r="S27" i="21"/>
  <c r="AA27" i="21"/>
  <c r="T27" i="21"/>
  <c r="U27" i="21"/>
  <c r="T14" i="21"/>
  <c r="AA14" i="21"/>
  <c r="U14" i="21"/>
  <c r="U33" i="21"/>
  <c r="S33" i="21"/>
  <c r="T35" i="25"/>
  <c r="U35" i="25"/>
  <c r="AA35" i="25"/>
  <c r="S35" i="25"/>
  <c r="T27" i="25"/>
  <c r="T36" i="25" s="1"/>
  <c r="U27" i="25"/>
  <c r="AA27" i="25"/>
  <c r="AA36" i="25" s="1"/>
  <c r="Y45" i="25" s="1"/>
  <c r="S27" i="25"/>
  <c r="S36" i="25" s="1"/>
  <c r="T24" i="25"/>
  <c r="T26" i="25" s="1"/>
  <c r="AA24" i="25"/>
  <c r="AA26" i="25" s="1"/>
  <c r="Y44" i="25" s="1"/>
  <c r="S24" i="25"/>
  <c r="S26" i="25" s="1"/>
  <c r="U24" i="25"/>
  <c r="Z44" i="25"/>
  <c r="AA44" i="25"/>
  <c r="S20" i="25"/>
  <c r="U20" i="25"/>
  <c r="T20" i="25"/>
  <c r="AA20" i="25"/>
  <c r="S12" i="25"/>
  <c r="S21" i="25" s="1"/>
  <c r="T12" i="25"/>
  <c r="T21" i="25" s="1"/>
  <c r="U12" i="25"/>
  <c r="AA12" i="25"/>
  <c r="AA21" i="25" s="1"/>
  <c r="Y43" i="25" s="1"/>
  <c r="S9" i="25"/>
  <c r="AA9" i="25"/>
  <c r="U9" i="25"/>
  <c r="T9" i="25"/>
  <c r="AA6" i="25"/>
  <c r="S6" i="25"/>
  <c r="U6" i="25"/>
  <c r="T6" i="25"/>
  <c r="Y37" i="25"/>
  <c r="W42" i="25"/>
  <c r="W46" i="25" s="1"/>
  <c r="T4" i="25"/>
  <c r="T11" i="25" s="1"/>
  <c r="S4" i="25"/>
  <c r="S11" i="25" s="1"/>
  <c r="AA4" i="25"/>
  <c r="AA11" i="25" s="1"/>
  <c r="U4" i="25"/>
  <c r="T33" i="21"/>
  <c r="AA33" i="21"/>
  <c r="AA31" i="21"/>
  <c r="T31" i="21"/>
  <c r="S31" i="21"/>
  <c r="U31" i="21"/>
  <c r="Y11" i="21"/>
  <c r="W42" i="21" s="1"/>
  <c r="T9" i="21"/>
  <c r="U9" i="21"/>
  <c r="S9" i="21"/>
  <c r="AA9" i="21"/>
  <c r="Z45" i="24"/>
  <c r="AA45" i="24"/>
  <c r="U24" i="24"/>
  <c r="T24" i="24"/>
  <c r="S24" i="24"/>
  <c r="AA24" i="24"/>
  <c r="S22" i="24"/>
  <c r="S26" i="24" s="1"/>
  <c r="U22" i="24"/>
  <c r="T22" i="24"/>
  <c r="T26" i="24" s="1"/>
  <c r="AA22" i="24"/>
  <c r="AA26" i="24" s="1"/>
  <c r="Y44" i="24" s="1"/>
  <c r="S12" i="24"/>
  <c r="S21" i="24" s="1"/>
  <c r="T12" i="24"/>
  <c r="T21" i="24" s="1"/>
  <c r="U12" i="24"/>
  <c r="AA12" i="24"/>
  <c r="AA21" i="24" s="1"/>
  <c r="Y43" i="24" s="1"/>
  <c r="AA6" i="24"/>
  <c r="U6" i="24"/>
  <c r="T6" i="24"/>
  <c r="S6" i="24"/>
  <c r="Y37" i="24"/>
  <c r="W42" i="24"/>
  <c r="W46" i="24" s="1"/>
  <c r="T4" i="24"/>
  <c r="T11" i="24" s="1"/>
  <c r="S4" i="24"/>
  <c r="S11" i="24" s="1"/>
  <c r="U4" i="24"/>
  <c r="AA4" i="24"/>
  <c r="AA11" i="24" s="1"/>
  <c r="AA4" i="21"/>
  <c r="U4" i="21"/>
  <c r="S4" i="21"/>
  <c r="T4" i="21"/>
  <c r="AA45" i="22"/>
  <c r="Z45" i="22"/>
  <c r="Z44" i="22"/>
  <c r="AA44" i="22"/>
  <c r="Z43" i="22"/>
  <c r="AA43" i="22"/>
  <c r="AA37" i="22"/>
  <c r="Y42" i="22"/>
  <c r="S37" i="22"/>
  <c r="T37" i="22"/>
  <c r="S24" i="21"/>
  <c r="T24" i="21"/>
  <c r="U24" i="21"/>
  <c r="AA24" i="21"/>
  <c r="S22" i="21"/>
  <c r="T22" i="21"/>
  <c r="U22" i="21"/>
  <c r="AA22" i="21"/>
  <c r="U20" i="21"/>
  <c r="AA20" i="21"/>
  <c r="T20" i="21"/>
  <c r="S20" i="21"/>
  <c r="U12" i="21"/>
  <c r="S12" i="21"/>
  <c r="T12" i="21"/>
  <c r="AA12" i="21"/>
  <c r="X37" i="21"/>
  <c r="V43" i="21"/>
  <c r="V46" i="21" s="1"/>
  <c r="Y21" i="21"/>
  <c r="X37" i="19"/>
  <c r="V43" i="19"/>
  <c r="V46" i="19" s="1"/>
  <c r="T18" i="19"/>
  <c r="AA18" i="19"/>
  <c r="S18" i="19"/>
  <c r="U18" i="19"/>
  <c r="Z45" i="20"/>
  <c r="AA45" i="20"/>
  <c r="Z43" i="20"/>
  <c r="AA43" i="20"/>
  <c r="AA37" i="20"/>
  <c r="Y42" i="20"/>
  <c r="T37" i="20"/>
  <c r="S36" i="20"/>
  <c r="S37" i="20" s="1"/>
  <c r="W43" i="20"/>
  <c r="W46" i="20" s="1"/>
  <c r="Y37" i="20"/>
  <c r="S36" i="19"/>
  <c r="T26" i="19"/>
  <c r="X46" i="19"/>
  <c r="T36" i="19"/>
  <c r="AA36" i="19"/>
  <c r="AA26" i="19"/>
  <c r="Y11" i="19"/>
  <c r="W42" i="19" s="1"/>
  <c r="S26" i="19"/>
  <c r="S20" i="19"/>
  <c r="T20" i="19"/>
  <c r="U20" i="19"/>
  <c r="AA20" i="19"/>
  <c r="S12" i="19"/>
  <c r="T12" i="19"/>
  <c r="U12" i="19"/>
  <c r="AA12" i="19"/>
  <c r="AA6" i="19"/>
  <c r="T6" i="19"/>
  <c r="S6" i="19"/>
  <c r="U6" i="19"/>
  <c r="S4" i="19"/>
  <c r="T4" i="19"/>
  <c r="T11" i="19" s="1"/>
  <c r="U4" i="19"/>
  <c r="AA4" i="19"/>
  <c r="Y21" i="19"/>
  <c r="W43" i="19" s="1"/>
  <c r="F45" i="18"/>
  <c r="E45" i="18"/>
  <c r="E44" i="18"/>
  <c r="F44" i="18"/>
  <c r="E43" i="18"/>
  <c r="F43" i="18"/>
  <c r="D42" i="18"/>
  <c r="AA37" i="18"/>
  <c r="T37" i="18"/>
  <c r="S37" i="18"/>
  <c r="Y36" i="17"/>
  <c r="Y37" i="17" s="1"/>
  <c r="S26" i="17"/>
  <c r="T26" i="17"/>
  <c r="T21" i="17"/>
  <c r="AA21" i="17"/>
  <c r="D43" i="17" s="1"/>
  <c r="F43" i="17" s="1"/>
  <c r="S21" i="17"/>
  <c r="AA11" i="17"/>
  <c r="S11" i="17"/>
  <c r="T11" i="17"/>
  <c r="S35" i="17"/>
  <c r="T35" i="17"/>
  <c r="U35" i="17"/>
  <c r="AA35" i="17"/>
  <c r="S27" i="17"/>
  <c r="S36" i="17" s="1"/>
  <c r="T27" i="17"/>
  <c r="U27" i="17"/>
  <c r="AA27" i="17"/>
  <c r="AA36" i="17" s="1"/>
  <c r="D45" i="17" s="1"/>
  <c r="F45" i="17" s="1"/>
  <c r="E44" i="17"/>
  <c r="AA11" i="16"/>
  <c r="D42" i="16" s="1"/>
  <c r="T11" i="16"/>
  <c r="AA26" i="16"/>
  <c r="D44" i="16" s="1"/>
  <c r="S26" i="16"/>
  <c r="T26" i="16"/>
  <c r="S21" i="16"/>
  <c r="T21" i="16"/>
  <c r="S11" i="16"/>
  <c r="T35" i="16"/>
  <c r="AA35" i="16"/>
  <c r="S35" i="16"/>
  <c r="U35" i="16"/>
  <c r="S27" i="16"/>
  <c r="T27" i="16"/>
  <c r="T36" i="16" s="1"/>
  <c r="AA27" i="16"/>
  <c r="AA36" i="16" s="1"/>
  <c r="D45" i="16" s="1"/>
  <c r="U27" i="16"/>
  <c r="AA21" i="16"/>
  <c r="Y37" i="16"/>
  <c r="S29" i="14"/>
  <c r="T29" i="14"/>
  <c r="U29" i="14"/>
  <c r="AA29" i="14"/>
  <c r="E45" i="15"/>
  <c r="F45" i="15"/>
  <c r="F43" i="15"/>
  <c r="E43" i="15"/>
  <c r="D42" i="15"/>
  <c r="S37" i="15"/>
  <c r="AA26" i="15"/>
  <c r="Y36" i="14"/>
  <c r="S35" i="14"/>
  <c r="T35" i="14"/>
  <c r="U35" i="14"/>
  <c r="AA35" i="14"/>
  <c r="S27" i="14"/>
  <c r="T27" i="14"/>
  <c r="U27" i="14"/>
  <c r="AA27" i="14"/>
  <c r="S22" i="14"/>
  <c r="S26" i="14" s="1"/>
  <c r="T22" i="14"/>
  <c r="T26" i="14" s="1"/>
  <c r="U22" i="14"/>
  <c r="AA22" i="14"/>
  <c r="AA26" i="14" s="1"/>
  <c r="D44" i="14" s="1"/>
  <c r="S20" i="14"/>
  <c r="U20" i="14"/>
  <c r="AA20" i="14"/>
  <c r="T20" i="14"/>
  <c r="S12" i="14"/>
  <c r="T12" i="14"/>
  <c r="U12" i="14"/>
  <c r="AA12" i="14"/>
  <c r="AA21" i="14" s="1"/>
  <c r="D43" i="14" s="1"/>
  <c r="S9" i="14"/>
  <c r="U9" i="14"/>
  <c r="T9" i="14"/>
  <c r="AA9" i="14"/>
  <c r="S6" i="14"/>
  <c r="T6" i="14"/>
  <c r="U6" i="14"/>
  <c r="AA6" i="14"/>
  <c r="AA11" i="14" s="1"/>
  <c r="D42" i="14" s="1"/>
  <c r="Y21" i="14"/>
  <c r="T27" i="12"/>
  <c r="S27" i="12"/>
  <c r="U27" i="12"/>
  <c r="AA27" i="12"/>
  <c r="Y36" i="12"/>
  <c r="S29" i="12"/>
  <c r="T29" i="12"/>
  <c r="U29" i="12"/>
  <c r="AA29" i="12"/>
  <c r="S22" i="12"/>
  <c r="S26" i="12" s="1"/>
  <c r="T22" i="12"/>
  <c r="T26" i="12" s="1"/>
  <c r="U22" i="12"/>
  <c r="AA22" i="12"/>
  <c r="AA26" i="12" s="1"/>
  <c r="D44" i="12" s="1"/>
  <c r="S20" i="12"/>
  <c r="T20" i="12"/>
  <c r="U20" i="12"/>
  <c r="AA20" i="12"/>
  <c r="S18" i="12"/>
  <c r="T18" i="12"/>
  <c r="U18" i="12"/>
  <c r="AA18" i="12"/>
  <c r="S16" i="12"/>
  <c r="T16" i="12"/>
  <c r="AA16" i="12"/>
  <c r="U16" i="12"/>
  <c r="Y21" i="12"/>
  <c r="S14" i="12"/>
  <c r="T14" i="12"/>
  <c r="U14" i="12"/>
  <c r="AA14" i="12"/>
  <c r="S9" i="12"/>
  <c r="T9" i="12"/>
  <c r="U9" i="12"/>
  <c r="AA9" i="12"/>
  <c r="Y11" i="12"/>
  <c r="E45" i="13"/>
  <c r="F45" i="13"/>
  <c r="E44" i="13"/>
  <c r="F44" i="13"/>
  <c r="AA37" i="13"/>
  <c r="D42" i="13"/>
  <c r="S11" i="13"/>
  <c r="S37" i="13"/>
  <c r="T37" i="13"/>
  <c r="X37" i="12"/>
  <c r="O42" i="12"/>
  <c r="O46" i="12" s="1"/>
  <c r="S35" i="12"/>
  <c r="T35" i="12"/>
  <c r="U35" i="12"/>
  <c r="AA35" i="12"/>
  <c r="S12" i="12"/>
  <c r="T12" i="12"/>
  <c r="U12" i="12"/>
  <c r="AA12" i="12"/>
  <c r="S6" i="12"/>
  <c r="T6" i="12"/>
  <c r="U6" i="12"/>
  <c r="AA6" i="12"/>
  <c r="S4" i="12"/>
  <c r="T4" i="12"/>
  <c r="U4" i="12"/>
  <c r="AA4" i="12"/>
  <c r="T35" i="11"/>
  <c r="U35" i="11"/>
  <c r="AA35" i="11"/>
  <c r="S35" i="11"/>
  <c r="S27" i="11"/>
  <c r="S36" i="11" s="1"/>
  <c r="T27" i="11"/>
  <c r="T36" i="11" s="1"/>
  <c r="U27" i="11"/>
  <c r="AA27" i="11"/>
  <c r="AA36" i="11" s="1"/>
  <c r="D45" i="11" s="1"/>
  <c r="U24" i="11"/>
  <c r="AA24" i="11"/>
  <c r="S24" i="11"/>
  <c r="T24" i="11"/>
  <c r="S22" i="11"/>
  <c r="S26" i="11" s="1"/>
  <c r="T22" i="11"/>
  <c r="T26" i="11" s="1"/>
  <c r="U22" i="11"/>
  <c r="AA22" i="11"/>
  <c r="AA26" i="11" s="1"/>
  <c r="D44" i="11" s="1"/>
  <c r="S20" i="11"/>
  <c r="T20" i="11"/>
  <c r="U20" i="11"/>
  <c r="AA20" i="11"/>
  <c r="S14" i="11"/>
  <c r="T14" i="11"/>
  <c r="U14" i="11"/>
  <c r="AA14" i="11"/>
  <c r="S12" i="11"/>
  <c r="S21" i="11" s="1"/>
  <c r="T12" i="11"/>
  <c r="U12" i="11"/>
  <c r="AA12" i="11"/>
  <c r="AA21" i="11" s="1"/>
  <c r="D43" i="11" s="1"/>
  <c r="S9" i="11"/>
  <c r="T9" i="11"/>
  <c r="U9" i="11"/>
  <c r="AA9" i="11"/>
  <c r="T6" i="11"/>
  <c r="U6" i="11"/>
  <c r="S6" i="11"/>
  <c r="AA6" i="11"/>
  <c r="T4" i="11"/>
  <c r="T11" i="11" s="1"/>
  <c r="S4" i="11"/>
  <c r="S11" i="11" s="1"/>
  <c r="U4" i="11"/>
  <c r="AA4" i="11"/>
  <c r="AA11" i="11" s="1"/>
  <c r="O42" i="11"/>
  <c r="O46" i="11" s="1"/>
  <c r="X37" i="11"/>
  <c r="Y21" i="11"/>
  <c r="Y37" i="11" s="1"/>
  <c r="Y26" i="10"/>
  <c r="S24" i="10"/>
  <c r="T24" i="10"/>
  <c r="U24" i="10"/>
  <c r="AA24" i="10"/>
  <c r="S16" i="10"/>
  <c r="T16" i="10"/>
  <c r="U16" i="10"/>
  <c r="AA16" i="10"/>
  <c r="Y21" i="10"/>
  <c r="S14" i="10"/>
  <c r="T14" i="10"/>
  <c r="U14" i="10"/>
  <c r="AA14" i="10"/>
  <c r="Y11" i="10"/>
  <c r="O42" i="10"/>
  <c r="O46" i="10" s="1"/>
  <c r="X37" i="10"/>
  <c r="S9" i="10"/>
  <c r="T9" i="10"/>
  <c r="U9" i="10"/>
  <c r="AA9" i="10"/>
  <c r="Y36" i="10"/>
  <c r="S35" i="10"/>
  <c r="T35" i="10"/>
  <c r="U35" i="10"/>
  <c r="AA35" i="10"/>
  <c r="S27" i="10"/>
  <c r="T27" i="10"/>
  <c r="T36" i="10" s="1"/>
  <c r="U27" i="10"/>
  <c r="AA27" i="10"/>
  <c r="S22" i="10"/>
  <c r="T22" i="10"/>
  <c r="U22" i="10"/>
  <c r="AA22" i="10"/>
  <c r="S20" i="10"/>
  <c r="T20" i="10"/>
  <c r="U20" i="10"/>
  <c r="AA20" i="10"/>
  <c r="T12" i="10"/>
  <c r="U12" i="10"/>
  <c r="AA12" i="10"/>
  <c r="S6" i="10"/>
  <c r="T6" i="10"/>
  <c r="U6" i="10"/>
  <c r="AA6" i="10"/>
  <c r="S4" i="10"/>
  <c r="T4" i="10"/>
  <c r="U4" i="10"/>
  <c r="AA4" i="10"/>
  <c r="AB11" i="31" l="1"/>
  <c r="Z42" i="31" s="1"/>
  <c r="T36" i="31"/>
  <c r="W45" i="31"/>
  <c r="W46" i="31" s="1"/>
  <c r="Y37" i="31"/>
  <c r="AB36" i="31"/>
  <c r="S36" i="31"/>
  <c r="AA44" i="34"/>
  <c r="AB44" i="34"/>
  <c r="AA43" i="34"/>
  <c r="AB43" i="34"/>
  <c r="AB37" i="34"/>
  <c r="Z42" i="34"/>
  <c r="T37" i="34"/>
  <c r="S37" i="34"/>
  <c r="AA45" i="33"/>
  <c r="AB45" i="33"/>
  <c r="AB44" i="33"/>
  <c r="AA44" i="33"/>
  <c r="AB43" i="33"/>
  <c r="AA43" i="33"/>
  <c r="Z42" i="33"/>
  <c r="AB37" i="33"/>
  <c r="T21" i="33"/>
  <c r="S37" i="33"/>
  <c r="T37" i="33"/>
  <c r="AB45" i="32"/>
  <c r="AA45" i="32"/>
  <c r="AA44" i="32"/>
  <c r="AB44" i="32"/>
  <c r="AB42" i="32"/>
  <c r="AA42" i="32"/>
  <c r="Z46" i="32"/>
  <c r="T37" i="32"/>
  <c r="S37" i="32"/>
  <c r="AB44" i="31"/>
  <c r="AA44" i="31"/>
  <c r="AA43" i="31"/>
  <c r="AB43" i="31"/>
  <c r="S11" i="31"/>
  <c r="T11" i="31"/>
  <c r="AA44" i="29"/>
  <c r="AB44" i="29"/>
  <c r="AA43" i="29"/>
  <c r="AB43" i="29"/>
  <c r="AA45" i="30"/>
  <c r="AB45" i="30"/>
  <c r="Z46" i="30"/>
  <c r="AA42" i="30"/>
  <c r="AB42" i="30"/>
  <c r="AA45" i="29"/>
  <c r="AB45" i="29"/>
  <c r="T37" i="29"/>
  <c r="S37" i="29"/>
  <c r="Z42" i="29"/>
  <c r="Z46" i="29" s="1"/>
  <c r="AB37" i="29"/>
  <c r="Z45" i="28"/>
  <c r="AA45" i="28"/>
  <c r="AA21" i="28"/>
  <c r="AA44" i="28"/>
  <c r="Z44" i="28"/>
  <c r="Y42" i="28"/>
  <c r="T37" i="28"/>
  <c r="S37" i="28"/>
  <c r="S21" i="21"/>
  <c r="Z44" i="27"/>
  <c r="AA44" i="27"/>
  <c r="Y42" i="27"/>
  <c r="AA37" i="27"/>
  <c r="S37" i="27"/>
  <c r="T37" i="27"/>
  <c r="T36" i="21"/>
  <c r="Z43" i="26"/>
  <c r="AA43" i="26"/>
  <c r="AA37" i="26"/>
  <c r="Y42" i="26"/>
  <c r="AA36" i="21"/>
  <c r="Y45" i="21" s="1"/>
  <c r="S36" i="21"/>
  <c r="T11" i="21"/>
  <c r="Z45" i="25"/>
  <c r="AA45" i="25"/>
  <c r="Z43" i="25"/>
  <c r="AA43" i="25"/>
  <c r="AA37" i="25"/>
  <c r="Y42" i="25"/>
  <c r="T37" i="25"/>
  <c r="S37" i="25"/>
  <c r="AA26" i="21"/>
  <c r="Y44" i="21" s="1"/>
  <c r="AA11" i="21"/>
  <c r="Y42" i="21" s="1"/>
  <c r="S11" i="21"/>
  <c r="Z44" i="24"/>
  <c r="AA44" i="24"/>
  <c r="Z43" i="24"/>
  <c r="AA43" i="24"/>
  <c r="AA37" i="24"/>
  <c r="Y42" i="24"/>
  <c r="S37" i="24"/>
  <c r="T37" i="24"/>
  <c r="S26" i="21"/>
  <c r="AA42" i="22"/>
  <c r="Y46" i="22"/>
  <c r="Z42" i="22"/>
  <c r="T26" i="21"/>
  <c r="T21" i="21"/>
  <c r="AA21" i="21"/>
  <c r="Y37" i="21"/>
  <c r="W43" i="21"/>
  <c r="W46" i="21" s="1"/>
  <c r="AA21" i="19"/>
  <c r="Y43" i="19" s="1"/>
  <c r="T21" i="19"/>
  <c r="T37" i="19" s="1"/>
  <c r="S21" i="19"/>
  <c r="S11" i="19"/>
  <c r="Z42" i="20"/>
  <c r="AA42" i="20"/>
  <c r="Y46" i="20"/>
  <c r="Y45" i="19"/>
  <c r="Y44" i="19"/>
  <c r="W46" i="19"/>
  <c r="Y37" i="19"/>
  <c r="AA11" i="19"/>
  <c r="Y42" i="19" s="1"/>
  <c r="Z42" i="19" s="1"/>
  <c r="T36" i="17"/>
  <c r="T37" i="17" s="1"/>
  <c r="F42" i="18"/>
  <c r="D46" i="18"/>
  <c r="E42" i="18"/>
  <c r="E43" i="17"/>
  <c r="S37" i="17"/>
  <c r="AA37" i="17"/>
  <c r="D42" i="17"/>
  <c r="E45" i="17"/>
  <c r="S36" i="16"/>
  <c r="S37" i="16" s="1"/>
  <c r="T37" i="16"/>
  <c r="E44" i="16"/>
  <c r="F44" i="16"/>
  <c r="E45" i="16"/>
  <c r="F45" i="16"/>
  <c r="E42" i="16"/>
  <c r="F42" i="16"/>
  <c r="D43" i="16"/>
  <c r="D46" i="16" s="1"/>
  <c r="AA37" i="16"/>
  <c r="T11" i="14"/>
  <c r="T36" i="14"/>
  <c r="F42" i="15"/>
  <c r="E42" i="15"/>
  <c r="D46" i="15"/>
  <c r="D44" i="15"/>
  <c r="AA37" i="15"/>
  <c r="Y37" i="14"/>
  <c r="T21" i="14"/>
  <c r="S21" i="14"/>
  <c r="S11" i="14"/>
  <c r="S36" i="14"/>
  <c r="E44" i="14"/>
  <c r="F44" i="14"/>
  <c r="E43" i="14"/>
  <c r="F43" i="14"/>
  <c r="E42" i="14"/>
  <c r="F42" i="14"/>
  <c r="AA36" i="14"/>
  <c r="S36" i="12"/>
  <c r="T36" i="12"/>
  <c r="AA36" i="12"/>
  <c r="D45" i="12" s="1"/>
  <c r="S21" i="12"/>
  <c r="T21" i="12"/>
  <c r="AA21" i="12"/>
  <c r="D43" i="12" s="1"/>
  <c r="Y37" i="12"/>
  <c r="T11" i="12"/>
  <c r="AA11" i="12"/>
  <c r="E42" i="13"/>
  <c r="F42" i="13"/>
  <c r="D46" i="13"/>
  <c r="E44" i="12"/>
  <c r="F44" i="12"/>
  <c r="S11" i="12"/>
  <c r="E45" i="11"/>
  <c r="F45" i="11"/>
  <c r="E44" i="11"/>
  <c r="F44" i="11"/>
  <c r="E43" i="11"/>
  <c r="F43" i="11"/>
  <c r="D42" i="11"/>
  <c r="AA37" i="11"/>
  <c r="S37" i="11"/>
  <c r="T37" i="11"/>
  <c r="T21" i="11"/>
  <c r="S26" i="10"/>
  <c r="T26" i="10"/>
  <c r="AA26" i="10"/>
  <c r="D44" i="10" s="1"/>
  <c r="S21" i="10"/>
  <c r="T11" i="10"/>
  <c r="Y37" i="10"/>
  <c r="S36" i="10"/>
  <c r="AA21" i="10"/>
  <c r="D43" i="10" s="1"/>
  <c r="T21" i="10"/>
  <c r="S11" i="10"/>
  <c r="AA36" i="10"/>
  <c r="D45" i="10" s="1"/>
  <c r="AA11" i="10"/>
  <c r="S37" i="31" l="1"/>
  <c r="T37" i="31"/>
  <c r="Z45" i="31"/>
  <c r="Z46" i="31" s="1"/>
  <c r="AB46" i="31" s="1"/>
  <c r="AB37" i="31"/>
  <c r="AA42" i="34"/>
  <c r="AB42" i="34"/>
  <c r="Z46" i="34"/>
  <c r="AA42" i="33"/>
  <c r="Z46" i="33"/>
  <c r="AB42" i="33"/>
  <c r="AA46" i="32"/>
  <c r="AB42" i="31"/>
  <c r="AA42" i="31"/>
  <c r="AA46" i="30"/>
  <c r="AB46" i="30"/>
  <c r="AA42" i="29"/>
  <c r="AB42" i="29"/>
  <c r="AA46" i="29"/>
  <c r="AB46" i="29"/>
  <c r="Y43" i="28"/>
  <c r="Z43" i="28" s="1"/>
  <c r="AA37" i="28"/>
  <c r="AA42" i="28"/>
  <c r="Z42" i="28"/>
  <c r="AA42" i="27"/>
  <c r="Y46" i="27"/>
  <c r="Z42" i="27"/>
  <c r="Z42" i="26"/>
  <c r="AA42" i="26"/>
  <c r="Y46" i="26"/>
  <c r="Z45" i="21"/>
  <c r="AA45" i="21"/>
  <c r="Z42" i="25"/>
  <c r="AA42" i="25"/>
  <c r="Y46" i="25"/>
  <c r="Z44" i="21"/>
  <c r="AA44" i="21"/>
  <c r="AA42" i="21"/>
  <c r="Z42" i="21"/>
  <c r="Z42" i="24"/>
  <c r="AA42" i="24"/>
  <c r="Y46" i="24"/>
  <c r="S37" i="21"/>
  <c r="Z46" i="22"/>
  <c r="AA46" i="22"/>
  <c r="T37" i="21"/>
  <c r="Y43" i="21"/>
  <c r="Y46" i="21" s="1"/>
  <c r="AA46" i="21" s="1"/>
  <c r="AA37" i="21"/>
  <c r="S37" i="19"/>
  <c r="Z46" i="20"/>
  <c r="AA46" i="20"/>
  <c r="AA45" i="19"/>
  <c r="Z45" i="19"/>
  <c r="AA44" i="19"/>
  <c r="Z44" i="19"/>
  <c r="AA43" i="19"/>
  <c r="Z43" i="19"/>
  <c r="Y46" i="19"/>
  <c r="AA42" i="19"/>
  <c r="AA37" i="19"/>
  <c r="E42" i="17"/>
  <c r="F42" i="17"/>
  <c r="E46" i="18"/>
  <c r="F46" i="18"/>
  <c r="D46" i="17"/>
  <c r="F46" i="17" s="1"/>
  <c r="E46" i="16"/>
  <c r="E43" i="16"/>
  <c r="F43" i="16"/>
  <c r="T37" i="14"/>
  <c r="E46" i="15"/>
  <c r="F46" i="15"/>
  <c r="E44" i="15"/>
  <c r="F44" i="15"/>
  <c r="S37" i="14"/>
  <c r="AA37" i="14"/>
  <c r="D45" i="14"/>
  <c r="F45" i="12"/>
  <c r="E45" i="12"/>
  <c r="S37" i="12"/>
  <c r="F43" i="12"/>
  <c r="E43" i="12"/>
  <c r="T37" i="12"/>
  <c r="AA37" i="12"/>
  <c r="D42" i="12"/>
  <c r="E46" i="13"/>
  <c r="F46" i="13"/>
  <c r="F42" i="11"/>
  <c r="D46" i="11"/>
  <c r="E42" i="11"/>
  <c r="E44" i="10"/>
  <c r="F44" i="10"/>
  <c r="S37" i="10"/>
  <c r="T37" i="10"/>
  <c r="E43" i="10"/>
  <c r="F43" i="10"/>
  <c r="F45" i="10"/>
  <c r="E45" i="10"/>
  <c r="AA37" i="10"/>
  <c r="D42" i="10"/>
  <c r="AB45" i="31" l="1"/>
  <c r="AA45" i="31"/>
  <c r="AA46" i="34"/>
  <c r="AB46" i="34"/>
  <c r="AA46" i="33"/>
  <c r="AB46" i="33"/>
  <c r="AA46" i="31"/>
  <c r="Y46" i="28"/>
  <c r="AA43" i="28"/>
  <c r="AA46" i="27"/>
  <c r="Z46" i="27"/>
  <c r="AA46" i="26"/>
  <c r="Z46" i="26"/>
  <c r="Z46" i="25"/>
  <c r="AA46" i="25"/>
  <c r="Z46" i="24"/>
  <c r="AA46" i="24"/>
  <c r="AA43" i="21"/>
  <c r="Z43" i="21"/>
  <c r="Z46" i="21"/>
  <c r="Z46" i="19"/>
  <c r="AA46" i="19"/>
  <c r="E46" i="17"/>
  <c r="D46" i="14"/>
  <c r="F45" i="14"/>
  <c r="F42" i="12"/>
  <c r="D46" i="12"/>
  <c r="E42" i="12"/>
  <c r="E46" i="11"/>
  <c r="F46" i="11"/>
  <c r="E42" i="10"/>
  <c r="F42" i="10"/>
  <c r="D46" i="10"/>
  <c r="Z46" i="28" l="1"/>
  <c r="AA46" i="28"/>
  <c r="E46" i="14"/>
  <c r="F46" i="12"/>
  <c r="E46" i="12"/>
  <c r="E46" i="10"/>
  <c r="F46" i="10"/>
</calcChain>
</file>

<file path=xl/sharedStrings.xml><?xml version="1.0" encoding="utf-8"?>
<sst xmlns="http://schemas.openxmlformats.org/spreadsheetml/2006/main" count="2733" uniqueCount="276">
  <si>
    <t>Name of Items</t>
  </si>
  <si>
    <t>Uom</t>
  </si>
  <si>
    <t>Actually
 Production</t>
  </si>
  <si>
    <t>Pickup</t>
  </si>
  <si>
    <t xml:space="preserve"> Estimation 
Production</t>
  </si>
  <si>
    <t>Location
 Return Food</t>
  </si>
  <si>
    <t>Session</t>
  </si>
  <si>
    <t>Pax</t>
  </si>
  <si>
    <t>Total Left Over 
( Return &amp; Kitchen)</t>
  </si>
  <si>
    <t>Re-use</t>
  </si>
  <si>
    <t>Wastage</t>
  </si>
  <si>
    <t>Wastage Cost</t>
  </si>
  <si>
    <t xml:space="preserve">Sambar </t>
  </si>
  <si>
    <t>Peanut Chutney</t>
  </si>
  <si>
    <t>Tea</t>
  </si>
  <si>
    <t>Item 
Cost</t>
  </si>
  <si>
    <t>Pcs</t>
  </si>
  <si>
    <t>Kgs</t>
  </si>
  <si>
    <t>Ltr</t>
  </si>
  <si>
    <t>Convert
 Grms</t>
  </si>
  <si>
    <t>Actually
Consumption</t>
  </si>
  <si>
    <t>Consumption
for Portion 
In Grms / Pcs</t>
  </si>
  <si>
    <t>PRODUCTION</t>
  </si>
  <si>
    <t>PICKUP &amp; LEFT OVER</t>
  </si>
  <si>
    <t>CONSUMPTION</t>
  </si>
  <si>
    <t>LEFT OVER &amp; WASTAGE</t>
  </si>
  <si>
    <t>Total
Wastage
In Kgs</t>
  </si>
  <si>
    <t>Standard 
Qty in portion</t>
  </si>
  <si>
    <t xml:space="preserve">Kitchen
 Left Over </t>
  </si>
  <si>
    <t xml:space="preserve">Over Production </t>
  </si>
  <si>
    <t>Wastage 
Percentage</t>
  </si>
  <si>
    <t>Plain Rice</t>
  </si>
  <si>
    <t>Sambar</t>
  </si>
  <si>
    <t>Chutney</t>
  </si>
  <si>
    <t>Curd</t>
  </si>
  <si>
    <t>Chapathi</t>
  </si>
  <si>
    <t>HOTEL SAHARA PRODUCTION VS CONSUMPTION REPORT</t>
  </si>
  <si>
    <r>
      <t xml:space="preserve">Standard
</t>
    </r>
    <r>
      <rPr>
        <b/>
        <sz val="12"/>
        <color theme="1"/>
        <rFont val="Calibri"/>
        <family val="2"/>
        <scheme val="minor"/>
      </rPr>
      <t>Breakfast</t>
    </r>
  </si>
  <si>
    <r>
      <t xml:space="preserve">Standard
</t>
    </r>
    <r>
      <rPr>
        <b/>
        <sz val="12"/>
        <color theme="1"/>
        <rFont val="Calibri"/>
        <family val="2"/>
        <scheme val="minor"/>
      </rPr>
      <t>Lunch</t>
    </r>
  </si>
  <si>
    <r>
      <t xml:space="preserve">Standard
</t>
    </r>
    <r>
      <rPr>
        <b/>
        <sz val="12"/>
        <color theme="1"/>
        <rFont val="Calibri"/>
        <family val="2"/>
        <scheme val="minor"/>
      </rPr>
      <t>Snacks</t>
    </r>
  </si>
  <si>
    <r>
      <t xml:space="preserve">Standard
</t>
    </r>
    <r>
      <rPr>
        <b/>
        <sz val="12"/>
        <color theme="1"/>
        <rFont val="Calibri"/>
        <family val="2"/>
        <scheme val="minor"/>
      </rPr>
      <t>Dinner</t>
    </r>
  </si>
  <si>
    <t>Mysore Bonda</t>
  </si>
  <si>
    <t>Grand
Total</t>
  </si>
  <si>
    <t>CONVERT IN KGS ( DAY TOTAL IN ALL SESSION )</t>
  </si>
  <si>
    <t>Actually
Cooked 
 Production</t>
  </si>
  <si>
    <t>SUMMARRY</t>
  </si>
  <si>
    <t>%</t>
  </si>
  <si>
    <t>Breakfast</t>
  </si>
  <si>
    <t>Lunch</t>
  </si>
  <si>
    <t>Snacks</t>
  </si>
  <si>
    <t>Dinner</t>
  </si>
  <si>
    <t>Total</t>
  </si>
  <si>
    <t>Wastage
 Kgs</t>
  </si>
  <si>
    <t>Production Kgs</t>
  </si>
  <si>
    <t>Rasarm</t>
  </si>
  <si>
    <t>Idly</t>
  </si>
  <si>
    <t>peanut chutney</t>
  </si>
  <si>
    <t>Per Por
Grms</t>
  </si>
  <si>
    <t>pcs</t>
  </si>
  <si>
    <t>Return Food</t>
  </si>
  <si>
    <t>Pickup Qty</t>
  </si>
  <si>
    <t>pkt</t>
  </si>
  <si>
    <t>DATE :- 01/08/2026</t>
  </si>
  <si>
    <t>tea</t>
  </si>
  <si>
    <t>daimond burfi</t>
  </si>
  <si>
    <t>POORI</t>
  </si>
  <si>
    <t>BHAJI</t>
  </si>
  <si>
    <t>VEG UPMA</t>
  </si>
  <si>
    <t>Vankai batani curry</t>
  </si>
  <si>
    <t>sorkai pakoda</t>
  </si>
  <si>
    <t>palak dal</t>
  </si>
  <si>
    <t>kadai veg</t>
  </si>
  <si>
    <t>dondkai pakoda</t>
  </si>
  <si>
    <t>methi dal</t>
  </si>
  <si>
    <t>DATE :- 02/08/2026</t>
  </si>
  <si>
    <t>UTTHPAM</t>
  </si>
  <si>
    <t>PONGAL</t>
  </si>
  <si>
    <t>Ginger chutney</t>
  </si>
  <si>
    <t>beerakai curry</t>
  </si>
  <si>
    <t>cripsy veg</t>
  </si>
  <si>
    <t>doskai dal</t>
  </si>
  <si>
    <t>veg bonda</t>
  </si>
  <si>
    <t>badhusha</t>
  </si>
  <si>
    <t>meal maker capcuim</t>
  </si>
  <si>
    <t>bhendi cotted fry</t>
  </si>
  <si>
    <t>tomato dal</t>
  </si>
  <si>
    <t>DATE :- 03/08/2026</t>
  </si>
  <si>
    <t>Wada</t>
  </si>
  <si>
    <t>Veg Upma</t>
  </si>
  <si>
    <t>Tomato Chutney</t>
  </si>
  <si>
    <t>Chole Masala</t>
  </si>
  <si>
    <t>Aloo Podimsala</t>
  </si>
  <si>
    <t>Methi Dal</t>
  </si>
  <si>
    <t>Veg Puff</t>
  </si>
  <si>
    <t>Tomato Kitchup</t>
  </si>
  <si>
    <t>Madatha Khaja</t>
  </si>
  <si>
    <t>Mix Veg curry</t>
  </si>
  <si>
    <t>Cabbage Pakoda</t>
  </si>
  <si>
    <t>Dosakai Dal</t>
  </si>
  <si>
    <t>DATE :- 04/08/2026</t>
  </si>
  <si>
    <t>Dosa</t>
  </si>
  <si>
    <t>pongal</t>
  </si>
  <si>
    <t>ginger chutney</t>
  </si>
  <si>
    <t>guthi donda curry</t>
  </si>
  <si>
    <t>vankai pakoda</t>
  </si>
  <si>
    <t>sorkai dal</t>
  </si>
  <si>
    <t>veg punugulu</t>
  </si>
  <si>
    <t>aloo gobi podimas</t>
  </si>
  <si>
    <t>thotakura dal</t>
  </si>
  <si>
    <t>meal maker curry</t>
  </si>
  <si>
    <t>DATE :- 05/08/2026</t>
  </si>
  <si>
    <t>Poori</t>
  </si>
  <si>
    <t>Bhaji</t>
  </si>
  <si>
    <t>Mix Veg Curry</t>
  </si>
  <si>
    <t>Sorakai Podimasal</t>
  </si>
  <si>
    <t>Gongura Dal</t>
  </si>
  <si>
    <t>Beerakai Tomato</t>
  </si>
  <si>
    <t>Aloo Podimasala</t>
  </si>
  <si>
    <t>Vermi celly Bath</t>
  </si>
  <si>
    <t>Jilebi</t>
  </si>
  <si>
    <t>DATE :- 06/08/2026</t>
  </si>
  <si>
    <t>Uthapam</t>
  </si>
  <si>
    <t>Pongal</t>
  </si>
  <si>
    <t>Ginger Chutney</t>
  </si>
  <si>
    <t>Bhendi Pulusu</t>
  </si>
  <si>
    <t>Thotakura Dal</t>
  </si>
  <si>
    <t>Pav</t>
  </si>
  <si>
    <t>Badhusha</t>
  </si>
  <si>
    <t>Dosakai Drumstic</t>
  </si>
  <si>
    <t>Dondakai Pakoda</t>
  </si>
  <si>
    <t>Palak Dal</t>
  </si>
  <si>
    <t>Jangri</t>
  </si>
  <si>
    <t>Mysore bonda</t>
  </si>
  <si>
    <t>Peanut chutney</t>
  </si>
  <si>
    <t>capcuim chole</t>
  </si>
  <si>
    <t>sorakai veupdu</t>
  </si>
  <si>
    <t>Standard
Breakfast</t>
  </si>
  <si>
    <t>Standard
Lunch</t>
  </si>
  <si>
    <t>Standard
Snacks</t>
  </si>
  <si>
    <t>Standard
Dinner</t>
  </si>
  <si>
    <t>DATE :- 08/08/2026</t>
  </si>
  <si>
    <t>Guthi Vankai</t>
  </si>
  <si>
    <t>Aloo 65</t>
  </si>
  <si>
    <t>Aloo Samosa</t>
  </si>
  <si>
    <t>Tomato Kitcheup</t>
  </si>
  <si>
    <t>Laddu</t>
  </si>
  <si>
    <t>Tomato Dal</t>
  </si>
  <si>
    <t>DATE :- 09/08/2026</t>
  </si>
  <si>
    <t>poori</t>
  </si>
  <si>
    <t>veg upma</t>
  </si>
  <si>
    <t>beerakai tomato curry</t>
  </si>
  <si>
    <t>gobi 65</t>
  </si>
  <si>
    <t>bhaji</t>
  </si>
  <si>
    <t>Veg punugulu</t>
  </si>
  <si>
    <t>madthakaja</t>
  </si>
  <si>
    <t>Rasam</t>
  </si>
  <si>
    <t>cripsy pakoda</t>
  </si>
  <si>
    <t>DATE :- 10/08/2026</t>
  </si>
  <si>
    <t>Aloo Beans Poriyal</t>
  </si>
  <si>
    <t>Dimand Burfi</t>
  </si>
  <si>
    <t>Meal Maker Curry</t>
  </si>
  <si>
    <t>Ullivankai Iguru</t>
  </si>
  <si>
    <t>Production</t>
  </si>
  <si>
    <t xml:space="preserve">Location
 Return </t>
  </si>
  <si>
    <t>Total Wastage
In Kgs</t>
  </si>
  <si>
    <t>Wastage por Grms</t>
  </si>
  <si>
    <t xml:space="preserve">Wastage % </t>
  </si>
  <si>
    <t>DATE :- 11/08/2026</t>
  </si>
  <si>
    <t>wada</t>
  </si>
  <si>
    <t>tomato chutney</t>
  </si>
  <si>
    <t>cabbage pakoda</t>
  </si>
  <si>
    <t>gongura dal</t>
  </si>
  <si>
    <t>mysore bonda</t>
  </si>
  <si>
    <t>jelabi</t>
  </si>
  <si>
    <t>aloo capcuim poriyal</t>
  </si>
  <si>
    <t>Dosakai Drumstick</t>
  </si>
  <si>
    <t>Tothakura Dal</t>
  </si>
  <si>
    <t>Vermicelly Bath</t>
  </si>
  <si>
    <t>Mysore Pak</t>
  </si>
  <si>
    <t xml:space="preserve">Poori </t>
  </si>
  <si>
    <t>DATE :- 12/08/2026</t>
  </si>
  <si>
    <t>DATE :- 13/08/2026</t>
  </si>
  <si>
    <t>bhendi do pyaz curry</t>
  </si>
  <si>
    <t>pavbun</t>
  </si>
  <si>
    <t>laddu</t>
  </si>
  <si>
    <t>pav bhaji</t>
  </si>
  <si>
    <t>kgs</t>
  </si>
  <si>
    <t>Chikudukai Curry</t>
  </si>
  <si>
    <t>SUMMARRY  11.08.26</t>
  </si>
  <si>
    <t>SUMMARRY  ON 10.08.26</t>
  </si>
  <si>
    <t>SUMMARRY  ON 12.08.26</t>
  </si>
  <si>
    <t>SUMMARRY  ON 13.08.26</t>
  </si>
  <si>
    <t>SUMMARRY  ON 11.08.26</t>
  </si>
  <si>
    <t>Guthi vankai curry</t>
  </si>
  <si>
    <t>Carrot beans poriyal</t>
  </si>
  <si>
    <t>fruit cake</t>
  </si>
  <si>
    <t>DATE :- 14/08/2026</t>
  </si>
  <si>
    <t>chole capcuim</t>
  </si>
  <si>
    <t>Utthapam</t>
  </si>
  <si>
    <t>DATE :- 15/08/2026</t>
  </si>
  <si>
    <t>dosakai drumstcik curry</t>
  </si>
  <si>
    <t>aloo 65</t>
  </si>
  <si>
    <t>aloo samasa</t>
  </si>
  <si>
    <t>kethup</t>
  </si>
  <si>
    <t>m kajha</t>
  </si>
  <si>
    <t>Veg upma</t>
  </si>
  <si>
    <t>Kadai veg</t>
  </si>
  <si>
    <t>gobi podimas</t>
  </si>
  <si>
    <t>DATE :- 16/08/2026</t>
  </si>
  <si>
    <t>beerkai curry</t>
  </si>
  <si>
    <t>dondakai pakoda</t>
  </si>
  <si>
    <t>vermachilli bath</t>
  </si>
  <si>
    <t>jelebi</t>
  </si>
  <si>
    <t>Drumstick Curry</t>
  </si>
  <si>
    <t xml:space="preserve">SUMMARRY </t>
  </si>
  <si>
    <t>chole maslaa</t>
  </si>
  <si>
    <t>carrot beans poriyal</t>
  </si>
  <si>
    <t>dosakai dal</t>
  </si>
  <si>
    <t>veg puff</t>
  </si>
  <si>
    <t>ketrhup</t>
  </si>
  <si>
    <t>badhsuha</t>
  </si>
  <si>
    <t>DATE :- 17/08/2026</t>
  </si>
  <si>
    <t>Bhendi do pyaz</t>
  </si>
  <si>
    <t>Guthi Donda Kai</t>
  </si>
  <si>
    <t>Aloo Podimasal</t>
  </si>
  <si>
    <t>DATE :- 18/08/2026</t>
  </si>
  <si>
    <t>Consumption
Per Portion 
In Grms / Pcs</t>
  </si>
  <si>
    <t>Veg Punugulu</t>
  </si>
  <si>
    <t>Aloo Poriyal</t>
  </si>
  <si>
    <t>DATE :- 19/08/2026</t>
  </si>
  <si>
    <t>Poori Bhaji</t>
  </si>
  <si>
    <t>Vankai Batani</t>
  </si>
  <si>
    <t>Chole Capsicum</t>
  </si>
  <si>
    <t>Re-Use Kgs</t>
  </si>
  <si>
    <t>Re-Use
 Kgs</t>
  </si>
  <si>
    <t>SAHARA SUMMARRY ON 19/08/2026</t>
  </si>
  <si>
    <t>CMR</t>
  </si>
  <si>
    <t>DATE :- 20/08/2026</t>
  </si>
  <si>
    <t>SAHARA SUMMARRY ON 20/08/2026</t>
  </si>
  <si>
    <t>Bhendi Pulsu</t>
  </si>
  <si>
    <t>Kakarakai Aloo Fry</t>
  </si>
  <si>
    <t>Production
Kgs</t>
  </si>
  <si>
    <t>Pickup
Kgs</t>
  </si>
  <si>
    <t>Kitchen
 Left Over Kgs</t>
  </si>
  <si>
    <t>Location
 Return Kgs</t>
  </si>
  <si>
    <t>Daimand Buefi</t>
  </si>
  <si>
    <t>Mix veg curry</t>
  </si>
  <si>
    <t>DATE :- 21/08/2026</t>
  </si>
  <si>
    <t>Drumstic</t>
  </si>
  <si>
    <t>Thotakura</t>
  </si>
  <si>
    <t>Vemicelly bath</t>
  </si>
  <si>
    <t>chutney</t>
  </si>
  <si>
    <t>Fruit cake</t>
  </si>
  <si>
    <t>beerkai tomato curry</t>
  </si>
  <si>
    <t>beans poriyal</t>
  </si>
  <si>
    <t>dal</t>
  </si>
  <si>
    <t>SAHARA SUMMARRY ON 21/08/2026</t>
  </si>
  <si>
    <t>DATE :- 22/08/2026</t>
  </si>
  <si>
    <t>Chilli potato</t>
  </si>
  <si>
    <t>guthi vankai curry</t>
  </si>
  <si>
    <t>aloo samosa</t>
  </si>
  <si>
    <t>jelbi</t>
  </si>
  <si>
    <t>chana masala</t>
  </si>
  <si>
    <t>SAHARA SUMMARRY ON 22/08/2026</t>
  </si>
  <si>
    <t>DATE :- 23/08/2026</t>
  </si>
  <si>
    <t>SAHARA SUMMARRY ON 23/08/2026</t>
  </si>
  <si>
    <t>Utthapm</t>
  </si>
  <si>
    <t>gobi mutter curry</t>
  </si>
  <si>
    <t>mirchi bhaji</t>
  </si>
  <si>
    <t>meal maker drumstick</t>
  </si>
  <si>
    <t>aloo podimas</t>
  </si>
  <si>
    <t>DATE :- 24/08/2026</t>
  </si>
  <si>
    <t xml:space="preserve">Guthi Dondakai </t>
  </si>
  <si>
    <t>Gongura Pappu</t>
  </si>
  <si>
    <t>Kadai Veg</t>
  </si>
  <si>
    <t>Dum Bhendi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</si>
</sst>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_-;\-* #,##0.00_-;_-* &quot;-&quot;??_-;_-@_-"/>
    <numFmt numFmtId="165" formatCode="0.000"/>
    <numFmt numFmtId="166" formatCode="0.0"/>
    <numFmt numFmtId="167" formatCode="0.0%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trike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trike/>
      <sz val="16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7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medium">
        <color auto="1"/>
      </bottom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/>
      <right/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 style="hair">
        <color auto="1"/>
      </top>
      <bottom/>
      <diagonal/>
    </border>
    <border>
      <left style="medium">
        <color auto="1"/>
      </left>
      <right style="hair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medium">
        <color auto="1"/>
      </left>
      <right/>
      <top/>
      <bottom/>
      <diagonal/>
    </border>
    <border>
      <left style="hair">
        <color auto="1"/>
      </left>
      <right/>
      <top/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hair">
        <color auto="1"/>
      </bottom>
      <diagonal/>
    </border>
    <border>
      <left style="hair">
        <color indexed="64"/>
      </left>
      <right/>
      <top style="hair">
        <color auto="1"/>
      </top>
      <bottom/>
      <diagonal/>
    </border>
    <border>
      <left style="hair">
        <color indexed="64"/>
      </left>
      <right/>
      <top/>
      <bottom style="hair">
        <color auto="1"/>
      </bottom>
      <diagonal/>
    </border>
    <border>
      <left style="hair">
        <color indexed="64"/>
      </left>
      <right/>
      <top style="medium">
        <color auto="1"/>
      </top>
      <bottom/>
      <diagonal/>
    </border>
    <border>
      <left/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hair">
        <color auto="1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medium">
        <color auto="1"/>
      </right>
      <top/>
      <bottom style="hair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thin">
        <color indexed="64"/>
      </bottom>
      <diagonal/>
    </border>
    <border>
      <left style="medium">
        <color auto="1"/>
      </left>
      <right style="hair">
        <color auto="1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auto="1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medium">
        <color auto="1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347">
    <xf numFmtId="0" fontId="0" fillId="0" borderId="0" xfId="0"/>
    <xf numFmtId="0" fontId="2" fillId="0" borderId="6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0" fillId="0" borderId="9" xfId="0" applyBorder="1"/>
    <xf numFmtId="0" fontId="0" fillId="0" borderId="9" xfId="0" applyBorder="1" applyAlignment="1">
      <alignment horizontal="center" vertical="center"/>
    </xf>
    <xf numFmtId="165" fontId="0" fillId="0" borderId="9" xfId="0" applyNumberFormat="1" applyBorder="1"/>
    <xf numFmtId="9" fontId="0" fillId="0" borderId="10" xfId="1" applyFont="1" applyBorder="1"/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0" fillId="0" borderId="12" xfId="0" applyBorder="1"/>
    <xf numFmtId="0" fontId="0" fillId="0" borderId="12" xfId="0" applyBorder="1" applyAlignment="1">
      <alignment horizontal="center" vertical="center"/>
    </xf>
    <xf numFmtId="165" fontId="0" fillId="0" borderId="12" xfId="0" applyNumberFormat="1" applyBorder="1"/>
    <xf numFmtId="9" fontId="0" fillId="0" borderId="13" xfId="1" applyFont="1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8" xfId="0" applyBorder="1"/>
    <xf numFmtId="0" fontId="0" fillId="0" borderId="10" xfId="0" applyBorder="1"/>
    <xf numFmtId="0" fontId="0" fillId="0" borderId="11" xfId="0" applyBorder="1"/>
    <xf numFmtId="0" fontId="2" fillId="0" borderId="25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26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22" xfId="0" applyFont="1" applyBorder="1" applyAlignment="1">
      <alignment vertical="center"/>
    </xf>
    <xf numFmtId="0" fontId="0" fillId="0" borderId="9" xfId="0" applyBorder="1" applyAlignment="1">
      <alignment horizontal="center"/>
    </xf>
    <xf numFmtId="0" fontId="0" fillId="0" borderId="12" xfId="0" applyBorder="1" applyAlignment="1">
      <alignment horizontal="center"/>
    </xf>
    <xf numFmtId="0" fontId="2" fillId="0" borderId="28" xfId="0" applyFont="1" applyBorder="1" applyAlignment="1">
      <alignment horizontal="center" vertical="center"/>
    </xf>
    <xf numFmtId="0" fontId="0" fillId="0" borderId="31" xfId="0" applyBorder="1"/>
    <xf numFmtId="0" fontId="2" fillId="0" borderId="9" xfId="0" applyFont="1" applyBorder="1"/>
    <xf numFmtId="0" fontId="2" fillId="0" borderId="12" xfId="0" applyFont="1" applyBorder="1"/>
    <xf numFmtId="0" fontId="2" fillId="0" borderId="23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3" xfId="0" applyFont="1" applyBorder="1" applyAlignment="1">
      <alignment vertical="center"/>
    </xf>
    <xf numFmtId="0" fontId="2" fillId="0" borderId="32" xfId="0" applyFont="1" applyBorder="1" applyAlignment="1">
      <alignment vertical="center"/>
    </xf>
    <xf numFmtId="0" fontId="2" fillId="0" borderId="36" xfId="0" applyFont="1" applyBorder="1"/>
    <xf numFmtId="165" fontId="0" fillId="0" borderId="10" xfId="0" applyNumberFormat="1" applyBorder="1"/>
    <xf numFmtId="165" fontId="0" fillId="0" borderId="13" xfId="0" applyNumberFormat="1" applyBorder="1"/>
    <xf numFmtId="0" fontId="2" fillId="0" borderId="11" xfId="0" applyFont="1" applyBorder="1" applyAlignment="1">
      <alignment horizontal="center" vertical="center" wrapText="1"/>
    </xf>
    <xf numFmtId="0" fontId="0" fillId="0" borderId="37" xfId="0" applyBorder="1" applyAlignment="1">
      <alignment horizontal="center"/>
    </xf>
    <xf numFmtId="165" fontId="0" fillId="0" borderId="37" xfId="0" applyNumberFormat="1" applyBorder="1"/>
    <xf numFmtId="1" fontId="0" fillId="0" borderId="17" xfId="0" applyNumberFormat="1" applyBorder="1"/>
    <xf numFmtId="1" fontId="0" fillId="0" borderId="17" xfId="0" applyNumberFormat="1" applyBorder="1" applyAlignment="1">
      <alignment horizontal="right"/>
    </xf>
    <xf numFmtId="1" fontId="0" fillId="0" borderId="18" xfId="0" applyNumberFormat="1" applyBorder="1" applyAlignment="1">
      <alignment horizontal="right"/>
    </xf>
    <xf numFmtId="165" fontId="0" fillId="0" borderId="18" xfId="0" applyNumberFormat="1" applyBorder="1"/>
    <xf numFmtId="0" fontId="2" fillId="0" borderId="15" xfId="0" applyFont="1" applyBorder="1" applyAlignment="1">
      <alignment vertical="center"/>
    </xf>
    <xf numFmtId="0" fontId="2" fillId="0" borderId="15" xfId="0" applyFont="1" applyBorder="1" applyAlignment="1">
      <alignment horizontal="center" vertical="center"/>
    </xf>
    <xf numFmtId="165" fontId="0" fillId="0" borderId="17" xfId="0" applyNumberFormat="1" applyBorder="1"/>
    <xf numFmtId="1" fontId="0" fillId="0" borderId="37" xfId="0" applyNumberFormat="1" applyBorder="1"/>
    <xf numFmtId="1" fontId="0" fillId="0" borderId="12" xfId="0" applyNumberFormat="1" applyBorder="1"/>
    <xf numFmtId="0" fontId="2" fillId="0" borderId="19" xfId="0" applyFont="1" applyBorder="1" applyAlignment="1">
      <alignment horizontal="center" vertical="center"/>
    </xf>
    <xf numFmtId="0" fontId="2" fillId="7" borderId="15" xfId="0" applyFont="1" applyFill="1" applyBorder="1"/>
    <xf numFmtId="0" fontId="2" fillId="0" borderId="43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 wrapText="1"/>
    </xf>
    <xf numFmtId="0" fontId="0" fillId="0" borderId="40" xfId="0" applyBorder="1"/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0" fillId="0" borderId="46" xfId="0" applyBorder="1"/>
    <xf numFmtId="1" fontId="0" fillId="0" borderId="0" xfId="0" applyNumberFormat="1"/>
    <xf numFmtId="166" fontId="0" fillId="0" borderId="10" xfId="0" applyNumberFormat="1" applyBorder="1"/>
    <xf numFmtId="166" fontId="0" fillId="0" borderId="13" xfId="0" applyNumberFormat="1" applyBorder="1"/>
    <xf numFmtId="1" fontId="0" fillId="0" borderId="13" xfId="0" applyNumberFormat="1" applyBorder="1"/>
    <xf numFmtId="0" fontId="5" fillId="9" borderId="9" xfId="0" applyFont="1" applyFill="1" applyBorder="1"/>
    <xf numFmtId="0" fontId="5" fillId="9" borderId="12" xfId="0" applyFont="1" applyFill="1" applyBorder="1"/>
    <xf numFmtId="0" fontId="5" fillId="9" borderId="15" xfId="0" applyFont="1" applyFill="1" applyBorder="1"/>
    <xf numFmtId="166" fontId="0" fillId="0" borderId="30" xfId="0" applyNumberFormat="1" applyBorder="1"/>
    <xf numFmtId="166" fontId="0" fillId="0" borderId="29" xfId="0" applyNumberFormat="1" applyBorder="1"/>
    <xf numFmtId="166" fontId="0" fillId="0" borderId="11" xfId="0" applyNumberFormat="1" applyBorder="1"/>
    <xf numFmtId="166" fontId="0" fillId="0" borderId="31" xfId="0" applyNumberFormat="1" applyBorder="1"/>
    <xf numFmtId="166" fontId="0" fillId="0" borderId="14" xfId="0" applyNumberFormat="1" applyBorder="1"/>
    <xf numFmtId="1" fontId="0" fillId="3" borderId="8" xfId="0" applyNumberFormat="1" applyFill="1" applyBorder="1"/>
    <xf numFmtId="1" fontId="0" fillId="3" borderId="11" xfId="0" applyNumberFormat="1" applyFill="1" applyBorder="1"/>
    <xf numFmtId="1" fontId="0" fillId="3" borderId="14" xfId="0" applyNumberFormat="1" applyFill="1" applyBorder="1"/>
    <xf numFmtId="0" fontId="0" fillId="3" borderId="10" xfId="0" applyFill="1" applyBorder="1"/>
    <xf numFmtId="0" fontId="0" fillId="3" borderId="13" xfId="0" applyFill="1" applyBorder="1"/>
    <xf numFmtId="0" fontId="0" fillId="3" borderId="16" xfId="0" applyFill="1" applyBorder="1"/>
    <xf numFmtId="0" fontId="0" fillId="10" borderId="9" xfId="0" applyFill="1" applyBorder="1"/>
    <xf numFmtId="0" fontId="0" fillId="10" borderId="12" xfId="0" applyFill="1" applyBorder="1"/>
    <xf numFmtId="0" fontId="0" fillId="10" borderId="15" xfId="0" applyFill="1" applyBorder="1"/>
    <xf numFmtId="2" fontId="2" fillId="7" borderId="15" xfId="0" applyNumberFormat="1" applyFont="1" applyFill="1" applyBorder="1"/>
    <xf numFmtId="1" fontId="6" fillId="6" borderId="1" xfId="0" applyNumberFormat="1" applyFont="1" applyFill="1" applyBorder="1" applyAlignment="1">
      <alignment horizontal="center" vertical="center"/>
    </xf>
    <xf numFmtId="0" fontId="2" fillId="10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9" borderId="6" xfId="0" applyFont="1" applyFill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/>
    </xf>
    <xf numFmtId="0" fontId="2" fillId="0" borderId="11" xfId="0" applyFont="1" applyBorder="1"/>
    <xf numFmtId="0" fontId="8" fillId="0" borderId="12" xfId="0" applyFont="1" applyBorder="1"/>
    <xf numFmtId="0" fontId="3" fillId="0" borderId="14" xfId="0" applyFont="1" applyBorder="1" applyAlignment="1">
      <alignment horizontal="center" vertical="center"/>
    </xf>
    <xf numFmtId="0" fontId="0" fillId="0" borderId="38" xfId="0" applyBorder="1"/>
    <xf numFmtId="165" fontId="8" fillId="0" borderId="12" xfId="0" applyNumberFormat="1" applyFont="1" applyBorder="1"/>
    <xf numFmtId="0" fontId="3" fillId="0" borderId="15" xfId="0" applyFont="1" applyBorder="1" applyAlignment="1">
      <alignment horizontal="right" vertical="center"/>
    </xf>
    <xf numFmtId="165" fontId="3" fillId="0" borderId="15" xfId="0" applyNumberFormat="1" applyFont="1" applyBorder="1" applyAlignment="1">
      <alignment horizontal="right" vertical="center"/>
    </xf>
    <xf numFmtId="9" fontId="0" fillId="0" borderId="38" xfId="1" applyFont="1" applyBorder="1"/>
    <xf numFmtId="166" fontId="8" fillId="0" borderId="12" xfId="0" applyNumberFormat="1" applyFont="1" applyBorder="1"/>
    <xf numFmtId="166" fontId="3" fillId="0" borderId="15" xfId="0" applyNumberFormat="1" applyFont="1" applyBorder="1" applyAlignment="1">
      <alignment horizontal="right" vertical="center"/>
    </xf>
    <xf numFmtId="9" fontId="2" fillId="0" borderId="50" xfId="1" applyFont="1" applyBorder="1" applyAlignment="1">
      <alignment horizontal="right" vertical="center"/>
    </xf>
    <xf numFmtId="164" fontId="0" fillId="0" borderId="11" xfId="2" applyFont="1" applyBorder="1"/>
    <xf numFmtId="164" fontId="0" fillId="0" borderId="12" xfId="2" applyFont="1" applyBorder="1"/>
    <xf numFmtId="164" fontId="0" fillId="0" borderId="13" xfId="2" applyFont="1" applyBorder="1"/>
    <xf numFmtId="164" fontId="0" fillId="0" borderId="30" xfId="2" applyFont="1" applyBorder="1"/>
    <xf numFmtId="164" fontId="0" fillId="0" borderId="37" xfId="2" applyFont="1" applyBorder="1"/>
    <xf numFmtId="164" fontId="0" fillId="0" borderId="50" xfId="2" applyFont="1" applyBorder="1"/>
    <xf numFmtId="1" fontId="3" fillId="0" borderId="51" xfId="0" applyNumberFormat="1" applyFont="1" applyBorder="1" applyAlignment="1">
      <alignment horizontal="center" vertical="center"/>
    </xf>
    <xf numFmtId="0" fontId="2" fillId="3" borderId="52" xfId="0" applyFont="1" applyFill="1" applyBorder="1" applyAlignment="1">
      <alignment vertical="top"/>
    </xf>
    <xf numFmtId="0" fontId="2" fillId="3" borderId="53" xfId="0" applyFont="1" applyFill="1" applyBorder="1" applyAlignment="1">
      <alignment vertical="top"/>
    </xf>
    <xf numFmtId="164" fontId="0" fillId="0" borderId="54" xfId="2" applyFont="1" applyBorder="1"/>
    <xf numFmtId="164" fontId="0" fillId="0" borderId="55" xfId="2" applyFont="1" applyBorder="1"/>
    <xf numFmtId="164" fontId="0" fillId="0" borderId="56" xfId="2" applyFont="1" applyBorder="1"/>
    <xf numFmtId="0" fontId="2" fillId="3" borderId="57" xfId="0" applyFont="1" applyFill="1" applyBorder="1" applyAlignment="1">
      <alignment vertical="top"/>
    </xf>
    <xf numFmtId="164" fontId="0" fillId="0" borderId="58" xfId="2" applyFont="1" applyBorder="1"/>
    <xf numFmtId="164" fontId="0" fillId="0" borderId="59" xfId="2" applyFont="1" applyBorder="1"/>
    <xf numFmtId="164" fontId="0" fillId="0" borderId="60" xfId="2" applyFont="1" applyBorder="1"/>
    <xf numFmtId="0" fontId="2" fillId="3" borderId="62" xfId="0" applyFont="1" applyFill="1" applyBorder="1" applyAlignment="1">
      <alignment vertical="top"/>
    </xf>
    <xf numFmtId="1" fontId="3" fillId="0" borderId="64" xfId="0" applyNumberFormat="1" applyFont="1" applyBorder="1" applyAlignment="1">
      <alignment horizontal="center" vertical="center"/>
    </xf>
    <xf numFmtId="1" fontId="3" fillId="0" borderId="66" xfId="0" applyNumberFormat="1" applyFont="1" applyBorder="1" applyAlignment="1">
      <alignment horizontal="center" vertical="center"/>
    </xf>
    <xf numFmtId="1" fontId="3" fillId="0" borderId="65" xfId="0" applyNumberFormat="1" applyFont="1" applyBorder="1" applyAlignment="1">
      <alignment horizontal="center" vertical="center"/>
    </xf>
    <xf numFmtId="0" fontId="2" fillId="3" borderId="61" xfId="0" applyFont="1" applyFill="1" applyBorder="1" applyAlignment="1">
      <alignment vertical="top"/>
    </xf>
    <xf numFmtId="0" fontId="2" fillId="3" borderId="61" xfId="0" applyFont="1" applyFill="1" applyBorder="1"/>
    <xf numFmtId="0" fontId="2" fillId="3" borderId="52" xfId="0" applyFont="1" applyFill="1" applyBorder="1"/>
    <xf numFmtId="0" fontId="2" fillId="3" borderId="63" xfId="0" applyFont="1" applyFill="1" applyBorder="1"/>
    <xf numFmtId="1" fontId="0" fillId="0" borderId="18" xfId="0" applyNumberFormat="1" applyBorder="1"/>
    <xf numFmtId="1" fontId="0" fillId="0" borderId="9" xfId="0" applyNumberFormat="1" applyBorder="1"/>
    <xf numFmtId="1" fontId="0" fillId="0" borderId="8" xfId="0" applyNumberFormat="1" applyBorder="1"/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166" fontId="2" fillId="0" borderId="14" xfId="0" applyNumberFormat="1" applyFont="1" applyBorder="1" applyAlignment="1">
      <alignment horizontal="center" vertical="center"/>
    </xf>
    <xf numFmtId="166" fontId="2" fillId="0" borderId="16" xfId="0" applyNumberFormat="1" applyFont="1" applyBorder="1" applyAlignment="1">
      <alignment horizontal="center" vertical="center"/>
    </xf>
    <xf numFmtId="9" fontId="0" fillId="0" borderId="0" xfId="1" applyFont="1"/>
    <xf numFmtId="165" fontId="0" fillId="0" borderId="0" xfId="0" applyNumberFormat="1"/>
    <xf numFmtId="166" fontId="0" fillId="0" borderId="17" xfId="0" applyNumberFormat="1" applyBorder="1"/>
    <xf numFmtId="0" fontId="9" fillId="0" borderId="9" xfId="0" applyFont="1" applyBorder="1"/>
    <xf numFmtId="0" fontId="10" fillId="0" borderId="9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/>
    </xf>
    <xf numFmtId="1" fontId="10" fillId="0" borderId="17" xfId="0" applyNumberFormat="1" applyFont="1" applyBorder="1" applyAlignment="1">
      <alignment horizontal="right"/>
    </xf>
    <xf numFmtId="165" fontId="10" fillId="0" borderId="9" xfId="0" applyNumberFormat="1" applyFont="1" applyBorder="1"/>
    <xf numFmtId="166" fontId="10" fillId="0" borderId="29" xfId="0" applyNumberFormat="1" applyFont="1" applyBorder="1"/>
    <xf numFmtId="0" fontId="11" fillId="9" borderId="9" xfId="0" applyFont="1" applyFill="1" applyBorder="1"/>
    <xf numFmtId="0" fontId="10" fillId="0" borderId="10" xfId="0" applyFont="1" applyBorder="1"/>
    <xf numFmtId="1" fontId="10" fillId="3" borderId="8" xfId="0" applyNumberFormat="1" applyFont="1" applyFill="1" applyBorder="1"/>
    <xf numFmtId="1" fontId="10" fillId="0" borderId="9" xfId="0" applyNumberFormat="1" applyFont="1" applyBorder="1"/>
    <xf numFmtId="0" fontId="10" fillId="3" borderId="10" xfId="0" applyFont="1" applyFill="1" applyBorder="1"/>
    <xf numFmtId="1" fontId="10" fillId="0" borderId="8" xfId="0" applyNumberFormat="1" applyFont="1" applyBorder="1"/>
    <xf numFmtId="166" fontId="10" fillId="0" borderId="10" xfId="0" applyNumberFormat="1" applyFont="1" applyBorder="1"/>
    <xf numFmtId="0" fontId="10" fillId="0" borderId="20" xfId="0" applyFont="1" applyBorder="1"/>
    <xf numFmtId="0" fontId="10" fillId="10" borderId="9" xfId="0" applyFont="1" applyFill="1" applyBorder="1"/>
    <xf numFmtId="0" fontId="10" fillId="0" borderId="9" xfId="0" applyFont="1" applyBorder="1"/>
    <xf numFmtId="9" fontId="10" fillId="0" borderId="10" xfId="1" applyFont="1" applyBorder="1"/>
    <xf numFmtId="0" fontId="10" fillId="0" borderId="0" xfId="0" applyFont="1"/>
    <xf numFmtId="164" fontId="10" fillId="0" borderId="11" xfId="2" applyFont="1" applyBorder="1"/>
    <xf numFmtId="164" fontId="10" fillId="0" borderId="12" xfId="2" applyFont="1" applyBorder="1"/>
    <xf numFmtId="164" fontId="10" fillId="0" borderId="13" xfId="2" applyFont="1" applyBorder="1"/>
    <xf numFmtId="0" fontId="9" fillId="0" borderId="11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12" xfId="0" applyFont="1" applyBorder="1"/>
    <xf numFmtId="0" fontId="10" fillId="0" borderId="12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/>
    </xf>
    <xf numFmtId="1" fontId="10" fillId="0" borderId="18" xfId="0" applyNumberFormat="1" applyFont="1" applyBorder="1" applyAlignment="1">
      <alignment horizontal="right"/>
    </xf>
    <xf numFmtId="165" fontId="10" fillId="0" borderId="12" xfId="0" applyNumberFormat="1" applyFont="1" applyBorder="1"/>
    <xf numFmtId="166" fontId="10" fillId="0" borderId="30" xfId="0" applyNumberFormat="1" applyFont="1" applyBorder="1"/>
    <xf numFmtId="0" fontId="11" fillId="9" borderId="12" xfId="0" applyFont="1" applyFill="1" applyBorder="1"/>
    <xf numFmtId="0" fontId="10" fillId="0" borderId="13" xfId="0" applyFont="1" applyBorder="1"/>
    <xf numFmtId="1" fontId="10" fillId="3" borderId="11" xfId="0" applyNumberFormat="1" applyFont="1" applyFill="1" applyBorder="1"/>
    <xf numFmtId="0" fontId="10" fillId="0" borderId="12" xfId="0" applyFont="1" applyBorder="1"/>
    <xf numFmtId="0" fontId="10" fillId="3" borderId="13" xfId="0" applyFont="1" applyFill="1" applyBorder="1"/>
    <xf numFmtId="0" fontId="10" fillId="0" borderId="11" xfId="0" applyFont="1" applyBorder="1"/>
    <xf numFmtId="166" fontId="10" fillId="0" borderId="13" xfId="0" applyNumberFormat="1" applyFont="1" applyBorder="1"/>
    <xf numFmtId="0" fontId="10" fillId="0" borderId="21" xfId="0" applyFont="1" applyBorder="1"/>
    <xf numFmtId="0" fontId="10" fillId="10" borderId="12" xfId="0" applyFont="1" applyFill="1" applyBorder="1"/>
    <xf numFmtId="9" fontId="10" fillId="0" borderId="13" xfId="1" applyFont="1" applyBorder="1"/>
    <xf numFmtId="165" fontId="10" fillId="0" borderId="18" xfId="0" applyNumberFormat="1" applyFont="1" applyBorder="1"/>
    <xf numFmtId="166" fontId="10" fillId="0" borderId="11" xfId="0" applyNumberFormat="1" applyFont="1" applyBorder="1"/>
    <xf numFmtId="0" fontId="10" fillId="0" borderId="31" xfId="0" applyFont="1" applyBorder="1"/>
    <xf numFmtId="165" fontId="10" fillId="0" borderId="13" xfId="0" applyNumberFormat="1" applyFont="1" applyBorder="1"/>
    <xf numFmtId="166" fontId="10" fillId="0" borderId="31" xfId="0" applyNumberFormat="1" applyFont="1" applyBorder="1"/>
    <xf numFmtId="1" fontId="10" fillId="0" borderId="12" xfId="0" applyNumberFormat="1" applyFont="1" applyBorder="1"/>
    <xf numFmtId="164" fontId="10" fillId="0" borderId="58" xfId="2" applyFont="1" applyBorder="1"/>
    <xf numFmtId="164" fontId="10" fillId="0" borderId="59" xfId="2" applyFont="1" applyBorder="1"/>
    <xf numFmtId="164" fontId="10" fillId="0" borderId="60" xfId="2" applyFont="1" applyBorder="1"/>
    <xf numFmtId="0" fontId="9" fillId="0" borderId="26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15" xfId="0" applyFont="1" applyBorder="1" applyAlignment="1">
      <alignment vertical="center"/>
    </xf>
    <xf numFmtId="0" fontId="10" fillId="0" borderId="15" xfId="0" applyFont="1" applyBorder="1"/>
    <xf numFmtId="166" fontId="10" fillId="0" borderId="14" xfId="0" applyNumberFormat="1" applyFont="1" applyBorder="1"/>
    <xf numFmtId="0" fontId="11" fillId="9" borderId="15" xfId="0" applyFont="1" applyFill="1" applyBorder="1"/>
    <xf numFmtId="0" fontId="10" fillId="0" borderId="16" xfId="0" applyFont="1" applyBorder="1"/>
    <xf numFmtId="1" fontId="10" fillId="3" borderId="14" xfId="0" applyNumberFormat="1" applyFont="1" applyFill="1" applyBorder="1"/>
    <xf numFmtId="0" fontId="10" fillId="3" borderId="16" xfId="0" applyFont="1" applyFill="1" applyBorder="1"/>
    <xf numFmtId="0" fontId="10" fillId="0" borderId="14" xfId="0" applyFont="1" applyBorder="1"/>
    <xf numFmtId="0" fontId="10" fillId="0" borderId="22" xfId="0" applyFont="1" applyBorder="1"/>
    <xf numFmtId="0" fontId="10" fillId="10" borderId="15" xfId="0" applyFont="1" applyFill="1" applyBorder="1"/>
    <xf numFmtId="2" fontId="9" fillId="7" borderId="15" xfId="0" applyNumberFormat="1" applyFont="1" applyFill="1" applyBorder="1"/>
    <xf numFmtId="0" fontId="9" fillId="7" borderId="15" xfId="0" applyFont="1" applyFill="1" applyBorder="1"/>
    <xf numFmtId="0" fontId="9" fillId="3" borderId="62" xfId="0" applyFont="1" applyFill="1" applyBorder="1" applyAlignment="1">
      <alignment vertical="top"/>
    </xf>
    <xf numFmtId="0" fontId="9" fillId="3" borderId="52" xfId="0" applyFont="1" applyFill="1" applyBorder="1" applyAlignment="1">
      <alignment vertical="top"/>
    </xf>
    <xf numFmtId="0" fontId="9" fillId="3" borderId="53" xfId="0" applyFont="1" applyFill="1" applyBorder="1" applyAlignment="1">
      <alignment vertical="top"/>
    </xf>
    <xf numFmtId="0" fontId="9" fillId="3" borderId="57" xfId="0" applyFont="1" applyFill="1" applyBorder="1" applyAlignment="1">
      <alignment vertical="top"/>
    </xf>
    <xf numFmtId="165" fontId="10" fillId="0" borderId="17" xfId="0" applyNumberFormat="1" applyFont="1" applyBorder="1"/>
    <xf numFmtId="0" fontId="10" fillId="0" borderId="8" xfId="0" applyFont="1" applyBorder="1"/>
    <xf numFmtId="165" fontId="10" fillId="0" borderId="10" xfId="0" applyNumberFormat="1" applyFont="1" applyBorder="1"/>
    <xf numFmtId="164" fontId="10" fillId="0" borderId="54" xfId="2" applyFont="1" applyBorder="1"/>
    <xf numFmtId="164" fontId="10" fillId="0" borderId="55" xfId="2" applyFont="1" applyBorder="1"/>
    <xf numFmtId="164" fontId="10" fillId="0" borderId="56" xfId="2" applyFont="1" applyBorder="1"/>
    <xf numFmtId="1" fontId="10" fillId="0" borderId="13" xfId="0" applyNumberFormat="1" applyFont="1" applyBorder="1"/>
    <xf numFmtId="0" fontId="9" fillId="0" borderId="36" xfId="0" applyFont="1" applyBorder="1"/>
    <xf numFmtId="0" fontId="10" fillId="0" borderId="37" xfId="0" applyFont="1" applyBorder="1" applyAlignment="1">
      <alignment horizontal="center"/>
    </xf>
    <xf numFmtId="1" fontId="10" fillId="0" borderId="37" xfId="0" applyNumberFormat="1" applyFont="1" applyBorder="1"/>
    <xf numFmtId="165" fontId="10" fillId="0" borderId="37" xfId="0" applyNumberFormat="1" applyFont="1" applyBorder="1"/>
    <xf numFmtId="0" fontId="9" fillId="0" borderId="27" xfId="0" applyFont="1" applyBorder="1" applyAlignment="1">
      <alignment horizontal="center" vertical="center"/>
    </xf>
    <xf numFmtId="0" fontId="9" fillId="0" borderId="22" xfId="0" applyFont="1" applyBorder="1" applyAlignment="1">
      <alignment vertical="center"/>
    </xf>
    <xf numFmtId="166" fontId="10" fillId="0" borderId="17" xfId="0" applyNumberFormat="1" applyFont="1" applyBorder="1"/>
    <xf numFmtId="1" fontId="10" fillId="0" borderId="18" xfId="0" applyNumberFormat="1" applyFont="1" applyBorder="1"/>
    <xf numFmtId="164" fontId="10" fillId="0" borderId="30" xfId="2" applyFont="1" applyBorder="1"/>
    <xf numFmtId="164" fontId="10" fillId="0" borderId="37" xfId="2" applyFont="1" applyBorder="1"/>
    <xf numFmtId="164" fontId="10" fillId="0" borderId="50" xfId="2" applyFont="1" applyBorder="1"/>
    <xf numFmtId="0" fontId="9" fillId="0" borderId="19" xfId="0" applyFont="1" applyBorder="1" applyAlignment="1">
      <alignment horizontal="center" vertical="center"/>
    </xf>
    <xf numFmtId="0" fontId="9" fillId="3" borderId="61" xfId="0" applyFont="1" applyFill="1" applyBorder="1"/>
    <xf numFmtId="0" fontId="9" fillId="3" borderId="52" xfId="0" applyFont="1" applyFill="1" applyBorder="1"/>
    <xf numFmtId="0" fontId="9" fillId="3" borderId="63" xfId="0" applyFont="1" applyFill="1" applyBorder="1"/>
    <xf numFmtId="0" fontId="9" fillId="0" borderId="43" xfId="0" applyFont="1" applyBorder="1" applyAlignment="1">
      <alignment horizontal="center" vertical="center"/>
    </xf>
    <xf numFmtId="0" fontId="9" fillId="3" borderId="61" xfId="0" applyFont="1" applyFill="1" applyBorder="1" applyAlignment="1">
      <alignment vertical="top"/>
    </xf>
    <xf numFmtId="0" fontId="9" fillId="0" borderId="26" xfId="0" applyFont="1" applyBorder="1" applyAlignment="1">
      <alignment horizontal="center" vertical="center" wrapText="1"/>
    </xf>
    <xf numFmtId="0" fontId="9" fillId="0" borderId="28" xfId="0" applyFont="1" applyBorder="1" applyAlignment="1">
      <alignment horizontal="center" vertical="center"/>
    </xf>
    <xf numFmtId="0" fontId="10" fillId="0" borderId="19" xfId="0" applyFont="1" applyBorder="1"/>
    <xf numFmtId="1" fontId="12" fillId="6" borderId="1" xfId="0" applyNumberFormat="1" applyFont="1" applyFill="1" applyBorder="1" applyAlignment="1">
      <alignment horizontal="center" vertical="center"/>
    </xf>
    <xf numFmtId="0" fontId="10" fillId="0" borderId="46" xfId="0" applyFont="1" applyBorder="1"/>
    <xf numFmtId="1" fontId="9" fillId="0" borderId="51" xfId="0" applyNumberFormat="1" applyFont="1" applyBorder="1" applyAlignment="1">
      <alignment horizontal="center" vertical="center"/>
    </xf>
    <xf numFmtId="1" fontId="9" fillId="0" borderId="64" xfId="0" applyNumberFormat="1" applyFont="1" applyBorder="1" applyAlignment="1">
      <alignment horizontal="center" vertical="center"/>
    </xf>
    <xf numFmtId="1" fontId="9" fillId="0" borderId="65" xfId="0" applyNumberFormat="1" applyFont="1" applyBorder="1" applyAlignment="1">
      <alignment horizontal="center" vertical="center"/>
    </xf>
    <xf numFmtId="1" fontId="9" fillId="0" borderId="66" xfId="0" applyNumberFormat="1" applyFont="1" applyBorder="1" applyAlignment="1">
      <alignment horizontal="center" vertical="center"/>
    </xf>
    <xf numFmtId="0" fontId="10" fillId="0" borderId="40" xfId="0" applyFont="1" applyBorder="1"/>
    <xf numFmtId="1" fontId="10" fillId="0" borderId="0" xfId="0" applyNumberFormat="1" applyFont="1"/>
    <xf numFmtId="0" fontId="9" fillId="0" borderId="12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11" xfId="0" applyFont="1" applyBorder="1"/>
    <xf numFmtId="166" fontId="10" fillId="0" borderId="12" xfId="0" applyNumberFormat="1" applyFont="1" applyBorder="1"/>
    <xf numFmtId="9" fontId="10" fillId="0" borderId="0" xfId="1" applyFont="1"/>
    <xf numFmtId="165" fontId="10" fillId="0" borderId="0" xfId="0" applyNumberFormat="1" applyFont="1"/>
    <xf numFmtId="0" fontId="9" fillId="0" borderId="14" xfId="0" applyFont="1" applyBorder="1" applyAlignment="1">
      <alignment horizontal="center" vertical="center"/>
    </xf>
    <xf numFmtId="0" fontId="9" fillId="0" borderId="15" xfId="0" applyFont="1" applyBorder="1" applyAlignment="1">
      <alignment horizontal="right" vertical="center"/>
    </xf>
    <xf numFmtId="166" fontId="9" fillId="0" borderId="15" xfId="0" applyNumberFormat="1" applyFont="1" applyBorder="1" applyAlignment="1">
      <alignment horizontal="right" vertical="center"/>
    </xf>
    <xf numFmtId="165" fontId="9" fillId="0" borderId="15" xfId="0" applyNumberFormat="1" applyFont="1" applyBorder="1" applyAlignment="1">
      <alignment horizontal="right" vertical="center"/>
    </xf>
    <xf numFmtId="9" fontId="10" fillId="0" borderId="38" xfId="1" applyFont="1" applyBorder="1"/>
    <xf numFmtId="166" fontId="9" fillId="0" borderId="14" xfId="0" applyNumberFormat="1" applyFont="1" applyBorder="1" applyAlignment="1">
      <alignment horizontal="center" vertical="center"/>
    </xf>
    <xf numFmtId="166" fontId="9" fillId="0" borderId="16" xfId="0" applyNumberFormat="1" applyFont="1" applyBorder="1" applyAlignment="1">
      <alignment horizontal="center" vertical="center"/>
    </xf>
    <xf numFmtId="167" fontId="9" fillId="6" borderId="50" xfId="1" applyNumberFormat="1" applyFont="1" applyFill="1" applyBorder="1" applyAlignment="1">
      <alignment horizontal="right" vertical="center"/>
    </xf>
    <xf numFmtId="167" fontId="0" fillId="0" borderId="13" xfId="1" applyNumberFormat="1" applyFont="1" applyBorder="1"/>
    <xf numFmtId="166" fontId="0" fillId="0" borderId="12" xfId="0" applyNumberFormat="1" applyBorder="1"/>
    <xf numFmtId="0" fontId="2" fillId="0" borderId="0" xfId="0" applyFont="1" applyAlignment="1">
      <alignment horizontal="center" vertical="center"/>
    </xf>
    <xf numFmtId="166" fontId="0" fillId="0" borderId="0" xfId="0" applyNumberFormat="1"/>
    <xf numFmtId="166" fontId="2" fillId="0" borderId="0" xfId="0" applyNumberFormat="1" applyFont="1" applyAlignment="1">
      <alignment horizontal="center" vertical="center"/>
    </xf>
    <xf numFmtId="0" fontId="14" fillId="0" borderId="12" xfId="0" applyFont="1" applyBorder="1" applyAlignment="1">
      <alignment horizontal="center" vertical="center" wrapText="1"/>
    </xf>
    <xf numFmtId="9" fontId="0" fillId="0" borderId="0" xfId="1" applyFont="1" applyBorder="1"/>
    <xf numFmtId="0" fontId="2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2" fillId="0" borderId="0" xfId="0" applyFont="1"/>
    <xf numFmtId="0" fontId="8" fillId="0" borderId="0" xfId="0" applyFont="1"/>
    <xf numFmtId="166" fontId="8" fillId="0" borderId="0" xfId="0" applyNumberFormat="1" applyFont="1"/>
    <xf numFmtId="165" fontId="8" fillId="0" borderId="0" xfId="0" applyNumberFormat="1" applyFont="1"/>
    <xf numFmtId="167" fontId="0" fillId="0" borderId="0" xfId="1" applyNumberFormat="1" applyFont="1" applyFill="1" applyBorder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166" fontId="3" fillId="0" borderId="0" xfId="0" applyNumberFormat="1" applyFont="1" applyAlignment="1">
      <alignment horizontal="right" vertical="center"/>
    </xf>
    <xf numFmtId="165" fontId="3" fillId="0" borderId="0" xfId="0" applyNumberFormat="1" applyFont="1" applyAlignment="1">
      <alignment horizontal="right" vertical="center"/>
    </xf>
    <xf numFmtId="0" fontId="3" fillId="0" borderId="0" xfId="0" applyFont="1"/>
    <xf numFmtId="1" fontId="2" fillId="0" borderId="15" xfId="0" applyNumberFormat="1" applyFont="1" applyBorder="1" applyAlignment="1">
      <alignment horizontal="right" vertical="center"/>
    </xf>
    <xf numFmtId="165" fontId="2" fillId="0" borderId="15" xfId="0" applyNumberFormat="1" applyFont="1" applyBorder="1" applyAlignment="1">
      <alignment horizontal="right" vertical="center"/>
    </xf>
    <xf numFmtId="167" fontId="2" fillId="0" borderId="16" xfId="1" applyNumberFormat="1" applyFont="1" applyBorder="1" applyAlignment="1">
      <alignment horizontal="right" vertical="center"/>
    </xf>
    <xf numFmtId="0" fontId="2" fillId="6" borderId="7" xfId="0" applyFont="1" applyFill="1" applyBorder="1" applyAlignment="1">
      <alignment horizontal="center" vertical="center" wrapText="1"/>
    </xf>
    <xf numFmtId="165" fontId="2" fillId="0" borderId="10" xfId="0" applyNumberFormat="1" applyFont="1" applyBorder="1"/>
    <xf numFmtId="165" fontId="2" fillId="0" borderId="13" xfId="0" applyNumberFormat="1" applyFont="1" applyBorder="1"/>
    <xf numFmtId="165" fontId="2" fillId="6" borderId="16" xfId="0" applyNumberFormat="1" applyFont="1" applyFill="1" applyBorder="1"/>
    <xf numFmtId="166" fontId="0" fillId="0" borderId="18" xfId="0" applyNumberFormat="1" applyBorder="1"/>
    <xf numFmtId="0" fontId="2" fillId="8" borderId="8" xfId="0" applyFont="1" applyFill="1" applyBorder="1" applyAlignment="1">
      <alignment vertical="center"/>
    </xf>
    <xf numFmtId="0" fontId="2" fillId="8" borderId="9" xfId="0" applyFont="1" applyFill="1" applyBorder="1" applyAlignment="1">
      <alignment vertical="center"/>
    </xf>
    <xf numFmtId="0" fontId="2" fillId="8" borderId="10" xfId="0" applyFont="1" applyFill="1" applyBorder="1" applyAlignment="1">
      <alignment vertical="center"/>
    </xf>
    <xf numFmtId="0" fontId="2" fillId="8" borderId="17" xfId="0" applyFont="1" applyFill="1" applyBorder="1" applyAlignment="1">
      <alignment vertical="center"/>
    </xf>
    <xf numFmtId="164" fontId="0" fillId="0" borderId="18" xfId="2" applyFont="1" applyBorder="1"/>
    <xf numFmtId="164" fontId="2" fillId="3" borderId="57" xfId="0" applyNumberFormat="1" applyFont="1" applyFill="1" applyBorder="1" applyAlignment="1">
      <alignment vertical="top"/>
    </xf>
    <xf numFmtId="164" fontId="2" fillId="3" borderId="52" xfId="0" applyNumberFormat="1" applyFont="1" applyFill="1" applyBorder="1" applyAlignment="1">
      <alignment vertical="top"/>
    </xf>
    <xf numFmtId="164" fontId="2" fillId="3" borderId="52" xfId="0" applyNumberFormat="1" applyFont="1" applyFill="1" applyBorder="1"/>
    <xf numFmtId="0" fontId="2" fillId="3" borderId="63" xfId="0" applyFont="1" applyFill="1" applyBorder="1" applyAlignment="1">
      <alignment vertical="top"/>
    </xf>
    <xf numFmtId="164" fontId="2" fillId="3" borderId="53" xfId="0" applyNumberFormat="1" applyFont="1" applyFill="1" applyBorder="1" applyAlignment="1">
      <alignment vertical="top"/>
    </xf>
    <xf numFmtId="0" fontId="2" fillId="0" borderId="31" xfId="0" applyFont="1" applyBorder="1" applyAlignment="1">
      <alignment horizontal="center"/>
    </xf>
    <xf numFmtId="166" fontId="2" fillId="0" borderId="12" xfId="0" applyNumberFormat="1" applyFont="1" applyBorder="1"/>
    <xf numFmtId="0" fontId="2" fillId="0" borderId="41" xfId="0" applyFont="1" applyBorder="1" applyAlignment="1">
      <alignment horizontal="center" vertical="center" wrapText="1"/>
    </xf>
    <xf numFmtId="0" fontId="2" fillId="0" borderId="38" xfId="0" applyFont="1" applyBorder="1" applyAlignment="1">
      <alignment horizontal="center" vertical="center" wrapText="1"/>
    </xf>
    <xf numFmtId="0" fontId="2" fillId="0" borderId="42" xfId="0" applyFont="1" applyBorder="1" applyAlignment="1">
      <alignment horizontal="center" vertical="center" wrapText="1"/>
    </xf>
    <xf numFmtId="0" fontId="2" fillId="0" borderId="45" xfId="0" applyFont="1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3" fillId="6" borderId="47" xfId="0" applyFont="1" applyFill="1" applyBorder="1" applyAlignment="1">
      <alignment horizontal="center" vertical="center"/>
    </xf>
    <xf numFmtId="0" fontId="3" fillId="6" borderId="48" xfId="0" applyFont="1" applyFill="1" applyBorder="1" applyAlignment="1">
      <alignment horizontal="center" vertical="center"/>
    </xf>
    <xf numFmtId="0" fontId="3" fillId="6" borderId="49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3" fillId="5" borderId="24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/>
    </xf>
    <xf numFmtId="0" fontId="3" fillId="6" borderId="33" xfId="0" applyFont="1" applyFill="1" applyBorder="1" applyAlignment="1">
      <alignment horizontal="center" vertical="center"/>
    </xf>
    <xf numFmtId="0" fontId="3" fillId="6" borderId="34" xfId="0" applyFont="1" applyFill="1" applyBorder="1" applyAlignment="1">
      <alignment horizontal="center" vertical="center"/>
    </xf>
    <xf numFmtId="0" fontId="3" fillId="6" borderId="35" xfId="0" applyFont="1" applyFill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6" borderId="47" xfId="0" applyFont="1" applyFill="1" applyBorder="1" applyAlignment="1">
      <alignment horizontal="center"/>
    </xf>
    <xf numFmtId="0" fontId="3" fillId="6" borderId="48" xfId="0" applyFont="1" applyFill="1" applyBorder="1" applyAlignment="1">
      <alignment horizontal="center"/>
    </xf>
    <xf numFmtId="0" fontId="3" fillId="6" borderId="49" xfId="0" applyFont="1" applyFill="1" applyBorder="1" applyAlignment="1">
      <alignment horizontal="center"/>
    </xf>
    <xf numFmtId="0" fontId="2" fillId="8" borderId="8" xfId="0" applyFont="1" applyFill="1" applyBorder="1" applyAlignment="1">
      <alignment horizontal="center" vertical="center"/>
    </xf>
    <xf numFmtId="0" fontId="2" fillId="8" borderId="9" xfId="0" applyFont="1" applyFill="1" applyBorder="1" applyAlignment="1">
      <alignment horizontal="center" vertical="center"/>
    </xf>
    <xf numFmtId="0" fontId="2" fillId="8" borderId="10" xfId="0" applyFont="1" applyFill="1" applyBorder="1" applyAlignment="1">
      <alignment horizontal="center" vertical="center"/>
    </xf>
    <xf numFmtId="0" fontId="9" fillId="0" borderId="41" xfId="0" applyFont="1" applyBorder="1" applyAlignment="1">
      <alignment horizontal="center" vertical="center" wrapText="1"/>
    </xf>
    <xf numFmtId="0" fontId="9" fillId="0" borderId="38" xfId="0" applyFont="1" applyBorder="1" applyAlignment="1">
      <alignment horizontal="center" vertical="center" wrapText="1"/>
    </xf>
    <xf numFmtId="0" fontId="9" fillId="0" borderId="42" xfId="0" applyFont="1" applyBorder="1" applyAlignment="1">
      <alignment horizontal="center" vertical="center" wrapText="1"/>
    </xf>
    <xf numFmtId="0" fontId="9" fillId="0" borderId="45" xfId="0" applyFont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0" borderId="44" xfId="0" applyFont="1" applyBorder="1" applyAlignment="1">
      <alignment horizontal="center" vertical="center"/>
    </xf>
    <xf numFmtId="0" fontId="9" fillId="6" borderId="47" xfId="0" applyFont="1" applyFill="1" applyBorder="1" applyAlignment="1">
      <alignment horizontal="center"/>
    </xf>
    <xf numFmtId="0" fontId="9" fillId="6" borderId="48" xfId="0" applyFont="1" applyFill="1" applyBorder="1" applyAlignment="1">
      <alignment horizontal="center"/>
    </xf>
    <xf numFmtId="0" fontId="9" fillId="6" borderId="49" xfId="0" applyFont="1" applyFill="1" applyBorder="1" applyAlignment="1">
      <alignment horizontal="center"/>
    </xf>
    <xf numFmtId="0" fontId="9" fillId="0" borderId="8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2" fillId="6" borderId="8" xfId="0" applyFont="1" applyFill="1" applyBorder="1" applyAlignment="1">
      <alignment horizontal="center" vertical="center"/>
    </xf>
    <xf numFmtId="0" fontId="2" fillId="6" borderId="9" xfId="0" applyFont="1" applyFill="1" applyBorder="1" applyAlignment="1">
      <alignment horizontal="center" vertical="center"/>
    </xf>
    <xf numFmtId="0" fontId="2" fillId="6" borderId="10" xfId="0" applyFont="1" applyFill="1" applyBorder="1" applyAlignment="1">
      <alignment horizontal="center" vertical="center"/>
    </xf>
    <xf numFmtId="0" fontId="3" fillId="6" borderId="8" xfId="0" applyFont="1" applyFill="1" applyBorder="1" applyAlignment="1">
      <alignment horizontal="center" vertical="center"/>
    </xf>
    <xf numFmtId="0" fontId="3" fillId="6" borderId="9" xfId="0" applyFont="1" applyFill="1" applyBorder="1" applyAlignment="1">
      <alignment horizontal="center" vertical="center"/>
    </xf>
    <xf numFmtId="0" fontId="3" fillId="6" borderId="10" xfId="0" applyFont="1" applyFill="1" applyBorder="1" applyAlignment="1">
      <alignment horizontal="center" vertic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A863D-3C99-49F4-8415-6AF1E999B5F1}">
  <dimension ref="A1:AB49"/>
  <sheetViews>
    <sheetView workbookViewId="0">
      <pane xSplit="7" ySplit="3" topLeftCell="O27" activePane="bottomRight" state="frozen"/>
      <selection pane="topRight" activeCell="H1" sqref="H1"/>
      <selection pane="bottomLeft" activeCell="A4" sqref="A4"/>
      <selection pane="bottomRight" activeCell="T42" sqref="T42"/>
    </sheetView>
  </sheetViews>
  <sheetFormatPr defaultRowHeight="14.5" x14ac:dyDescent="0.35"/>
  <cols>
    <col min="1" max="1" width="11" customWidth="1"/>
    <col min="2" max="2" width="7.81640625" customWidth="1"/>
    <col min="3" max="3" width="20" customWidth="1"/>
    <col min="4" max="4" width="9.1796875" customWidth="1"/>
    <col min="5" max="5" width="9.26953125" customWidth="1"/>
    <col min="6" max="6" width="10" customWidth="1"/>
    <col min="7" max="7" width="8.1796875" customWidth="1"/>
    <col min="8" max="8" width="12.54296875" customWidth="1"/>
    <col min="9" max="9" width="12.453125" customWidth="1"/>
    <col min="10" max="10" width="11" customWidth="1"/>
    <col min="11" max="11" width="9.453125" customWidth="1"/>
    <col min="12" max="12" width="11" customWidth="1"/>
    <col min="13" max="13" width="13.54296875" customWidth="1"/>
    <col min="14" max="14" width="14.81640625" customWidth="1"/>
    <col min="15" max="15" width="16" customWidth="1"/>
    <col min="16" max="16" width="11.26953125" customWidth="1"/>
    <col min="17" max="18" width="9.54296875" customWidth="1"/>
    <col min="19" max="20" width="10.81640625" customWidth="1"/>
    <col min="21" max="21" width="12.7265625" customWidth="1"/>
    <col min="22" max="22" width="8.7265625" customWidth="1"/>
    <col min="23" max="23" width="11.453125" customWidth="1"/>
    <col min="24" max="24" width="11" customWidth="1"/>
  </cols>
  <sheetData>
    <row r="1" spans="1:28" ht="22.5" customHeight="1" thickBot="1" x14ac:dyDescent="0.4">
      <c r="A1" s="308" t="s">
        <v>36</v>
      </c>
      <c r="B1" s="309"/>
      <c r="C1" s="309"/>
      <c r="D1" s="309"/>
      <c r="E1" s="309"/>
      <c r="F1" s="310"/>
    </row>
    <row r="2" spans="1:28" ht="22.5" customHeight="1" thickBot="1" x14ac:dyDescent="0.4">
      <c r="A2" s="311" t="s">
        <v>62</v>
      </c>
      <c r="B2" s="312"/>
      <c r="C2" s="312"/>
      <c r="D2" s="312"/>
      <c r="E2" s="312"/>
      <c r="F2" s="312"/>
      <c r="G2" s="313"/>
      <c r="H2" s="314" t="s">
        <v>22</v>
      </c>
      <c r="I2" s="315"/>
      <c r="J2" s="316"/>
      <c r="K2" s="317" t="s">
        <v>23</v>
      </c>
      <c r="L2" s="318"/>
      <c r="M2" s="319"/>
      <c r="N2" s="320" t="s">
        <v>24</v>
      </c>
      <c r="O2" s="321"/>
      <c r="P2" s="305" t="s">
        <v>25</v>
      </c>
      <c r="Q2" s="306"/>
      <c r="R2" s="306"/>
      <c r="S2" s="306"/>
      <c r="T2" s="306"/>
      <c r="U2" s="307"/>
      <c r="W2" s="325" t="s">
        <v>43</v>
      </c>
      <c r="X2" s="326"/>
      <c r="Y2" s="326"/>
      <c r="Z2" s="326"/>
      <c r="AA2" s="327"/>
    </row>
    <row r="3" spans="1:28" ht="58.5" thickBot="1" x14ac:dyDescent="0.4">
      <c r="A3" s="39" t="s">
        <v>6</v>
      </c>
      <c r="B3" s="38" t="s">
        <v>7</v>
      </c>
      <c r="C3" s="38" t="s">
        <v>0</v>
      </c>
      <c r="D3" s="37" t="s">
        <v>15</v>
      </c>
      <c r="E3" s="38" t="s">
        <v>1</v>
      </c>
      <c r="F3" s="36" t="s">
        <v>27</v>
      </c>
      <c r="G3" s="37" t="s">
        <v>19</v>
      </c>
      <c r="H3" s="25" t="s">
        <v>4</v>
      </c>
      <c r="I3" s="89" t="s">
        <v>44</v>
      </c>
      <c r="J3" s="26" t="s">
        <v>29</v>
      </c>
      <c r="K3" s="88" t="s">
        <v>3</v>
      </c>
      <c r="L3" s="1" t="s">
        <v>28</v>
      </c>
      <c r="M3" s="87" t="s">
        <v>5</v>
      </c>
      <c r="N3" s="25" t="s">
        <v>20</v>
      </c>
      <c r="O3" s="26" t="s">
        <v>21</v>
      </c>
      <c r="P3" s="24" t="s">
        <v>8</v>
      </c>
      <c r="Q3" s="86" t="s">
        <v>9</v>
      </c>
      <c r="R3" s="2" t="s">
        <v>10</v>
      </c>
      <c r="S3" s="1" t="s">
        <v>26</v>
      </c>
      <c r="T3" s="1" t="s">
        <v>11</v>
      </c>
      <c r="U3" s="1" t="s">
        <v>30</v>
      </c>
      <c r="W3" s="43" t="s">
        <v>2</v>
      </c>
      <c r="X3" s="60" t="s">
        <v>3</v>
      </c>
      <c r="Y3" s="60" t="s">
        <v>28</v>
      </c>
      <c r="Z3" s="60" t="s">
        <v>5</v>
      </c>
      <c r="AA3" s="61" t="s">
        <v>26</v>
      </c>
    </row>
    <row r="4" spans="1:28" ht="20.25" customHeight="1" x14ac:dyDescent="0.35">
      <c r="A4" s="301" t="s">
        <v>37</v>
      </c>
      <c r="B4" s="303">
        <v>1113</v>
      </c>
      <c r="C4" s="34" t="s">
        <v>55</v>
      </c>
      <c r="D4" s="4">
        <v>2</v>
      </c>
      <c r="E4" s="30" t="s">
        <v>16</v>
      </c>
      <c r="F4" s="47">
        <v>2</v>
      </c>
      <c r="G4" s="5">
        <v>0.05</v>
      </c>
      <c r="H4" s="71">
        <f>+F4*B4</f>
        <v>2226</v>
      </c>
      <c r="I4" s="67">
        <v>2240</v>
      </c>
      <c r="J4" s="22">
        <f t="shared" ref="J4:J10" si="0">I4-H4</f>
        <v>14</v>
      </c>
      <c r="K4" s="75">
        <f>1113*2</f>
        <v>2226</v>
      </c>
      <c r="L4" s="127">
        <f>+I4-K4</f>
        <v>14</v>
      </c>
      <c r="M4" s="78">
        <v>40</v>
      </c>
      <c r="N4" s="128">
        <f>+K4-M4</f>
        <v>2186</v>
      </c>
      <c r="O4" s="64">
        <f>+N4/B4</f>
        <v>1.9640610961365679</v>
      </c>
      <c r="P4" s="18">
        <f>+L4+M4</f>
        <v>54</v>
      </c>
      <c r="Q4" s="81">
        <v>0</v>
      </c>
      <c r="R4" s="3">
        <f t="shared" ref="R4:R10" si="1">+P4-Q4</f>
        <v>54</v>
      </c>
      <c r="S4" s="3">
        <f t="shared" ref="S4:S10" si="2">+R4*G4</f>
        <v>2.7</v>
      </c>
      <c r="T4" s="3">
        <f t="shared" ref="T4:T10" si="3">+R4*D4</f>
        <v>108</v>
      </c>
      <c r="U4" s="6">
        <f>+R4/I4</f>
        <v>2.4107142857142858E-2</v>
      </c>
      <c r="W4" s="102">
        <f>+I4*G4</f>
        <v>112</v>
      </c>
      <c r="X4" s="103">
        <f>+K4*G4</f>
        <v>111.30000000000001</v>
      </c>
      <c r="Y4" s="103">
        <f>+L4*G4</f>
        <v>0.70000000000000007</v>
      </c>
      <c r="Z4" s="103">
        <f>+M4*G4</f>
        <v>2</v>
      </c>
      <c r="AA4" s="104">
        <f>+R4*G4</f>
        <v>2.7</v>
      </c>
    </row>
    <row r="5" spans="1:28" ht="20.25" customHeight="1" x14ac:dyDescent="0.35">
      <c r="A5" s="302"/>
      <c r="B5" s="304"/>
      <c r="C5" s="35" t="s">
        <v>65</v>
      </c>
      <c r="D5" s="10">
        <v>4</v>
      </c>
      <c r="E5" s="31" t="s">
        <v>16</v>
      </c>
      <c r="F5" s="48">
        <v>2</v>
      </c>
      <c r="G5" s="11">
        <v>0.05</v>
      </c>
      <c r="H5" s="70">
        <f>+F5*B4</f>
        <v>2226</v>
      </c>
      <c r="I5" s="68">
        <v>2250</v>
      </c>
      <c r="J5" s="13">
        <f t="shared" si="0"/>
        <v>24</v>
      </c>
      <c r="K5" s="76">
        <v>2226</v>
      </c>
      <c r="L5" s="9">
        <f t="shared" ref="L5:L10" si="4">+I5-K5</f>
        <v>24</v>
      </c>
      <c r="M5" s="79">
        <v>50</v>
      </c>
      <c r="N5" s="23">
        <f t="shared" ref="N5:N10" si="5">+K5-M5</f>
        <v>2176</v>
      </c>
      <c r="O5" s="65">
        <f>+N5/B4</f>
        <v>1.9550763701707099</v>
      </c>
      <c r="P5" s="19">
        <f>+L5+M5</f>
        <v>74</v>
      </c>
      <c r="Q5" s="82">
        <v>0</v>
      </c>
      <c r="R5" s="9">
        <f t="shared" si="1"/>
        <v>74</v>
      </c>
      <c r="S5" s="9">
        <f t="shared" si="2"/>
        <v>3.7</v>
      </c>
      <c r="T5" s="9">
        <f t="shared" si="3"/>
        <v>296</v>
      </c>
      <c r="U5" s="12">
        <f t="shared" ref="U5:U9" si="6">+R5/I5</f>
        <v>3.2888888888888891E-2</v>
      </c>
      <c r="W5" s="102">
        <f t="shared" ref="W5:W35" si="7">+I5*G5</f>
        <v>112.5</v>
      </c>
      <c r="X5" s="103">
        <f t="shared" ref="X5:X35" si="8">+K5*G5</f>
        <v>111.30000000000001</v>
      </c>
      <c r="Y5" s="103">
        <f t="shared" ref="Y5:Y35" si="9">+L5*G5</f>
        <v>1.2000000000000002</v>
      </c>
      <c r="Z5" s="103">
        <f t="shared" ref="Z5:Z35" si="10">+M5*G5</f>
        <v>2.5</v>
      </c>
      <c r="AA5" s="104">
        <f t="shared" ref="AA5:AA35" si="11">+R5*G5</f>
        <v>3.7</v>
      </c>
    </row>
    <row r="6" spans="1:28" ht="20.25" customHeight="1" x14ac:dyDescent="0.35">
      <c r="A6" s="302"/>
      <c r="B6" s="304"/>
      <c r="C6" s="35" t="s">
        <v>67</v>
      </c>
      <c r="D6" s="10">
        <v>40</v>
      </c>
      <c r="E6" s="31" t="s">
        <v>17</v>
      </c>
      <c r="F6" s="49">
        <v>0.15</v>
      </c>
      <c r="G6" s="11">
        <v>1</v>
      </c>
      <c r="H6" s="72">
        <f>+F6*B4</f>
        <v>166.95</v>
      </c>
      <c r="I6" s="68">
        <v>170</v>
      </c>
      <c r="J6" s="13">
        <f t="shared" si="0"/>
        <v>3.0500000000000114</v>
      </c>
      <c r="K6" s="76">
        <f>1113*0.15</f>
        <v>166.95</v>
      </c>
      <c r="L6" s="9">
        <f t="shared" si="4"/>
        <v>3.0500000000000114</v>
      </c>
      <c r="M6" s="79">
        <v>9</v>
      </c>
      <c r="N6" s="33">
        <f t="shared" si="5"/>
        <v>157.94999999999999</v>
      </c>
      <c r="O6" s="42">
        <f>+N6/B4</f>
        <v>0.14191374663072776</v>
      </c>
      <c r="P6" s="19">
        <f>+L6+M6</f>
        <v>12.050000000000011</v>
      </c>
      <c r="Q6" s="82">
        <v>0</v>
      </c>
      <c r="R6" s="9">
        <f t="shared" si="1"/>
        <v>12.050000000000011</v>
      </c>
      <c r="S6" s="9">
        <f t="shared" si="2"/>
        <v>12.050000000000011</v>
      </c>
      <c r="T6" s="9">
        <f t="shared" si="3"/>
        <v>482.00000000000045</v>
      </c>
      <c r="U6" s="12">
        <f t="shared" si="6"/>
        <v>7.0882352941176535E-2</v>
      </c>
      <c r="W6" s="102">
        <f t="shared" si="7"/>
        <v>170</v>
      </c>
      <c r="X6" s="103">
        <f t="shared" si="8"/>
        <v>166.95</v>
      </c>
      <c r="Y6" s="103">
        <f t="shared" si="9"/>
        <v>3.0500000000000114</v>
      </c>
      <c r="Z6" s="103">
        <f t="shared" si="10"/>
        <v>9</v>
      </c>
      <c r="AA6" s="104">
        <f t="shared" si="11"/>
        <v>12.050000000000011</v>
      </c>
    </row>
    <row r="7" spans="1:28" ht="20.25" customHeight="1" x14ac:dyDescent="0.35">
      <c r="A7" s="302"/>
      <c r="B7" s="304"/>
      <c r="C7" s="35" t="s">
        <v>12</v>
      </c>
      <c r="D7" s="10">
        <v>45</v>
      </c>
      <c r="E7" s="31" t="s">
        <v>17</v>
      </c>
      <c r="F7" s="49">
        <v>0.1</v>
      </c>
      <c r="G7" s="11">
        <v>1</v>
      </c>
      <c r="H7" s="72">
        <f>+F7*B4</f>
        <v>111.30000000000001</v>
      </c>
      <c r="I7" s="68">
        <v>115</v>
      </c>
      <c r="J7" s="13">
        <f t="shared" si="0"/>
        <v>3.6999999999999886</v>
      </c>
      <c r="K7" s="76">
        <v>111.3</v>
      </c>
      <c r="L7" s="9">
        <f t="shared" si="4"/>
        <v>3.7000000000000028</v>
      </c>
      <c r="M7" s="79">
        <v>4</v>
      </c>
      <c r="N7" s="23">
        <f t="shared" si="5"/>
        <v>107.3</v>
      </c>
      <c r="O7" s="42">
        <f>+N7/B4</f>
        <v>9.6406109613656782E-2</v>
      </c>
      <c r="P7" s="19">
        <f t="shared" ref="P7:P10" si="12">+L7+M7</f>
        <v>7.7000000000000028</v>
      </c>
      <c r="Q7" s="82">
        <v>0</v>
      </c>
      <c r="R7" s="9">
        <f t="shared" si="1"/>
        <v>7.7000000000000028</v>
      </c>
      <c r="S7" s="9">
        <f t="shared" si="2"/>
        <v>7.7000000000000028</v>
      </c>
      <c r="T7" s="9">
        <f t="shared" si="3"/>
        <v>346.50000000000011</v>
      </c>
      <c r="U7" s="12">
        <f t="shared" si="6"/>
        <v>6.6956521739130456E-2</v>
      </c>
      <c r="W7" s="102">
        <f t="shared" si="7"/>
        <v>115</v>
      </c>
      <c r="X7" s="103">
        <f t="shared" si="8"/>
        <v>111.3</v>
      </c>
      <c r="Y7" s="103">
        <f t="shared" si="9"/>
        <v>3.7000000000000028</v>
      </c>
      <c r="Z7" s="103">
        <f t="shared" si="10"/>
        <v>4</v>
      </c>
      <c r="AA7" s="104">
        <f t="shared" si="11"/>
        <v>7.7000000000000028</v>
      </c>
    </row>
    <row r="8" spans="1:28" ht="20.25" customHeight="1" x14ac:dyDescent="0.35">
      <c r="A8" s="302"/>
      <c r="B8" s="304"/>
      <c r="C8" s="35" t="s">
        <v>13</v>
      </c>
      <c r="D8" s="10">
        <v>52</v>
      </c>
      <c r="E8" s="31" t="s">
        <v>17</v>
      </c>
      <c r="F8" s="49">
        <v>0.1</v>
      </c>
      <c r="G8" s="11">
        <v>1</v>
      </c>
      <c r="H8" s="72">
        <f>+F8*B4</f>
        <v>111.30000000000001</v>
      </c>
      <c r="I8" s="68">
        <v>114</v>
      </c>
      <c r="J8" s="13">
        <f t="shared" si="0"/>
        <v>2.6999999999999886</v>
      </c>
      <c r="K8" s="76">
        <v>111.3</v>
      </c>
      <c r="L8" s="9">
        <f>+I8-K8</f>
        <v>2.7000000000000028</v>
      </c>
      <c r="M8" s="79">
        <v>6</v>
      </c>
      <c r="N8" s="33">
        <f t="shared" si="5"/>
        <v>105.3</v>
      </c>
      <c r="O8" s="42">
        <f>+N8/B4</f>
        <v>9.460916442048517E-2</v>
      </c>
      <c r="P8" s="19">
        <f t="shared" si="12"/>
        <v>8.7000000000000028</v>
      </c>
      <c r="Q8" s="82">
        <v>0</v>
      </c>
      <c r="R8" s="9">
        <f t="shared" si="1"/>
        <v>8.7000000000000028</v>
      </c>
      <c r="S8" s="9">
        <f t="shared" si="2"/>
        <v>8.7000000000000028</v>
      </c>
      <c r="T8" s="9">
        <f t="shared" si="3"/>
        <v>452.40000000000015</v>
      </c>
      <c r="U8" s="12">
        <f t="shared" si="6"/>
        <v>7.631578947368424E-2</v>
      </c>
      <c r="W8" s="102">
        <f t="shared" si="7"/>
        <v>114</v>
      </c>
      <c r="X8" s="103">
        <f t="shared" si="8"/>
        <v>111.3</v>
      </c>
      <c r="Y8" s="103">
        <f t="shared" si="9"/>
        <v>2.7000000000000028</v>
      </c>
      <c r="Z8" s="103">
        <f t="shared" si="10"/>
        <v>6</v>
      </c>
      <c r="AA8" s="104">
        <f t="shared" si="11"/>
        <v>8.7000000000000028</v>
      </c>
    </row>
    <row r="9" spans="1:28" ht="20.25" customHeight="1" x14ac:dyDescent="0.35">
      <c r="A9" s="302"/>
      <c r="B9" s="304"/>
      <c r="C9" s="35" t="s">
        <v>66</v>
      </c>
      <c r="D9" s="10">
        <v>60</v>
      </c>
      <c r="E9" s="31" t="s">
        <v>17</v>
      </c>
      <c r="F9" s="49">
        <v>0.05</v>
      </c>
      <c r="G9" s="11">
        <v>1</v>
      </c>
      <c r="H9" s="73">
        <f>+F9*B4</f>
        <v>55.650000000000006</v>
      </c>
      <c r="I9" s="68">
        <v>60</v>
      </c>
      <c r="J9" s="13">
        <f t="shared" si="0"/>
        <v>4.3499999999999943</v>
      </c>
      <c r="K9" s="76">
        <f>1113*0.05</f>
        <v>55.650000000000006</v>
      </c>
      <c r="L9" s="54">
        <f>+I9-K9</f>
        <v>4.3499999999999943</v>
      </c>
      <c r="M9" s="79">
        <v>12</v>
      </c>
      <c r="N9" s="23">
        <f t="shared" si="5"/>
        <v>43.650000000000006</v>
      </c>
      <c r="O9" s="42">
        <f>+N9/B4</f>
        <v>3.9218328840970353E-2</v>
      </c>
      <c r="P9" s="19">
        <f t="shared" si="12"/>
        <v>16.349999999999994</v>
      </c>
      <c r="Q9" s="82">
        <v>0</v>
      </c>
      <c r="R9" s="9">
        <f t="shared" si="1"/>
        <v>16.349999999999994</v>
      </c>
      <c r="S9" s="9">
        <f t="shared" si="2"/>
        <v>16.349999999999994</v>
      </c>
      <c r="T9" s="9">
        <f t="shared" si="3"/>
        <v>980.99999999999966</v>
      </c>
      <c r="U9" s="12">
        <f t="shared" si="6"/>
        <v>0.27249999999999991</v>
      </c>
      <c r="W9" s="102">
        <f t="shared" si="7"/>
        <v>60</v>
      </c>
      <c r="X9" s="103">
        <f t="shared" si="8"/>
        <v>55.650000000000006</v>
      </c>
      <c r="Y9" s="103">
        <f t="shared" si="9"/>
        <v>4.3499999999999943</v>
      </c>
      <c r="Z9" s="103">
        <f t="shared" si="10"/>
        <v>12</v>
      </c>
      <c r="AA9" s="104">
        <f t="shared" si="11"/>
        <v>16.349999999999994</v>
      </c>
    </row>
    <row r="10" spans="1:28" ht="20.25" customHeight="1" x14ac:dyDescent="0.35">
      <c r="A10" s="302"/>
      <c r="B10" s="304"/>
      <c r="C10" s="35" t="s">
        <v>14</v>
      </c>
      <c r="D10" s="10">
        <v>60</v>
      </c>
      <c r="E10" s="31" t="s">
        <v>18</v>
      </c>
      <c r="F10" s="49">
        <v>0.1</v>
      </c>
      <c r="G10" s="11">
        <v>1</v>
      </c>
      <c r="H10" s="72">
        <f>+F10*B4</f>
        <v>111.30000000000001</v>
      </c>
      <c r="I10" s="68">
        <v>114</v>
      </c>
      <c r="J10" s="13">
        <f t="shared" si="0"/>
        <v>2.6999999999999886</v>
      </c>
      <c r="K10" s="76">
        <v>111.3</v>
      </c>
      <c r="L10" s="9">
        <f t="shared" si="4"/>
        <v>2.7000000000000028</v>
      </c>
      <c r="M10" s="79">
        <v>4</v>
      </c>
      <c r="N10" s="33">
        <f t="shared" si="5"/>
        <v>107.3</v>
      </c>
      <c r="O10" s="42">
        <f>+N10/B4</f>
        <v>9.6406109613656782E-2</v>
      </c>
      <c r="P10" s="19">
        <f t="shared" si="12"/>
        <v>6.7000000000000028</v>
      </c>
      <c r="Q10" s="82">
        <v>0</v>
      </c>
      <c r="R10" s="9">
        <f t="shared" si="1"/>
        <v>6.7000000000000028</v>
      </c>
      <c r="S10" s="9">
        <f t="shared" si="2"/>
        <v>6.7000000000000028</v>
      </c>
      <c r="T10" s="9">
        <f t="shared" si="3"/>
        <v>402.00000000000017</v>
      </c>
      <c r="U10" s="12">
        <f>+R10/I10</f>
        <v>5.8771929824561427E-2</v>
      </c>
      <c r="W10" s="115">
        <f t="shared" si="7"/>
        <v>114</v>
      </c>
      <c r="X10" s="116">
        <f t="shared" si="8"/>
        <v>111.3</v>
      </c>
      <c r="Y10" s="116">
        <f t="shared" si="9"/>
        <v>2.7000000000000028</v>
      </c>
      <c r="Z10" s="116">
        <f t="shared" si="10"/>
        <v>4</v>
      </c>
      <c r="AA10" s="117">
        <f t="shared" si="11"/>
        <v>6.7000000000000028</v>
      </c>
    </row>
    <row r="11" spans="1:28" ht="20.25" customHeight="1" thickBot="1" x14ac:dyDescent="0.4">
      <c r="A11" s="27"/>
      <c r="B11" s="51"/>
      <c r="C11" s="50"/>
      <c r="D11" s="15"/>
      <c r="E11" s="15"/>
      <c r="F11" s="15"/>
      <c r="G11" s="15"/>
      <c r="H11" s="74"/>
      <c r="I11" s="69"/>
      <c r="J11" s="16"/>
      <c r="K11" s="77"/>
      <c r="L11" s="15"/>
      <c r="M11" s="80"/>
      <c r="N11" s="14"/>
      <c r="O11" s="16"/>
      <c r="P11" s="20"/>
      <c r="Q11" s="83"/>
      <c r="R11" s="15"/>
      <c r="S11" s="84">
        <f>SUM(S4:S10)</f>
        <v>57.900000000000013</v>
      </c>
      <c r="T11" s="56">
        <f>SUM(T4:T10)</f>
        <v>3067.9</v>
      </c>
      <c r="U11" s="16"/>
      <c r="W11" s="118">
        <f>SUM(W4:W10)</f>
        <v>797.5</v>
      </c>
      <c r="X11" s="109">
        <f t="shared" ref="X11:AA11" si="13">SUM(X4:X10)</f>
        <v>779.09999999999991</v>
      </c>
      <c r="Y11" s="109">
        <f t="shared" si="13"/>
        <v>18.400000000000013</v>
      </c>
      <c r="Z11" s="110">
        <f t="shared" si="13"/>
        <v>39.5</v>
      </c>
      <c r="AA11" s="114">
        <f t="shared" si="13"/>
        <v>57.900000000000013</v>
      </c>
      <c r="AB11" s="94"/>
    </row>
    <row r="12" spans="1:28" ht="20.25" customHeight="1" x14ac:dyDescent="0.35">
      <c r="A12" s="292" t="s">
        <v>38</v>
      </c>
      <c r="B12" s="295">
        <v>1264</v>
      </c>
      <c r="C12" s="34" t="s">
        <v>31</v>
      </c>
      <c r="D12" s="4">
        <v>20</v>
      </c>
      <c r="E12" s="30" t="s">
        <v>17</v>
      </c>
      <c r="F12" s="52">
        <v>0.4</v>
      </c>
      <c r="G12" s="5">
        <v>1</v>
      </c>
      <c r="H12" s="71">
        <f>+F12*B12</f>
        <v>505.6</v>
      </c>
      <c r="I12" s="67">
        <v>510</v>
      </c>
      <c r="J12" s="22">
        <f t="shared" ref="J12:J20" si="14">I12-H12</f>
        <v>4.3999999999999773</v>
      </c>
      <c r="K12" s="75">
        <f>1264*0.4</f>
        <v>505.6</v>
      </c>
      <c r="L12" s="3">
        <f>+I12-K12</f>
        <v>4.3999999999999773</v>
      </c>
      <c r="M12" s="78">
        <v>35</v>
      </c>
      <c r="N12" s="21">
        <f>+K12-M12</f>
        <v>470.6</v>
      </c>
      <c r="O12" s="41">
        <f>+N12/B12</f>
        <v>0.37231012658227852</v>
      </c>
      <c r="P12" s="18">
        <f>+L12+M12</f>
        <v>39.399999999999977</v>
      </c>
      <c r="Q12" s="81">
        <v>30</v>
      </c>
      <c r="R12" s="3">
        <f>+P12-Q12</f>
        <v>9.3999999999999773</v>
      </c>
      <c r="S12" s="3">
        <f>+R12*G12</f>
        <v>9.3999999999999773</v>
      </c>
      <c r="T12" s="3">
        <f t="shared" ref="T12:T20" si="15">+R12*D12</f>
        <v>187.99999999999955</v>
      </c>
      <c r="U12" s="6">
        <f>+R12/I12</f>
        <v>1.8431372549019564E-2</v>
      </c>
      <c r="W12" s="111">
        <f t="shared" si="7"/>
        <v>510</v>
      </c>
      <c r="X12" s="112">
        <f t="shared" si="8"/>
        <v>505.6</v>
      </c>
      <c r="Y12" s="112">
        <f t="shared" si="9"/>
        <v>4.3999999999999773</v>
      </c>
      <c r="Z12" s="112">
        <f t="shared" si="10"/>
        <v>35</v>
      </c>
      <c r="AA12" s="113">
        <f t="shared" si="11"/>
        <v>9.3999999999999773</v>
      </c>
    </row>
    <row r="13" spans="1:28" ht="20.25" customHeight="1" x14ac:dyDescent="0.35">
      <c r="A13" s="293"/>
      <c r="B13" s="296"/>
      <c r="C13" s="35" t="s">
        <v>68</v>
      </c>
      <c r="D13" s="10">
        <v>65</v>
      </c>
      <c r="E13" s="31" t="s">
        <v>17</v>
      </c>
      <c r="F13" s="49">
        <v>0.1</v>
      </c>
      <c r="G13" s="11">
        <v>1</v>
      </c>
      <c r="H13" s="70">
        <f>+F13*B12</f>
        <v>126.4</v>
      </c>
      <c r="I13" s="68">
        <v>128</v>
      </c>
      <c r="J13" s="13">
        <f t="shared" si="14"/>
        <v>1.5999999999999943</v>
      </c>
      <c r="K13" s="76">
        <v>126.4</v>
      </c>
      <c r="L13" s="9">
        <f t="shared" ref="L13:L20" si="16">+I13-K13</f>
        <v>1.5999999999999943</v>
      </c>
      <c r="M13" s="79">
        <v>9</v>
      </c>
      <c r="N13" s="23">
        <f>+K13-M13</f>
        <v>117.4</v>
      </c>
      <c r="O13" s="42">
        <f>+N13/B12</f>
        <v>9.2879746835443047E-2</v>
      </c>
      <c r="P13" s="19">
        <f>+L13+M13</f>
        <v>10.599999999999994</v>
      </c>
      <c r="Q13" s="82">
        <v>0</v>
      </c>
      <c r="R13" s="9">
        <f t="shared" ref="R13:R20" si="17">+P13-Q13</f>
        <v>10.599999999999994</v>
      </c>
      <c r="S13" s="9">
        <f>+R13*G13</f>
        <v>10.599999999999994</v>
      </c>
      <c r="T13" s="9">
        <f t="shared" si="15"/>
        <v>688.99999999999966</v>
      </c>
      <c r="U13" s="12">
        <f t="shared" ref="U13:U20" si="18">+R13/I13</f>
        <v>8.2812499999999956E-2</v>
      </c>
      <c r="W13" s="102">
        <f t="shared" si="7"/>
        <v>128</v>
      </c>
      <c r="X13" s="103">
        <f t="shared" si="8"/>
        <v>126.4</v>
      </c>
      <c r="Y13" s="103">
        <f t="shared" si="9"/>
        <v>1.5999999999999943</v>
      </c>
      <c r="Z13" s="103">
        <f>+M13*G13</f>
        <v>9</v>
      </c>
      <c r="AA13" s="104">
        <f t="shared" si="11"/>
        <v>10.599999999999994</v>
      </c>
    </row>
    <row r="14" spans="1:28" ht="20.25" customHeight="1" x14ac:dyDescent="0.35">
      <c r="A14" s="293"/>
      <c r="B14" s="296"/>
      <c r="C14" s="35" t="s">
        <v>69</v>
      </c>
      <c r="D14" s="10">
        <v>130</v>
      </c>
      <c r="E14" s="31" t="s">
        <v>17</v>
      </c>
      <c r="F14" s="49">
        <v>0.05</v>
      </c>
      <c r="G14" s="11">
        <v>1</v>
      </c>
      <c r="H14" s="72">
        <f>+F14*B12</f>
        <v>63.2</v>
      </c>
      <c r="I14" s="68">
        <v>65</v>
      </c>
      <c r="J14" s="13">
        <f t="shared" si="14"/>
        <v>1.7999999999999972</v>
      </c>
      <c r="K14" s="76">
        <f>1264*0.05</f>
        <v>63.2</v>
      </c>
      <c r="L14" s="9">
        <f t="shared" si="16"/>
        <v>1.7999999999999972</v>
      </c>
      <c r="M14" s="79">
        <v>5</v>
      </c>
      <c r="N14" s="33">
        <f>+K14-M14</f>
        <v>58.2</v>
      </c>
      <c r="O14" s="42">
        <f>+N14/B12</f>
        <v>4.6044303797468357E-2</v>
      </c>
      <c r="P14" s="19">
        <f>+L14+M14</f>
        <v>6.7999999999999972</v>
      </c>
      <c r="Q14" s="82">
        <v>0</v>
      </c>
      <c r="R14" s="9">
        <f t="shared" si="17"/>
        <v>6.7999999999999972</v>
      </c>
      <c r="S14" s="9">
        <f t="shared" ref="S14:S20" si="19">+R14*G14</f>
        <v>6.7999999999999972</v>
      </c>
      <c r="T14" s="9">
        <f t="shared" si="15"/>
        <v>883.99999999999966</v>
      </c>
      <c r="U14" s="12">
        <f t="shared" si="18"/>
        <v>0.10461538461538457</v>
      </c>
      <c r="W14" s="102">
        <f t="shared" si="7"/>
        <v>65</v>
      </c>
      <c r="X14" s="103">
        <f t="shared" si="8"/>
        <v>63.2</v>
      </c>
      <c r="Y14" s="103">
        <f t="shared" si="9"/>
        <v>1.7999999999999972</v>
      </c>
      <c r="Z14" s="103">
        <f>+M14*G14</f>
        <v>5</v>
      </c>
      <c r="AA14" s="104">
        <f t="shared" si="11"/>
        <v>6.7999999999999972</v>
      </c>
    </row>
    <row r="15" spans="1:28" ht="20.25" customHeight="1" x14ac:dyDescent="0.35">
      <c r="A15" s="293"/>
      <c r="B15" s="296"/>
      <c r="C15" s="35" t="s">
        <v>70</v>
      </c>
      <c r="D15" s="10">
        <v>55</v>
      </c>
      <c r="E15" s="31" t="s">
        <v>17</v>
      </c>
      <c r="F15" s="49">
        <v>0.1</v>
      </c>
      <c r="G15" s="11">
        <v>1</v>
      </c>
      <c r="H15" s="72">
        <f>+F15*B12</f>
        <v>126.4</v>
      </c>
      <c r="I15" s="68">
        <v>130</v>
      </c>
      <c r="J15" s="13">
        <f t="shared" si="14"/>
        <v>3.5999999999999943</v>
      </c>
      <c r="K15" s="76">
        <v>126</v>
      </c>
      <c r="L15" s="9">
        <f t="shared" si="16"/>
        <v>4</v>
      </c>
      <c r="M15" s="79">
        <v>8</v>
      </c>
      <c r="N15" s="23">
        <f t="shared" ref="N15:N20" si="20">+K15-M15</f>
        <v>118</v>
      </c>
      <c r="O15" s="42">
        <f>+N15/B12</f>
        <v>9.3354430379746833E-2</v>
      </c>
      <c r="P15" s="19">
        <f t="shared" ref="P15:P20" si="21">+L15+M15</f>
        <v>12</v>
      </c>
      <c r="Q15" s="82">
        <v>0</v>
      </c>
      <c r="R15" s="9">
        <f t="shared" si="17"/>
        <v>12</v>
      </c>
      <c r="S15" s="9">
        <f t="shared" si="19"/>
        <v>12</v>
      </c>
      <c r="T15" s="9">
        <f t="shared" si="15"/>
        <v>660</v>
      </c>
      <c r="U15" s="12">
        <f t="shared" si="18"/>
        <v>9.2307692307692313E-2</v>
      </c>
      <c r="W15" s="102">
        <f t="shared" si="7"/>
        <v>130</v>
      </c>
      <c r="X15" s="103">
        <f t="shared" si="8"/>
        <v>126</v>
      </c>
      <c r="Y15" s="103">
        <f t="shared" si="9"/>
        <v>4</v>
      </c>
      <c r="Z15" s="103">
        <f t="shared" si="10"/>
        <v>8</v>
      </c>
      <c r="AA15" s="104">
        <f t="shared" si="11"/>
        <v>12</v>
      </c>
    </row>
    <row r="16" spans="1:28" ht="20.25" customHeight="1" x14ac:dyDescent="0.35">
      <c r="A16" s="293"/>
      <c r="B16" s="296"/>
      <c r="C16" s="35" t="s">
        <v>32</v>
      </c>
      <c r="D16" s="10">
        <v>48</v>
      </c>
      <c r="E16" s="31" t="s">
        <v>18</v>
      </c>
      <c r="F16" s="49">
        <v>0.08</v>
      </c>
      <c r="G16" s="11">
        <v>1</v>
      </c>
      <c r="H16" s="72">
        <f>+F16*B12</f>
        <v>101.12</v>
      </c>
      <c r="I16" s="68">
        <v>103</v>
      </c>
      <c r="J16" s="13">
        <f t="shared" si="14"/>
        <v>1.8799999999999955</v>
      </c>
      <c r="K16" s="76">
        <v>101</v>
      </c>
      <c r="L16" s="9">
        <f t="shared" si="16"/>
        <v>2</v>
      </c>
      <c r="M16" s="79">
        <v>7</v>
      </c>
      <c r="N16" s="33">
        <f t="shared" si="20"/>
        <v>94</v>
      </c>
      <c r="O16" s="42">
        <f>+N16/B12</f>
        <v>7.4367088607594931E-2</v>
      </c>
      <c r="P16" s="19">
        <f t="shared" si="21"/>
        <v>9</v>
      </c>
      <c r="Q16" s="82">
        <v>0</v>
      </c>
      <c r="R16" s="9">
        <f t="shared" si="17"/>
        <v>9</v>
      </c>
      <c r="S16" s="9">
        <f t="shared" si="19"/>
        <v>9</v>
      </c>
      <c r="T16" s="9">
        <f t="shared" si="15"/>
        <v>432</v>
      </c>
      <c r="U16" s="12">
        <f t="shared" si="18"/>
        <v>8.7378640776699032E-2</v>
      </c>
      <c r="W16" s="102">
        <f t="shared" si="7"/>
        <v>103</v>
      </c>
      <c r="X16" s="103">
        <f t="shared" si="8"/>
        <v>101</v>
      </c>
      <c r="Y16" s="103">
        <f t="shared" si="9"/>
        <v>2</v>
      </c>
      <c r="Z16" s="103">
        <f t="shared" si="10"/>
        <v>7</v>
      </c>
      <c r="AA16" s="104">
        <f t="shared" si="11"/>
        <v>9</v>
      </c>
    </row>
    <row r="17" spans="1:28" ht="20.25" customHeight="1" x14ac:dyDescent="0.35">
      <c r="A17" s="293"/>
      <c r="B17" s="296"/>
      <c r="C17" s="35" t="s">
        <v>54</v>
      </c>
      <c r="D17" s="10">
        <v>35</v>
      </c>
      <c r="E17" s="31" t="s">
        <v>18</v>
      </c>
      <c r="F17" s="49">
        <v>0.08</v>
      </c>
      <c r="G17" s="11">
        <v>1</v>
      </c>
      <c r="H17" s="73">
        <f>+F17*B12</f>
        <v>101.12</v>
      </c>
      <c r="I17" s="68">
        <v>105</v>
      </c>
      <c r="J17" s="66">
        <f t="shared" si="14"/>
        <v>3.8799999999999955</v>
      </c>
      <c r="K17" s="76">
        <v>101</v>
      </c>
      <c r="L17" s="9">
        <f t="shared" si="16"/>
        <v>4</v>
      </c>
      <c r="M17" s="79">
        <v>8</v>
      </c>
      <c r="N17" s="23">
        <f t="shared" si="20"/>
        <v>93</v>
      </c>
      <c r="O17" s="42">
        <f>+N17/B12</f>
        <v>7.3575949367088611E-2</v>
      </c>
      <c r="P17" s="19">
        <f t="shared" si="21"/>
        <v>12</v>
      </c>
      <c r="Q17" s="82">
        <v>0</v>
      </c>
      <c r="R17" s="9">
        <f t="shared" si="17"/>
        <v>12</v>
      </c>
      <c r="S17" s="9">
        <f t="shared" si="19"/>
        <v>12</v>
      </c>
      <c r="T17" s="9">
        <f t="shared" si="15"/>
        <v>420</v>
      </c>
      <c r="U17" s="12">
        <f t="shared" si="18"/>
        <v>0.11428571428571428</v>
      </c>
      <c r="W17" s="102">
        <f t="shared" si="7"/>
        <v>105</v>
      </c>
      <c r="X17" s="103">
        <f t="shared" si="8"/>
        <v>101</v>
      </c>
      <c r="Y17" s="103">
        <f t="shared" si="9"/>
        <v>4</v>
      </c>
      <c r="Z17" s="103">
        <f t="shared" si="10"/>
        <v>8</v>
      </c>
      <c r="AA17" s="104">
        <f t="shared" si="11"/>
        <v>12</v>
      </c>
    </row>
    <row r="18" spans="1:28" ht="20.25" customHeight="1" x14ac:dyDescent="0.35">
      <c r="A18" s="293"/>
      <c r="B18" s="296"/>
      <c r="C18" s="35" t="s">
        <v>33</v>
      </c>
      <c r="D18" s="10">
        <v>50</v>
      </c>
      <c r="E18" s="31" t="s">
        <v>17</v>
      </c>
      <c r="F18" s="49">
        <v>0.03</v>
      </c>
      <c r="G18" s="11">
        <v>1</v>
      </c>
      <c r="H18" s="72">
        <f>+F18*B12</f>
        <v>37.92</v>
      </c>
      <c r="I18" s="68">
        <v>40</v>
      </c>
      <c r="J18" s="13">
        <f t="shared" si="14"/>
        <v>2.0799999999999983</v>
      </c>
      <c r="K18" s="76">
        <v>38</v>
      </c>
      <c r="L18" s="9">
        <f t="shared" si="16"/>
        <v>2</v>
      </c>
      <c r="M18" s="79">
        <v>3</v>
      </c>
      <c r="N18" s="23">
        <f t="shared" si="20"/>
        <v>35</v>
      </c>
      <c r="O18" s="42">
        <f>+N18/B12</f>
        <v>2.7689873417721517E-2</v>
      </c>
      <c r="P18" s="19">
        <f t="shared" si="21"/>
        <v>5</v>
      </c>
      <c r="Q18" s="82">
        <v>0</v>
      </c>
      <c r="R18" s="9">
        <f t="shared" si="17"/>
        <v>5</v>
      </c>
      <c r="S18" s="9">
        <f t="shared" si="19"/>
        <v>5</v>
      </c>
      <c r="T18" s="9">
        <f t="shared" si="15"/>
        <v>250</v>
      </c>
      <c r="U18" s="12">
        <f t="shared" si="18"/>
        <v>0.125</v>
      </c>
      <c r="W18" s="102">
        <f t="shared" si="7"/>
        <v>40</v>
      </c>
      <c r="X18" s="103">
        <f t="shared" si="8"/>
        <v>38</v>
      </c>
      <c r="Y18" s="103">
        <f t="shared" si="9"/>
        <v>2</v>
      </c>
      <c r="Z18" s="103">
        <f t="shared" si="10"/>
        <v>3</v>
      </c>
      <c r="AA18" s="104">
        <f t="shared" si="11"/>
        <v>5</v>
      </c>
    </row>
    <row r="19" spans="1:28" ht="20.25" customHeight="1" x14ac:dyDescent="0.35">
      <c r="A19" s="293"/>
      <c r="B19" s="296"/>
      <c r="C19" s="35" t="s">
        <v>34</v>
      </c>
      <c r="D19" s="31">
        <v>70</v>
      </c>
      <c r="E19" s="31" t="s">
        <v>17</v>
      </c>
      <c r="F19" s="11">
        <v>0.1</v>
      </c>
      <c r="G19" s="11">
        <v>1</v>
      </c>
      <c r="H19" s="72">
        <f>+F19*B12</f>
        <v>126.4</v>
      </c>
      <c r="I19" s="68">
        <v>126</v>
      </c>
      <c r="J19" s="13">
        <f t="shared" si="14"/>
        <v>-0.40000000000000568</v>
      </c>
      <c r="K19" s="76">
        <v>126.4</v>
      </c>
      <c r="L19" s="9">
        <f t="shared" si="16"/>
        <v>-0.40000000000000568</v>
      </c>
      <c r="M19" s="79">
        <v>0.5</v>
      </c>
      <c r="N19" s="23">
        <f t="shared" si="20"/>
        <v>125.9</v>
      </c>
      <c r="O19" s="42">
        <f>+N19/B12</f>
        <v>9.9604430379746839E-2</v>
      </c>
      <c r="P19" s="19">
        <f t="shared" si="21"/>
        <v>9.9999999999994316E-2</v>
      </c>
      <c r="Q19" s="82">
        <v>0.5</v>
      </c>
      <c r="R19" s="9">
        <f t="shared" si="17"/>
        <v>-0.40000000000000568</v>
      </c>
      <c r="S19" s="9">
        <f t="shared" si="19"/>
        <v>-0.40000000000000568</v>
      </c>
      <c r="T19" s="9">
        <f t="shared" si="15"/>
        <v>-28.000000000000398</v>
      </c>
      <c r="U19" s="12">
        <f t="shared" si="18"/>
        <v>-3.1746031746032197E-3</v>
      </c>
      <c r="W19" s="102">
        <f t="shared" si="7"/>
        <v>126</v>
      </c>
      <c r="X19" s="103">
        <f t="shared" si="8"/>
        <v>126.4</v>
      </c>
      <c r="Y19" s="103">
        <f t="shared" si="9"/>
        <v>-0.40000000000000568</v>
      </c>
      <c r="Z19" s="103">
        <f t="shared" si="10"/>
        <v>0.5</v>
      </c>
      <c r="AA19" s="104">
        <f t="shared" si="11"/>
        <v>-0.40000000000000568</v>
      </c>
    </row>
    <row r="20" spans="1:28" ht="20.25" customHeight="1" x14ac:dyDescent="0.35">
      <c r="A20" s="294"/>
      <c r="B20" s="297"/>
      <c r="C20" s="40" t="s">
        <v>35</v>
      </c>
      <c r="D20" s="44">
        <v>2</v>
      </c>
      <c r="E20" s="44" t="s">
        <v>16</v>
      </c>
      <c r="F20" s="53">
        <v>2</v>
      </c>
      <c r="G20" s="45">
        <v>0.04</v>
      </c>
      <c r="H20" s="72">
        <f>+F20*B12</f>
        <v>2528</v>
      </c>
      <c r="I20" s="68">
        <v>2550</v>
      </c>
      <c r="J20" s="13">
        <f t="shared" si="14"/>
        <v>22</v>
      </c>
      <c r="K20" s="76">
        <f>1264*2</f>
        <v>2528</v>
      </c>
      <c r="L20" s="9">
        <f t="shared" si="16"/>
        <v>22</v>
      </c>
      <c r="M20" s="79">
        <v>40</v>
      </c>
      <c r="N20" s="33">
        <f t="shared" si="20"/>
        <v>2488</v>
      </c>
      <c r="O20" s="42">
        <f>+N20/B12</f>
        <v>1.9683544303797469</v>
      </c>
      <c r="P20" s="19">
        <f t="shared" si="21"/>
        <v>62</v>
      </c>
      <c r="Q20" s="82">
        <v>0</v>
      </c>
      <c r="R20" s="9">
        <f t="shared" si="17"/>
        <v>62</v>
      </c>
      <c r="S20" s="9">
        <f t="shared" si="19"/>
        <v>2.48</v>
      </c>
      <c r="T20" s="9">
        <f t="shared" si="15"/>
        <v>124</v>
      </c>
      <c r="U20" s="12">
        <f t="shared" si="18"/>
        <v>2.4313725490196079E-2</v>
      </c>
      <c r="W20" s="115">
        <f t="shared" si="7"/>
        <v>102</v>
      </c>
      <c r="X20" s="116">
        <f t="shared" si="8"/>
        <v>101.12</v>
      </c>
      <c r="Y20" s="116">
        <f t="shared" si="9"/>
        <v>0.88</v>
      </c>
      <c r="Z20" s="116">
        <f t="shared" si="10"/>
        <v>1.6</v>
      </c>
      <c r="AA20" s="117">
        <f t="shared" si="11"/>
        <v>2.48</v>
      </c>
    </row>
    <row r="21" spans="1:28" ht="20.25" customHeight="1" thickBot="1" x14ac:dyDescent="0.4">
      <c r="A21" s="27"/>
      <c r="B21" s="28"/>
      <c r="C21" s="29"/>
      <c r="D21" s="15"/>
      <c r="E21" s="15"/>
      <c r="F21" s="15"/>
      <c r="G21" s="15"/>
      <c r="H21" s="74"/>
      <c r="I21" s="69"/>
      <c r="J21" s="16"/>
      <c r="K21" s="77"/>
      <c r="L21" s="15"/>
      <c r="M21" s="80"/>
      <c r="N21" s="14"/>
      <c r="O21" s="16"/>
      <c r="P21" s="20"/>
      <c r="Q21" s="83"/>
      <c r="R21" s="15"/>
      <c r="S21" s="56">
        <f>SUM(S12:S20)</f>
        <v>66.879999999999967</v>
      </c>
      <c r="T21" s="56">
        <f>SUM(T12:T20)</f>
        <v>3618.9999999999986</v>
      </c>
      <c r="U21" s="16"/>
      <c r="W21" s="118">
        <f>SUM(W12:W20)</f>
        <v>1309</v>
      </c>
      <c r="X21" s="110">
        <f t="shared" ref="X21:AA21" si="22">SUM(X12:X20)</f>
        <v>1288.7200000000003</v>
      </c>
      <c r="Y21" s="114">
        <f t="shared" si="22"/>
        <v>20.279999999999962</v>
      </c>
      <c r="Z21" s="109">
        <f t="shared" si="22"/>
        <v>77.099999999999994</v>
      </c>
      <c r="AA21" s="109">
        <f t="shared" si="22"/>
        <v>66.879999999999967</v>
      </c>
      <c r="AB21" s="94"/>
    </row>
    <row r="22" spans="1:28" ht="20.25" customHeight="1" x14ac:dyDescent="0.35">
      <c r="A22" s="292" t="s">
        <v>39</v>
      </c>
      <c r="B22" s="295">
        <v>1525</v>
      </c>
      <c r="C22" s="34" t="s">
        <v>41</v>
      </c>
      <c r="D22" s="4">
        <v>4</v>
      </c>
      <c r="E22" s="4" t="s">
        <v>58</v>
      </c>
      <c r="F22" s="46">
        <v>3</v>
      </c>
      <c r="G22" s="5">
        <v>0.06</v>
      </c>
      <c r="H22" s="71">
        <f>+F22*B22</f>
        <v>4575</v>
      </c>
      <c r="I22" s="67">
        <v>4580</v>
      </c>
      <c r="J22" s="22">
        <f>I22-H22</f>
        <v>5</v>
      </c>
      <c r="K22" s="75">
        <f>1525*3</f>
        <v>4575</v>
      </c>
      <c r="L22" s="3">
        <f>+I22-K22</f>
        <v>5</v>
      </c>
      <c r="M22" s="78">
        <v>60</v>
      </c>
      <c r="N22" s="21">
        <f>+K22-M22</f>
        <v>4515</v>
      </c>
      <c r="O22" s="41">
        <f>+N22/B22</f>
        <v>2.9606557377049181</v>
      </c>
      <c r="P22" s="18">
        <f>+L22+M22</f>
        <v>65</v>
      </c>
      <c r="Q22" s="81">
        <v>0</v>
      </c>
      <c r="R22" s="3">
        <f>+P22-Q22</f>
        <v>65</v>
      </c>
      <c r="S22" s="3">
        <f>+R22*G22</f>
        <v>3.9</v>
      </c>
      <c r="T22" s="3">
        <f>+R22*D22</f>
        <v>260</v>
      </c>
      <c r="U22" s="6">
        <f>+R22/I22</f>
        <v>1.4192139737991267E-2</v>
      </c>
      <c r="W22" s="111">
        <f t="shared" si="7"/>
        <v>274.8</v>
      </c>
      <c r="X22" s="112">
        <f t="shared" si="8"/>
        <v>274.5</v>
      </c>
      <c r="Y22" s="112">
        <f t="shared" si="9"/>
        <v>0.3</v>
      </c>
      <c r="Z22" s="112">
        <f t="shared" si="10"/>
        <v>3.5999999999999996</v>
      </c>
      <c r="AA22" s="113">
        <f t="shared" si="11"/>
        <v>3.9</v>
      </c>
    </row>
    <row r="23" spans="1:28" ht="20.25" customHeight="1" x14ac:dyDescent="0.35">
      <c r="A23" s="293"/>
      <c r="B23" s="296"/>
      <c r="C23" s="35" t="s">
        <v>56</v>
      </c>
      <c r="D23" s="10">
        <v>60</v>
      </c>
      <c r="E23" s="10" t="s">
        <v>61</v>
      </c>
      <c r="F23" s="49">
        <v>0.1</v>
      </c>
      <c r="G23" s="11">
        <v>1</v>
      </c>
      <c r="H23" s="70">
        <f>+F23*B22</f>
        <v>152.5</v>
      </c>
      <c r="I23" s="68">
        <v>155</v>
      </c>
      <c r="J23" s="13">
        <f>I23-H23</f>
        <v>2.5</v>
      </c>
      <c r="K23" s="76">
        <v>152.5</v>
      </c>
      <c r="L23" s="9">
        <f t="shared" ref="L23:L25" si="23">+I23-K23</f>
        <v>2.5</v>
      </c>
      <c r="M23" s="79">
        <v>5</v>
      </c>
      <c r="N23" s="23">
        <f t="shared" ref="N23:N25" si="24">+K23-M23</f>
        <v>147.5</v>
      </c>
      <c r="O23" s="42">
        <f>+N23/B22</f>
        <v>9.6721311475409841E-2</v>
      </c>
      <c r="P23" s="19">
        <f>+L23+M23</f>
        <v>7.5</v>
      </c>
      <c r="Q23" s="82">
        <v>0</v>
      </c>
      <c r="R23" s="9">
        <f t="shared" ref="R23:R25" si="25">+P23-Q23</f>
        <v>7.5</v>
      </c>
      <c r="S23" s="9">
        <f>+R23*G23</f>
        <v>7.5</v>
      </c>
      <c r="T23" s="9">
        <f>+R23*D23</f>
        <v>450</v>
      </c>
      <c r="U23" s="12">
        <f t="shared" ref="U23:U25" si="26">+R23/I23</f>
        <v>4.8387096774193547E-2</v>
      </c>
      <c r="W23" s="102">
        <f t="shared" si="7"/>
        <v>155</v>
      </c>
      <c r="X23" s="103">
        <f t="shared" si="8"/>
        <v>152.5</v>
      </c>
      <c r="Y23" s="103">
        <f t="shared" si="9"/>
        <v>2.5</v>
      </c>
      <c r="Z23" s="103">
        <f t="shared" si="10"/>
        <v>5</v>
      </c>
      <c r="AA23" s="104">
        <f t="shared" si="11"/>
        <v>7.5</v>
      </c>
    </row>
    <row r="24" spans="1:28" ht="20.25" customHeight="1" x14ac:dyDescent="0.35">
      <c r="A24" s="293"/>
      <c r="B24" s="296"/>
      <c r="C24" s="35" t="s">
        <v>64</v>
      </c>
      <c r="D24" s="10">
        <v>6</v>
      </c>
      <c r="E24" s="10" t="s">
        <v>16</v>
      </c>
      <c r="F24" s="126">
        <v>1</v>
      </c>
      <c r="G24" s="11">
        <v>0.05</v>
      </c>
      <c r="H24" s="72">
        <f>+F24*B22</f>
        <v>1525</v>
      </c>
      <c r="I24" s="68">
        <v>1400</v>
      </c>
      <c r="J24" s="13">
        <f>I24-H24</f>
        <v>-125</v>
      </c>
      <c r="K24" s="76">
        <f>1525-140</f>
        <v>1385</v>
      </c>
      <c r="L24" s="9">
        <f t="shared" si="23"/>
        <v>15</v>
      </c>
      <c r="M24" s="79">
        <v>35</v>
      </c>
      <c r="N24" s="33">
        <f t="shared" si="24"/>
        <v>1350</v>
      </c>
      <c r="O24" s="42">
        <f>+N24/B22</f>
        <v>0.88524590163934425</v>
      </c>
      <c r="P24" s="19">
        <f>+L24+M24</f>
        <v>50</v>
      </c>
      <c r="Q24" s="82">
        <v>35</v>
      </c>
      <c r="R24" s="9">
        <f t="shared" si="25"/>
        <v>15</v>
      </c>
      <c r="S24" s="9">
        <f>+R24*G24</f>
        <v>0.75</v>
      </c>
      <c r="T24" s="9">
        <f>+R24*D24</f>
        <v>90</v>
      </c>
      <c r="U24" s="12">
        <f t="shared" si="26"/>
        <v>1.0714285714285714E-2</v>
      </c>
      <c r="W24" s="102">
        <f t="shared" si="7"/>
        <v>70</v>
      </c>
      <c r="X24" s="103">
        <f t="shared" si="8"/>
        <v>69.25</v>
      </c>
      <c r="Y24" s="103">
        <f t="shared" si="9"/>
        <v>0.75</v>
      </c>
      <c r="Z24" s="103">
        <f t="shared" si="10"/>
        <v>1.75</v>
      </c>
      <c r="AA24" s="104">
        <f t="shared" si="11"/>
        <v>0.75</v>
      </c>
    </row>
    <row r="25" spans="1:28" ht="20.25" customHeight="1" x14ac:dyDescent="0.35">
      <c r="A25" s="293"/>
      <c r="B25" s="296"/>
      <c r="C25" s="35" t="s">
        <v>63</v>
      </c>
      <c r="D25" s="10">
        <v>60</v>
      </c>
      <c r="E25" s="10" t="s">
        <v>18</v>
      </c>
      <c r="F25" s="49">
        <v>0.1</v>
      </c>
      <c r="G25" s="11">
        <v>1</v>
      </c>
      <c r="H25" s="72">
        <f>+F25*B22</f>
        <v>152.5</v>
      </c>
      <c r="I25" s="68">
        <v>155</v>
      </c>
      <c r="J25" s="13">
        <f>I25-H25</f>
        <v>2.5</v>
      </c>
      <c r="K25" s="76">
        <v>152.5</v>
      </c>
      <c r="L25" s="9">
        <f t="shared" si="23"/>
        <v>2.5</v>
      </c>
      <c r="M25" s="79">
        <v>4</v>
      </c>
      <c r="N25" s="23">
        <f t="shared" si="24"/>
        <v>148.5</v>
      </c>
      <c r="O25" s="42">
        <f>+N25/B22</f>
        <v>9.7377049180327871E-2</v>
      </c>
      <c r="P25" s="19">
        <f t="shared" ref="P25" si="27">+L25+M25</f>
        <v>6.5</v>
      </c>
      <c r="Q25" s="82">
        <v>0</v>
      </c>
      <c r="R25" s="9">
        <f t="shared" si="25"/>
        <v>6.5</v>
      </c>
      <c r="S25" s="9">
        <f>+R25*G25</f>
        <v>6.5</v>
      </c>
      <c r="T25" s="9">
        <f>+R25*D25</f>
        <v>390</v>
      </c>
      <c r="U25" s="12">
        <f t="shared" si="26"/>
        <v>4.1935483870967745E-2</v>
      </c>
      <c r="W25" s="105">
        <f t="shared" si="7"/>
        <v>155</v>
      </c>
      <c r="X25" s="106">
        <f t="shared" si="8"/>
        <v>152.5</v>
      </c>
      <c r="Y25" s="106">
        <f t="shared" si="9"/>
        <v>2.5</v>
      </c>
      <c r="Z25" s="106">
        <f t="shared" si="10"/>
        <v>4</v>
      </c>
      <c r="AA25" s="107">
        <f t="shared" si="11"/>
        <v>6.5</v>
      </c>
    </row>
    <row r="26" spans="1:28" ht="21.75" customHeight="1" thickBot="1" x14ac:dyDescent="0.4">
      <c r="A26" s="27"/>
      <c r="B26" s="55"/>
      <c r="C26" s="29"/>
      <c r="D26" s="15"/>
      <c r="E26" s="15"/>
      <c r="F26" s="15"/>
      <c r="G26" s="15"/>
      <c r="H26" s="74"/>
      <c r="I26" s="69"/>
      <c r="J26" s="16"/>
      <c r="K26" s="77"/>
      <c r="L26" s="15"/>
      <c r="M26" s="80"/>
      <c r="N26" s="14"/>
      <c r="O26" s="16"/>
      <c r="P26" s="20"/>
      <c r="Q26" s="83"/>
      <c r="R26" s="15"/>
      <c r="S26" s="56">
        <f>SUM(S22:S25)</f>
        <v>18.649999999999999</v>
      </c>
      <c r="T26" s="56">
        <f>SUM(T22:T25)</f>
        <v>1190</v>
      </c>
      <c r="U26" s="16"/>
      <c r="W26" s="123">
        <f>SUM(W22:W25)</f>
        <v>654.79999999999995</v>
      </c>
      <c r="X26" s="124">
        <f t="shared" ref="X26:AA26" si="28">SUM(X22:X25)</f>
        <v>648.75</v>
      </c>
      <c r="Y26" s="124">
        <f t="shared" si="28"/>
        <v>6.05</v>
      </c>
      <c r="Z26" s="124">
        <f t="shared" si="28"/>
        <v>14.35</v>
      </c>
      <c r="AA26" s="125">
        <f t="shared" si="28"/>
        <v>18.649999999999999</v>
      </c>
    </row>
    <row r="27" spans="1:28" ht="20.25" customHeight="1" x14ac:dyDescent="0.35">
      <c r="A27" s="292" t="s">
        <v>40</v>
      </c>
      <c r="B27" s="295">
        <v>853</v>
      </c>
      <c r="C27" s="34" t="s">
        <v>31</v>
      </c>
      <c r="D27" s="4">
        <v>20</v>
      </c>
      <c r="E27" s="30" t="s">
        <v>17</v>
      </c>
      <c r="F27" s="52">
        <v>0.4</v>
      </c>
      <c r="G27" s="5">
        <v>1</v>
      </c>
      <c r="H27" s="71">
        <f>+F27*B27</f>
        <v>341.20000000000005</v>
      </c>
      <c r="I27" s="67">
        <v>345</v>
      </c>
      <c r="J27" s="22">
        <f t="shared" ref="J27:J35" si="29">I27-H27</f>
        <v>3.7999999999999545</v>
      </c>
      <c r="K27" s="75">
        <f>853*0.4</f>
        <v>341.20000000000005</v>
      </c>
      <c r="L27" s="3">
        <f>+I27-K27</f>
        <v>3.7999999999999545</v>
      </c>
      <c r="M27" s="22">
        <v>10</v>
      </c>
      <c r="N27" s="21">
        <f>+K27-M27</f>
        <v>331.20000000000005</v>
      </c>
      <c r="O27" s="41">
        <f>+N27/B27</f>
        <v>0.38827667057444321</v>
      </c>
      <c r="P27" s="18">
        <f>+L27+M27</f>
        <v>13.799999999999955</v>
      </c>
      <c r="Q27" s="81">
        <v>0</v>
      </c>
      <c r="R27" s="3">
        <f>+P27-Q27</f>
        <v>13.799999999999955</v>
      </c>
      <c r="S27" s="3">
        <f t="shared" ref="S27:S35" si="30">+R27*G27</f>
        <v>13.799999999999955</v>
      </c>
      <c r="T27" s="3">
        <f t="shared" ref="T27:T35" si="31">+R27*D27</f>
        <v>275.99999999999909</v>
      </c>
      <c r="U27" s="6">
        <f>+R27/I27</f>
        <v>3.9999999999999869E-2</v>
      </c>
      <c r="W27" s="111">
        <f t="shared" si="7"/>
        <v>345</v>
      </c>
      <c r="X27" s="112">
        <f t="shared" si="8"/>
        <v>341.20000000000005</v>
      </c>
      <c r="Y27" s="112">
        <f t="shared" si="9"/>
        <v>3.7999999999999545</v>
      </c>
      <c r="Z27" s="112">
        <f t="shared" si="10"/>
        <v>10</v>
      </c>
      <c r="AA27" s="113">
        <f t="shared" si="11"/>
        <v>13.799999999999955</v>
      </c>
    </row>
    <row r="28" spans="1:28" ht="20.25" customHeight="1" x14ac:dyDescent="0.35">
      <c r="A28" s="293"/>
      <c r="B28" s="296"/>
      <c r="C28" s="35" t="s">
        <v>71</v>
      </c>
      <c r="D28" s="10">
        <v>65</v>
      </c>
      <c r="E28" s="31" t="s">
        <v>17</v>
      </c>
      <c r="F28" s="49">
        <v>0.1</v>
      </c>
      <c r="G28" s="11">
        <v>1</v>
      </c>
      <c r="H28" s="70">
        <f>+F28*B27</f>
        <v>85.300000000000011</v>
      </c>
      <c r="I28" s="68">
        <v>88</v>
      </c>
      <c r="J28" s="13">
        <f t="shared" si="29"/>
        <v>2.6999999999999886</v>
      </c>
      <c r="K28" s="76">
        <v>85.3</v>
      </c>
      <c r="L28" s="9">
        <f t="shared" ref="L28:L35" si="32">+I28-K28</f>
        <v>2.7000000000000028</v>
      </c>
      <c r="M28" s="13">
        <v>0.5</v>
      </c>
      <c r="N28" s="23">
        <f t="shared" ref="N28:N35" si="33">+K28-M28</f>
        <v>84.8</v>
      </c>
      <c r="O28" s="42">
        <f>+N28/B27</f>
        <v>9.9413833528722156E-2</v>
      </c>
      <c r="P28" s="19">
        <f>+L28+M28</f>
        <v>3.2000000000000028</v>
      </c>
      <c r="Q28" s="82">
        <v>0</v>
      </c>
      <c r="R28" s="9">
        <f t="shared" ref="R28:R35" si="34">+P28-Q28</f>
        <v>3.2000000000000028</v>
      </c>
      <c r="S28" s="9">
        <f t="shared" si="30"/>
        <v>3.2000000000000028</v>
      </c>
      <c r="T28" s="9">
        <f t="shared" si="31"/>
        <v>208.00000000000017</v>
      </c>
      <c r="U28" s="12">
        <f t="shared" ref="U28:U35" si="35">+R28/I28</f>
        <v>3.6363636363636397E-2</v>
      </c>
      <c r="W28" s="102">
        <f t="shared" si="7"/>
        <v>88</v>
      </c>
      <c r="X28" s="103">
        <f t="shared" si="8"/>
        <v>85.3</v>
      </c>
      <c r="Y28" s="103">
        <f t="shared" si="9"/>
        <v>2.7000000000000028</v>
      </c>
      <c r="Z28" s="103">
        <f t="shared" si="10"/>
        <v>0.5</v>
      </c>
      <c r="AA28" s="104">
        <f t="shared" si="11"/>
        <v>3.2000000000000028</v>
      </c>
    </row>
    <row r="29" spans="1:28" ht="20.25" customHeight="1" x14ac:dyDescent="0.35">
      <c r="A29" s="293"/>
      <c r="B29" s="296"/>
      <c r="C29" s="35" t="s">
        <v>72</v>
      </c>
      <c r="D29" s="10">
        <v>130</v>
      </c>
      <c r="E29" s="31" t="s">
        <v>17</v>
      </c>
      <c r="F29" s="49">
        <v>0.08</v>
      </c>
      <c r="G29" s="11">
        <v>1</v>
      </c>
      <c r="H29" s="72">
        <f>+F29*B27</f>
        <v>68.239999999999995</v>
      </c>
      <c r="I29" s="68">
        <v>44</v>
      </c>
      <c r="J29" s="13">
        <f t="shared" si="29"/>
        <v>-24.239999999999995</v>
      </c>
      <c r="K29" s="76">
        <v>42.7</v>
      </c>
      <c r="L29" s="9">
        <f t="shared" si="32"/>
        <v>1.2999999999999972</v>
      </c>
      <c r="M29" s="13">
        <v>0.5</v>
      </c>
      <c r="N29" s="33">
        <f t="shared" si="33"/>
        <v>42.2</v>
      </c>
      <c r="O29" s="42">
        <f>+N29/B27</f>
        <v>4.9472450175849947E-2</v>
      </c>
      <c r="P29" s="19">
        <f>+L29+M29</f>
        <v>1.7999999999999972</v>
      </c>
      <c r="Q29" s="82">
        <v>0</v>
      </c>
      <c r="R29" s="9">
        <f t="shared" si="34"/>
        <v>1.7999999999999972</v>
      </c>
      <c r="S29" s="9">
        <f t="shared" si="30"/>
        <v>1.7999999999999972</v>
      </c>
      <c r="T29" s="9">
        <f t="shared" si="31"/>
        <v>233.99999999999963</v>
      </c>
      <c r="U29" s="12">
        <f t="shared" si="35"/>
        <v>4.0909090909090846E-2</v>
      </c>
      <c r="W29" s="102">
        <f t="shared" si="7"/>
        <v>44</v>
      </c>
      <c r="X29" s="103">
        <f t="shared" si="8"/>
        <v>42.7</v>
      </c>
      <c r="Y29" s="103">
        <f t="shared" si="9"/>
        <v>1.2999999999999972</v>
      </c>
      <c r="Z29" s="103">
        <f t="shared" si="10"/>
        <v>0.5</v>
      </c>
      <c r="AA29" s="104">
        <f t="shared" si="11"/>
        <v>1.7999999999999972</v>
      </c>
    </row>
    <row r="30" spans="1:28" ht="20.25" customHeight="1" x14ac:dyDescent="0.35">
      <c r="A30" s="293"/>
      <c r="B30" s="296"/>
      <c r="C30" s="35" t="s">
        <v>73</v>
      </c>
      <c r="D30" s="10">
        <v>55</v>
      </c>
      <c r="E30" s="31" t="s">
        <v>17</v>
      </c>
      <c r="F30" s="49">
        <v>0.1</v>
      </c>
      <c r="G30" s="11">
        <v>1</v>
      </c>
      <c r="H30" s="72">
        <f>+F30*B27</f>
        <v>85.300000000000011</v>
      </c>
      <c r="I30" s="68">
        <v>87</v>
      </c>
      <c r="J30" s="13">
        <f t="shared" si="29"/>
        <v>1.6999999999999886</v>
      </c>
      <c r="K30" s="76">
        <v>85.3</v>
      </c>
      <c r="L30" s="9">
        <f t="shared" si="32"/>
        <v>1.7000000000000028</v>
      </c>
      <c r="M30" s="13">
        <v>1</v>
      </c>
      <c r="N30" s="23">
        <f t="shared" si="33"/>
        <v>84.3</v>
      </c>
      <c r="O30" s="42">
        <f>+N30/B27</f>
        <v>9.8827667057444307E-2</v>
      </c>
      <c r="P30" s="19">
        <f t="shared" ref="P30:P35" si="36">+L30+M30</f>
        <v>2.7000000000000028</v>
      </c>
      <c r="Q30" s="82">
        <v>0</v>
      </c>
      <c r="R30" s="9">
        <f t="shared" si="34"/>
        <v>2.7000000000000028</v>
      </c>
      <c r="S30" s="9">
        <f t="shared" si="30"/>
        <v>2.7000000000000028</v>
      </c>
      <c r="T30" s="9">
        <f t="shared" si="31"/>
        <v>148.50000000000017</v>
      </c>
      <c r="U30" s="12">
        <f t="shared" si="35"/>
        <v>3.1034482758620724E-2</v>
      </c>
      <c r="W30" s="102">
        <f t="shared" si="7"/>
        <v>87</v>
      </c>
      <c r="X30" s="103">
        <f t="shared" si="8"/>
        <v>85.3</v>
      </c>
      <c r="Y30" s="103">
        <f t="shared" si="9"/>
        <v>1.7000000000000028</v>
      </c>
      <c r="Z30" s="103">
        <f t="shared" si="10"/>
        <v>1</v>
      </c>
      <c r="AA30" s="104">
        <f t="shared" si="11"/>
        <v>2.7000000000000028</v>
      </c>
    </row>
    <row r="31" spans="1:28" ht="20.25" customHeight="1" x14ac:dyDescent="0.35">
      <c r="A31" s="293"/>
      <c r="B31" s="296"/>
      <c r="C31" s="35" t="s">
        <v>32</v>
      </c>
      <c r="D31" s="10">
        <v>48</v>
      </c>
      <c r="E31" s="31" t="s">
        <v>18</v>
      </c>
      <c r="F31" s="49">
        <v>0.08</v>
      </c>
      <c r="G31" s="11">
        <v>1</v>
      </c>
      <c r="H31" s="72">
        <f>+F31*B27</f>
        <v>68.239999999999995</v>
      </c>
      <c r="I31" s="68">
        <v>70</v>
      </c>
      <c r="J31" s="13">
        <f t="shared" si="29"/>
        <v>1.7600000000000051</v>
      </c>
      <c r="K31" s="76">
        <v>68</v>
      </c>
      <c r="L31" s="9">
        <f t="shared" si="32"/>
        <v>2</v>
      </c>
      <c r="M31" s="13">
        <v>0.5</v>
      </c>
      <c r="N31" s="33">
        <f t="shared" si="33"/>
        <v>67.5</v>
      </c>
      <c r="O31" s="42">
        <f>+N31/B27</f>
        <v>7.9132473622508789E-2</v>
      </c>
      <c r="P31" s="19">
        <f t="shared" si="36"/>
        <v>2.5</v>
      </c>
      <c r="Q31" s="82">
        <v>0</v>
      </c>
      <c r="R31" s="9">
        <f t="shared" si="34"/>
        <v>2.5</v>
      </c>
      <c r="S31" s="9">
        <f t="shared" si="30"/>
        <v>2.5</v>
      </c>
      <c r="T31" s="9">
        <f t="shared" si="31"/>
        <v>120</v>
      </c>
      <c r="U31" s="12">
        <f t="shared" si="35"/>
        <v>3.5714285714285712E-2</v>
      </c>
      <c r="W31" s="102">
        <f t="shared" si="7"/>
        <v>70</v>
      </c>
      <c r="X31" s="103">
        <f t="shared" si="8"/>
        <v>68</v>
      </c>
      <c r="Y31" s="103">
        <f t="shared" si="9"/>
        <v>2</v>
      </c>
      <c r="Z31" s="103">
        <f t="shared" si="10"/>
        <v>0.5</v>
      </c>
      <c r="AA31" s="104">
        <f t="shared" si="11"/>
        <v>2.5</v>
      </c>
    </row>
    <row r="32" spans="1:28" ht="20.25" customHeight="1" x14ac:dyDescent="0.35">
      <c r="A32" s="293"/>
      <c r="B32" s="296"/>
      <c r="C32" s="35" t="s">
        <v>54</v>
      </c>
      <c r="D32" s="10">
        <v>35</v>
      </c>
      <c r="E32" s="31" t="s">
        <v>18</v>
      </c>
      <c r="F32" s="49">
        <v>0.08</v>
      </c>
      <c r="G32" s="11">
        <v>1</v>
      </c>
      <c r="H32" s="73">
        <f>+F32*B27</f>
        <v>68.239999999999995</v>
      </c>
      <c r="I32" s="68">
        <v>70</v>
      </c>
      <c r="J32" s="13">
        <f t="shared" si="29"/>
        <v>1.7600000000000051</v>
      </c>
      <c r="K32" s="76">
        <v>68</v>
      </c>
      <c r="L32" s="9">
        <f t="shared" si="32"/>
        <v>2</v>
      </c>
      <c r="M32" s="13">
        <v>1</v>
      </c>
      <c r="N32" s="23">
        <f t="shared" si="33"/>
        <v>67</v>
      </c>
      <c r="O32" s="42">
        <f>+N32/B27</f>
        <v>7.8546307151230954E-2</v>
      </c>
      <c r="P32" s="19">
        <f t="shared" si="36"/>
        <v>3</v>
      </c>
      <c r="Q32" s="82">
        <v>0</v>
      </c>
      <c r="R32" s="9">
        <f t="shared" si="34"/>
        <v>3</v>
      </c>
      <c r="S32" s="9">
        <f t="shared" si="30"/>
        <v>3</v>
      </c>
      <c r="T32" s="9">
        <f t="shared" si="31"/>
        <v>105</v>
      </c>
      <c r="U32" s="12">
        <f t="shared" si="35"/>
        <v>4.2857142857142858E-2</v>
      </c>
      <c r="W32" s="102">
        <f t="shared" si="7"/>
        <v>70</v>
      </c>
      <c r="X32" s="103">
        <f t="shared" si="8"/>
        <v>68</v>
      </c>
      <c r="Y32" s="103">
        <f t="shared" si="9"/>
        <v>2</v>
      </c>
      <c r="Z32" s="103">
        <f t="shared" si="10"/>
        <v>1</v>
      </c>
      <c r="AA32" s="104">
        <f t="shared" si="11"/>
        <v>3</v>
      </c>
    </row>
    <row r="33" spans="1:28" ht="20.25" customHeight="1" x14ac:dyDescent="0.35">
      <c r="A33" s="293"/>
      <c r="B33" s="296"/>
      <c r="C33" s="35" t="s">
        <v>33</v>
      </c>
      <c r="D33" s="10">
        <v>50</v>
      </c>
      <c r="E33" s="31" t="s">
        <v>17</v>
      </c>
      <c r="F33" s="49">
        <v>0.03</v>
      </c>
      <c r="G33" s="11">
        <v>1</v>
      </c>
      <c r="H33" s="72">
        <f>+F33*B27</f>
        <v>25.59</v>
      </c>
      <c r="I33" s="68">
        <v>28</v>
      </c>
      <c r="J33" s="13">
        <f t="shared" si="29"/>
        <v>2.41</v>
      </c>
      <c r="K33" s="76">
        <v>25.6</v>
      </c>
      <c r="L33" s="9">
        <f t="shared" si="32"/>
        <v>2.3999999999999986</v>
      </c>
      <c r="M33" s="13">
        <v>0.5</v>
      </c>
      <c r="N33" s="23">
        <f t="shared" si="33"/>
        <v>25.1</v>
      </c>
      <c r="O33" s="42">
        <f>+N33/B27</f>
        <v>2.9425556858147715E-2</v>
      </c>
      <c r="P33" s="19">
        <f t="shared" si="36"/>
        <v>2.8999999999999986</v>
      </c>
      <c r="Q33" s="82">
        <v>0</v>
      </c>
      <c r="R33" s="9">
        <f t="shared" si="34"/>
        <v>2.8999999999999986</v>
      </c>
      <c r="S33" s="9">
        <f t="shared" si="30"/>
        <v>2.8999999999999986</v>
      </c>
      <c r="T33" s="9">
        <f t="shared" si="31"/>
        <v>144.99999999999994</v>
      </c>
      <c r="U33" s="12">
        <f t="shared" si="35"/>
        <v>0.10357142857142852</v>
      </c>
      <c r="W33" s="102">
        <f t="shared" si="7"/>
        <v>28</v>
      </c>
      <c r="X33" s="103">
        <f t="shared" si="8"/>
        <v>25.6</v>
      </c>
      <c r="Y33" s="103">
        <f t="shared" si="9"/>
        <v>2.3999999999999986</v>
      </c>
      <c r="Z33" s="103">
        <f t="shared" si="10"/>
        <v>0.5</v>
      </c>
      <c r="AA33" s="104">
        <f t="shared" si="11"/>
        <v>2.8999999999999986</v>
      </c>
    </row>
    <row r="34" spans="1:28" ht="20.25" customHeight="1" x14ac:dyDescent="0.35">
      <c r="A34" s="293"/>
      <c r="B34" s="296"/>
      <c r="C34" s="35" t="s">
        <v>34</v>
      </c>
      <c r="D34" s="31">
        <v>70</v>
      </c>
      <c r="E34" s="31" t="s">
        <v>17</v>
      </c>
      <c r="F34" s="11">
        <v>0.1</v>
      </c>
      <c r="G34" s="11">
        <v>1</v>
      </c>
      <c r="H34" s="72">
        <f>+F34*B27</f>
        <v>85.300000000000011</v>
      </c>
      <c r="I34" s="68">
        <v>85.3</v>
      </c>
      <c r="J34" s="13">
        <f t="shared" si="29"/>
        <v>0</v>
      </c>
      <c r="K34" s="76">
        <v>85.3</v>
      </c>
      <c r="L34" s="9">
        <f t="shared" si="32"/>
        <v>0</v>
      </c>
      <c r="M34" s="13">
        <v>0</v>
      </c>
      <c r="N34" s="23">
        <f t="shared" si="33"/>
        <v>85.3</v>
      </c>
      <c r="O34" s="42">
        <f>+N34/B27</f>
        <v>9.9999999999999992E-2</v>
      </c>
      <c r="P34" s="19">
        <f t="shared" si="36"/>
        <v>0</v>
      </c>
      <c r="Q34" s="82">
        <v>0</v>
      </c>
      <c r="R34" s="9">
        <f t="shared" si="34"/>
        <v>0</v>
      </c>
      <c r="S34" s="9">
        <f t="shared" si="30"/>
        <v>0</v>
      </c>
      <c r="T34" s="9">
        <f t="shared" si="31"/>
        <v>0</v>
      </c>
      <c r="U34" s="12">
        <f t="shared" si="35"/>
        <v>0</v>
      </c>
      <c r="W34" s="102">
        <f t="shared" si="7"/>
        <v>85.3</v>
      </c>
      <c r="X34" s="103">
        <f t="shared" si="8"/>
        <v>85.3</v>
      </c>
      <c r="Y34" s="103">
        <f t="shared" si="9"/>
        <v>0</v>
      </c>
      <c r="Z34" s="103">
        <f t="shared" si="10"/>
        <v>0</v>
      </c>
      <c r="AA34" s="104">
        <f t="shared" si="11"/>
        <v>0</v>
      </c>
    </row>
    <row r="35" spans="1:28" ht="20.25" customHeight="1" x14ac:dyDescent="0.35">
      <c r="A35" s="294"/>
      <c r="B35" s="297"/>
      <c r="C35" s="40" t="s">
        <v>35</v>
      </c>
      <c r="D35" s="44">
        <v>2</v>
      </c>
      <c r="E35" s="44" t="s">
        <v>16</v>
      </c>
      <c r="F35" s="53">
        <v>2</v>
      </c>
      <c r="G35" s="45">
        <v>0.04</v>
      </c>
      <c r="H35" s="72">
        <f>+F35*B27</f>
        <v>1706</v>
      </c>
      <c r="I35" s="68">
        <v>1730</v>
      </c>
      <c r="J35" s="13">
        <f t="shared" si="29"/>
        <v>24</v>
      </c>
      <c r="K35" s="76">
        <f>853*2</f>
        <v>1706</v>
      </c>
      <c r="L35" s="9">
        <f t="shared" si="32"/>
        <v>24</v>
      </c>
      <c r="M35" s="13">
        <v>15</v>
      </c>
      <c r="N35" s="33">
        <f t="shared" si="33"/>
        <v>1691</v>
      </c>
      <c r="O35" s="42">
        <f>+N35/B27</f>
        <v>1.9824150058616647</v>
      </c>
      <c r="P35" s="19">
        <f t="shared" si="36"/>
        <v>39</v>
      </c>
      <c r="Q35" s="82">
        <v>0</v>
      </c>
      <c r="R35" s="9">
        <f t="shared" si="34"/>
        <v>39</v>
      </c>
      <c r="S35" s="9">
        <f t="shared" si="30"/>
        <v>1.56</v>
      </c>
      <c r="T35" s="9">
        <f t="shared" si="31"/>
        <v>78</v>
      </c>
      <c r="U35" s="12">
        <f t="shared" si="35"/>
        <v>2.2543352601156069E-2</v>
      </c>
      <c r="W35" s="105">
        <f t="shared" si="7"/>
        <v>69.2</v>
      </c>
      <c r="X35" s="106">
        <f t="shared" si="8"/>
        <v>68.239999999999995</v>
      </c>
      <c r="Y35" s="106">
        <f t="shared" si="9"/>
        <v>0.96</v>
      </c>
      <c r="Z35" s="106">
        <f t="shared" si="10"/>
        <v>0.6</v>
      </c>
      <c r="AA35" s="107">
        <f t="shared" si="11"/>
        <v>1.56</v>
      </c>
    </row>
    <row r="36" spans="1:28" ht="23.25" customHeight="1" thickBot="1" x14ac:dyDescent="0.4">
      <c r="A36" s="27"/>
      <c r="B36" s="57"/>
      <c r="C36" s="29"/>
      <c r="D36" s="15"/>
      <c r="E36" s="15"/>
      <c r="F36" s="15"/>
      <c r="G36" s="15"/>
      <c r="H36" s="14"/>
      <c r="I36" s="15"/>
      <c r="J36" s="16"/>
      <c r="K36" s="14"/>
      <c r="L36" s="15"/>
      <c r="M36" s="16"/>
      <c r="N36" s="14"/>
      <c r="O36" s="16"/>
      <c r="P36" s="20"/>
      <c r="Q36" s="15"/>
      <c r="R36" s="15"/>
      <c r="S36" s="56">
        <f>SUM(S27:S35)</f>
        <v>31.459999999999955</v>
      </c>
      <c r="T36" s="56">
        <f>SUM(T27:T35)</f>
        <v>1314.4999999999991</v>
      </c>
      <c r="U36" s="16"/>
      <c r="W36" s="122">
        <f>SUM(W27:W35)</f>
        <v>886.5</v>
      </c>
      <c r="X36" s="109">
        <f t="shared" ref="X36:AA36" si="37">SUM(X27:X35)</f>
        <v>869.64</v>
      </c>
      <c r="Y36" s="109">
        <f t="shared" si="37"/>
        <v>16.859999999999957</v>
      </c>
      <c r="Z36" s="110">
        <f t="shared" si="37"/>
        <v>14.6</v>
      </c>
      <c r="AA36" s="114">
        <f t="shared" si="37"/>
        <v>31.459999999999955</v>
      </c>
      <c r="AB36" s="94"/>
    </row>
    <row r="37" spans="1:28" ht="31.5" customHeight="1" thickBot="1" x14ac:dyDescent="0.4">
      <c r="A37" s="58" t="s">
        <v>42</v>
      </c>
      <c r="B37" s="32">
        <f>+B4+B12+B22+B27</f>
        <v>4755</v>
      </c>
      <c r="C37" s="29"/>
      <c r="D37" s="15"/>
      <c r="E37" s="15"/>
      <c r="F37" s="15"/>
      <c r="G37" s="15"/>
      <c r="H37" s="14"/>
      <c r="I37" s="15"/>
      <c r="J37" s="16"/>
      <c r="K37" s="14"/>
      <c r="L37" s="15"/>
      <c r="M37" s="16"/>
      <c r="N37" s="14"/>
      <c r="O37" s="16"/>
      <c r="P37" s="20"/>
      <c r="Q37" s="15"/>
      <c r="R37" s="17"/>
      <c r="S37" s="85">
        <f>+S36+S26+S21+S11</f>
        <v>174.88999999999993</v>
      </c>
      <c r="T37" s="85">
        <f>+T36+T26+T21+T11</f>
        <v>9191.3999999999978</v>
      </c>
      <c r="U37" s="62"/>
      <c r="W37" s="108">
        <f>+W11+W21+W26+W36</f>
        <v>3647.8</v>
      </c>
      <c r="X37" s="119">
        <f t="shared" ref="X37:AA37" si="38">+X11+X21+X26+X36</f>
        <v>3586.21</v>
      </c>
      <c r="Y37" s="119">
        <f t="shared" si="38"/>
        <v>61.589999999999932</v>
      </c>
      <c r="Z37" s="121">
        <f t="shared" si="38"/>
        <v>145.54999999999998</v>
      </c>
      <c r="AA37" s="120">
        <f t="shared" si="38"/>
        <v>174.88999999999993</v>
      </c>
      <c r="AB37" s="94"/>
    </row>
    <row r="38" spans="1:28" x14ac:dyDescent="0.35">
      <c r="B38" s="59"/>
      <c r="Y38" s="63"/>
    </row>
    <row r="39" spans="1:28" ht="15" thickBot="1" x14ac:dyDescent="0.4">
      <c r="W39" s="63"/>
      <c r="X39" s="63"/>
      <c r="Y39" s="63"/>
      <c r="Z39" s="63"/>
      <c r="AA39" s="63"/>
    </row>
    <row r="40" spans="1:28" ht="16" thickBot="1" x14ac:dyDescent="0.4">
      <c r="A40" s="322" t="s">
        <v>45</v>
      </c>
      <c r="B40" s="323"/>
      <c r="C40" s="323"/>
      <c r="D40" s="323"/>
      <c r="E40" s="323"/>
      <c r="F40" s="324"/>
    </row>
    <row r="41" spans="1:28" ht="30.75" customHeight="1" x14ac:dyDescent="0.35">
      <c r="A41" s="7" t="s">
        <v>6</v>
      </c>
      <c r="B41" s="8" t="s">
        <v>7</v>
      </c>
      <c r="C41" s="8" t="s">
        <v>53</v>
      </c>
      <c r="D41" s="60" t="s">
        <v>52</v>
      </c>
      <c r="E41" s="60" t="s">
        <v>57</v>
      </c>
      <c r="F41" s="90" t="s">
        <v>46</v>
      </c>
      <c r="O41" s="129" t="s">
        <v>60</v>
      </c>
      <c r="P41" s="130" t="s">
        <v>59</v>
      </c>
      <c r="T41">
        <f>3619+1314</f>
        <v>4933</v>
      </c>
      <c r="X41" s="63"/>
    </row>
    <row r="42" spans="1:28" ht="25.5" customHeight="1" x14ac:dyDescent="0.35">
      <c r="A42" s="91" t="s">
        <v>47</v>
      </c>
      <c r="B42" s="92">
        <f>+B4</f>
        <v>1113</v>
      </c>
      <c r="C42" s="92">
        <f>+W11</f>
        <v>797.5</v>
      </c>
      <c r="D42" s="99">
        <f>+AA11</f>
        <v>57.900000000000013</v>
      </c>
      <c r="E42" s="95">
        <f>+D42/B42</f>
        <v>5.202156334231807E-2</v>
      </c>
      <c r="F42" s="12">
        <f>+D42/C42</f>
        <v>7.2601880877742969E-2</v>
      </c>
      <c r="O42" s="72">
        <f>+X11</f>
        <v>779.09999999999991</v>
      </c>
      <c r="P42" s="65">
        <f>+Z11</f>
        <v>39.5</v>
      </c>
    </row>
    <row r="43" spans="1:28" ht="25.5" customHeight="1" x14ac:dyDescent="0.35">
      <c r="A43" s="91" t="s">
        <v>48</v>
      </c>
      <c r="B43" s="92">
        <f>+B12</f>
        <v>1264</v>
      </c>
      <c r="C43" s="92">
        <f>+W21</f>
        <v>1309</v>
      </c>
      <c r="D43" s="99">
        <f>+AA21</f>
        <v>66.879999999999967</v>
      </c>
      <c r="E43" s="95">
        <f>+D43/B43</f>
        <v>5.2911392405063262E-2</v>
      </c>
      <c r="F43" s="12">
        <f t="shared" ref="F43:F45" si="39">+D43/C43</f>
        <v>5.1092436974789893E-2</v>
      </c>
      <c r="O43" s="72">
        <f>+X21</f>
        <v>1288.7200000000003</v>
      </c>
      <c r="P43" s="65">
        <f>+Z21</f>
        <v>77.099999999999994</v>
      </c>
      <c r="Q43" s="133"/>
      <c r="R43" s="134"/>
    </row>
    <row r="44" spans="1:28" ht="25.5" customHeight="1" x14ac:dyDescent="0.35">
      <c r="A44" s="91" t="s">
        <v>49</v>
      </c>
      <c r="B44" s="92">
        <f>+B22</f>
        <v>1525</v>
      </c>
      <c r="C44" s="92">
        <f>+W26</f>
        <v>654.79999999999995</v>
      </c>
      <c r="D44" s="99">
        <f>+AA26</f>
        <v>18.649999999999999</v>
      </c>
      <c r="E44" s="95">
        <f>+D44/B44</f>
        <v>1.2229508196721311E-2</v>
      </c>
      <c r="F44" s="12">
        <f t="shared" si="39"/>
        <v>2.8481979230299329E-2</v>
      </c>
      <c r="O44" s="72">
        <f>+X26</f>
        <v>648.75</v>
      </c>
      <c r="P44" s="65">
        <f>+Z26</f>
        <v>14.35</v>
      </c>
    </row>
    <row r="45" spans="1:28" ht="25.5" customHeight="1" x14ac:dyDescent="0.35">
      <c r="A45" s="91" t="s">
        <v>50</v>
      </c>
      <c r="B45" s="92">
        <f>+B27</f>
        <v>853</v>
      </c>
      <c r="C45" s="92">
        <f>+W36</f>
        <v>886.5</v>
      </c>
      <c r="D45" s="99">
        <f>+AA36</f>
        <v>31.459999999999955</v>
      </c>
      <c r="E45" s="95">
        <f>+D45/B45</f>
        <v>3.6881594372801821E-2</v>
      </c>
      <c r="F45" s="12">
        <f t="shared" si="39"/>
        <v>3.5487873660462445E-2</v>
      </c>
      <c r="O45" s="72">
        <f>+X36</f>
        <v>869.64</v>
      </c>
      <c r="P45" s="65">
        <f>+Z36</f>
        <v>14.6</v>
      </c>
    </row>
    <row r="46" spans="1:28" ht="27" customHeight="1" thickBot="1" x14ac:dyDescent="0.4">
      <c r="A46" s="93" t="s">
        <v>51</v>
      </c>
      <c r="B46" s="96">
        <f>SUM(B42:B45)</f>
        <v>4755</v>
      </c>
      <c r="C46" s="96">
        <f>SUM(C42:C45)</f>
        <v>3647.8</v>
      </c>
      <c r="D46" s="100">
        <f>SUM(D42:D45)</f>
        <v>174.88999999999993</v>
      </c>
      <c r="E46" s="97">
        <f>+D46/B46</f>
        <v>3.678023133543637E-2</v>
      </c>
      <c r="F46" s="101">
        <f>+D46/B46</f>
        <v>3.678023133543637E-2</v>
      </c>
      <c r="G46" s="98"/>
      <c r="O46" s="131">
        <f>SUM(O42:O45)</f>
        <v>3586.21</v>
      </c>
      <c r="P46" s="132">
        <f>SUM(P42:P45)</f>
        <v>145.54999999999998</v>
      </c>
    </row>
    <row r="47" spans="1:28" x14ac:dyDescent="0.35">
      <c r="F47" s="59"/>
    </row>
    <row r="48" spans="1:28" x14ac:dyDescent="0.35">
      <c r="B48">
        <v>410</v>
      </c>
    </row>
    <row r="49" spans="2:2" x14ac:dyDescent="0.35">
      <c r="B49">
        <f>+B46+B48</f>
        <v>5165</v>
      </c>
    </row>
  </sheetData>
  <mergeCells count="16">
    <mergeCell ref="A1:F1"/>
    <mergeCell ref="A2:G2"/>
    <mergeCell ref="H2:J2"/>
    <mergeCell ref="K2:M2"/>
    <mergeCell ref="N2:O2"/>
    <mergeCell ref="A27:A35"/>
    <mergeCell ref="B27:B35"/>
    <mergeCell ref="A40:F40"/>
    <mergeCell ref="W2:AA2"/>
    <mergeCell ref="A4:A10"/>
    <mergeCell ref="B4:B10"/>
    <mergeCell ref="A12:A20"/>
    <mergeCell ref="B12:B20"/>
    <mergeCell ref="A22:A25"/>
    <mergeCell ref="B22:B25"/>
    <mergeCell ref="P2:U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1A46E-37C4-4ACE-A17C-B2F788B3D0F3}">
  <dimension ref="A1:AB49"/>
  <sheetViews>
    <sheetView workbookViewId="0">
      <pane xSplit="7" ySplit="3" topLeftCell="L32" activePane="bottomRight" state="frozen"/>
      <selection pane="topRight" activeCell="H1" sqref="H1"/>
      <selection pane="bottomLeft" activeCell="A4" sqref="A4"/>
      <selection pane="bottomRight" activeCell="T39" sqref="T39"/>
    </sheetView>
  </sheetViews>
  <sheetFormatPr defaultRowHeight="14.5" x14ac:dyDescent="0.35"/>
  <cols>
    <col min="1" max="1" width="11" customWidth="1"/>
    <col min="2" max="2" width="7.81640625" customWidth="1"/>
    <col min="3" max="3" width="20" customWidth="1"/>
    <col min="4" max="4" width="9.1796875" customWidth="1"/>
    <col min="5" max="5" width="9.26953125" customWidth="1"/>
    <col min="6" max="6" width="10" customWidth="1"/>
    <col min="7" max="7" width="8.1796875" customWidth="1"/>
    <col min="8" max="8" width="12.54296875" customWidth="1"/>
    <col min="9" max="9" width="12.453125" customWidth="1"/>
    <col min="10" max="10" width="11" customWidth="1"/>
    <col min="11" max="11" width="9.453125" customWidth="1"/>
    <col min="12" max="12" width="11" customWidth="1"/>
    <col min="13" max="13" width="13.54296875" customWidth="1"/>
    <col min="14" max="14" width="14.81640625" customWidth="1"/>
    <col min="15" max="15" width="16" customWidth="1"/>
    <col min="16" max="16" width="11.26953125" customWidth="1"/>
    <col min="17" max="18" width="9.54296875" customWidth="1"/>
    <col min="19" max="20" width="10.81640625" customWidth="1"/>
    <col min="21" max="21" width="12.7265625" customWidth="1"/>
    <col min="22" max="22" width="8.7265625" customWidth="1"/>
    <col min="23" max="23" width="11.453125" customWidth="1"/>
    <col min="24" max="24" width="11" customWidth="1"/>
  </cols>
  <sheetData>
    <row r="1" spans="1:28" ht="22.5" customHeight="1" thickBot="1" x14ac:dyDescent="0.4">
      <c r="A1" s="308" t="s">
        <v>36</v>
      </c>
      <c r="B1" s="309"/>
      <c r="C1" s="309"/>
      <c r="D1" s="309"/>
      <c r="E1" s="309"/>
      <c r="F1" s="310"/>
    </row>
    <row r="2" spans="1:28" ht="22.5" customHeight="1" thickBot="1" x14ac:dyDescent="0.4">
      <c r="A2" s="311" t="s">
        <v>74</v>
      </c>
      <c r="B2" s="312"/>
      <c r="C2" s="312"/>
      <c r="D2" s="312"/>
      <c r="E2" s="312"/>
      <c r="F2" s="312"/>
      <c r="G2" s="313"/>
      <c r="H2" s="314" t="s">
        <v>22</v>
      </c>
      <c r="I2" s="315"/>
      <c r="J2" s="316"/>
      <c r="K2" s="317" t="s">
        <v>23</v>
      </c>
      <c r="L2" s="318"/>
      <c r="M2" s="319"/>
      <c r="N2" s="320" t="s">
        <v>24</v>
      </c>
      <c r="O2" s="321"/>
      <c r="P2" s="305" t="s">
        <v>25</v>
      </c>
      <c r="Q2" s="306"/>
      <c r="R2" s="306"/>
      <c r="S2" s="306"/>
      <c r="T2" s="306"/>
      <c r="U2" s="307"/>
      <c r="W2" s="325" t="s">
        <v>43</v>
      </c>
      <c r="X2" s="326"/>
      <c r="Y2" s="326"/>
      <c r="Z2" s="326"/>
      <c r="AA2" s="327"/>
    </row>
    <row r="3" spans="1:28" ht="58.5" thickBot="1" x14ac:dyDescent="0.4">
      <c r="A3" s="39" t="s">
        <v>6</v>
      </c>
      <c r="B3" s="38" t="s">
        <v>7</v>
      </c>
      <c r="C3" s="38" t="s">
        <v>0</v>
      </c>
      <c r="D3" s="37" t="s">
        <v>15</v>
      </c>
      <c r="E3" s="38" t="s">
        <v>1</v>
      </c>
      <c r="F3" s="36" t="s">
        <v>27</v>
      </c>
      <c r="G3" s="37" t="s">
        <v>19</v>
      </c>
      <c r="H3" s="25" t="s">
        <v>4</v>
      </c>
      <c r="I3" s="89" t="s">
        <v>44</v>
      </c>
      <c r="J3" s="26" t="s">
        <v>29</v>
      </c>
      <c r="K3" s="88" t="s">
        <v>3</v>
      </c>
      <c r="L3" s="1" t="s">
        <v>28</v>
      </c>
      <c r="M3" s="87" t="s">
        <v>5</v>
      </c>
      <c r="N3" s="25" t="s">
        <v>20</v>
      </c>
      <c r="O3" s="26" t="s">
        <v>21</v>
      </c>
      <c r="P3" s="24" t="s">
        <v>8</v>
      </c>
      <c r="Q3" s="86" t="s">
        <v>9</v>
      </c>
      <c r="R3" s="2" t="s">
        <v>10</v>
      </c>
      <c r="S3" s="1" t="s">
        <v>26</v>
      </c>
      <c r="T3" s="1" t="s">
        <v>11</v>
      </c>
      <c r="U3" s="1" t="s">
        <v>30</v>
      </c>
      <c r="W3" s="43" t="s">
        <v>2</v>
      </c>
      <c r="X3" s="60" t="s">
        <v>3</v>
      </c>
      <c r="Y3" s="60" t="s">
        <v>28</v>
      </c>
      <c r="Z3" s="60" t="s">
        <v>5</v>
      </c>
      <c r="AA3" s="61" t="s">
        <v>26</v>
      </c>
    </row>
    <row r="4" spans="1:28" ht="20.25" customHeight="1" x14ac:dyDescent="0.35">
      <c r="A4" s="301" t="s">
        <v>37</v>
      </c>
      <c r="B4" s="303">
        <v>783</v>
      </c>
      <c r="C4" s="34" t="s">
        <v>55</v>
      </c>
      <c r="D4" s="4">
        <v>2</v>
      </c>
      <c r="E4" s="30" t="s">
        <v>16</v>
      </c>
      <c r="F4" s="47">
        <v>2</v>
      </c>
      <c r="G4" s="5">
        <v>0.05</v>
      </c>
      <c r="H4" s="71">
        <f>+F4*B4</f>
        <v>1566</v>
      </c>
      <c r="I4" s="67">
        <v>1580</v>
      </c>
      <c r="J4" s="22">
        <f t="shared" ref="J4:J10" si="0">I4-H4</f>
        <v>14</v>
      </c>
      <c r="K4" s="75">
        <f>783*2</f>
        <v>1566</v>
      </c>
      <c r="L4" s="127">
        <f>+I4-K4</f>
        <v>14</v>
      </c>
      <c r="M4" s="78">
        <v>90</v>
      </c>
      <c r="N4" s="128">
        <f>+K4-M4</f>
        <v>1476</v>
      </c>
      <c r="O4" s="64">
        <f>+N4/B4</f>
        <v>1.8850574712643677</v>
      </c>
      <c r="P4" s="18">
        <f>+L4+M4</f>
        <v>104</v>
      </c>
      <c r="Q4" s="81">
        <v>0</v>
      </c>
      <c r="R4" s="3">
        <f t="shared" ref="R4:R10" si="1">+P4-Q4</f>
        <v>104</v>
      </c>
      <c r="S4" s="3">
        <f t="shared" ref="S4:S10" si="2">+R4*G4</f>
        <v>5.2</v>
      </c>
      <c r="T4" s="3">
        <f t="shared" ref="T4:T10" si="3">+R4*D4</f>
        <v>208</v>
      </c>
      <c r="U4" s="6">
        <f>+R4/I4</f>
        <v>6.5822784810126586E-2</v>
      </c>
      <c r="W4" s="102">
        <f>+I4*G4</f>
        <v>79</v>
      </c>
      <c r="X4" s="103">
        <f>+K4*G4</f>
        <v>78.300000000000011</v>
      </c>
      <c r="Y4" s="103">
        <f>+L4*G4</f>
        <v>0.70000000000000007</v>
      </c>
      <c r="Z4" s="103">
        <f>+M4*G4</f>
        <v>4.5</v>
      </c>
      <c r="AA4" s="104">
        <f>+R4*G4</f>
        <v>5.2</v>
      </c>
    </row>
    <row r="5" spans="1:28" ht="20.25" customHeight="1" x14ac:dyDescent="0.35">
      <c r="A5" s="302"/>
      <c r="B5" s="304"/>
      <c r="C5" s="35" t="s">
        <v>75</v>
      </c>
      <c r="D5" s="10">
        <v>4</v>
      </c>
      <c r="E5" s="31" t="s">
        <v>16</v>
      </c>
      <c r="F5" s="48">
        <v>2</v>
      </c>
      <c r="G5" s="11">
        <v>0.05</v>
      </c>
      <c r="H5" s="70">
        <f>+F5*B4</f>
        <v>1566</v>
      </c>
      <c r="I5" s="68">
        <v>1575</v>
      </c>
      <c r="J5" s="13">
        <f t="shared" si="0"/>
        <v>9</v>
      </c>
      <c r="K5" s="76">
        <v>1566</v>
      </c>
      <c r="L5" s="9">
        <f t="shared" ref="L5:L10" si="4">+I5-K5</f>
        <v>9</v>
      </c>
      <c r="M5" s="79">
        <v>110</v>
      </c>
      <c r="N5" s="23">
        <f t="shared" ref="N5:N10" si="5">+K5-M5</f>
        <v>1456</v>
      </c>
      <c r="O5" s="65">
        <f>+N5/B4</f>
        <v>1.8595146871008941</v>
      </c>
      <c r="P5" s="19">
        <f>+L5+M5</f>
        <v>119</v>
      </c>
      <c r="Q5" s="82">
        <v>0</v>
      </c>
      <c r="R5" s="9">
        <f t="shared" si="1"/>
        <v>119</v>
      </c>
      <c r="S5" s="9">
        <f t="shared" si="2"/>
        <v>5.95</v>
      </c>
      <c r="T5" s="9">
        <f t="shared" si="3"/>
        <v>476</v>
      </c>
      <c r="U5" s="12">
        <f t="shared" ref="U5:U9" si="6">+R5/I5</f>
        <v>7.5555555555555556E-2</v>
      </c>
      <c r="W5" s="102">
        <f t="shared" ref="W5:W35" si="7">+I5*G5</f>
        <v>78.75</v>
      </c>
      <c r="X5" s="103">
        <f t="shared" ref="X5:X35" si="8">+K5*G5</f>
        <v>78.300000000000011</v>
      </c>
      <c r="Y5" s="103">
        <f t="shared" ref="Y5:Y35" si="9">+L5*G5</f>
        <v>0.45</v>
      </c>
      <c r="Z5" s="103">
        <f t="shared" ref="Z5:Z35" si="10">+M5*G5</f>
        <v>5.5</v>
      </c>
      <c r="AA5" s="104">
        <f t="shared" ref="AA5:AA35" si="11">+R5*G5</f>
        <v>5.95</v>
      </c>
    </row>
    <row r="6" spans="1:28" ht="20.25" customHeight="1" x14ac:dyDescent="0.35">
      <c r="A6" s="302"/>
      <c r="B6" s="304"/>
      <c r="C6" s="35" t="s">
        <v>76</v>
      </c>
      <c r="D6" s="10">
        <v>40</v>
      </c>
      <c r="E6" s="31" t="s">
        <v>17</v>
      </c>
      <c r="F6" s="49">
        <v>0.15</v>
      </c>
      <c r="G6" s="11">
        <v>1</v>
      </c>
      <c r="H6" s="72">
        <f>+F6*B4</f>
        <v>117.44999999999999</v>
      </c>
      <c r="I6" s="68">
        <v>120</v>
      </c>
      <c r="J6" s="13">
        <f t="shared" si="0"/>
        <v>2.5500000000000114</v>
      </c>
      <c r="K6" s="76">
        <f>783*0.15</f>
        <v>117.44999999999999</v>
      </c>
      <c r="L6" s="9">
        <f t="shared" si="4"/>
        <v>2.5500000000000114</v>
      </c>
      <c r="M6" s="79">
        <v>9</v>
      </c>
      <c r="N6" s="33">
        <f t="shared" si="5"/>
        <v>108.44999999999999</v>
      </c>
      <c r="O6" s="42">
        <f>+N6/B4</f>
        <v>0.13850574712643676</v>
      </c>
      <c r="P6" s="19">
        <f>+L6+M6</f>
        <v>11.550000000000011</v>
      </c>
      <c r="Q6" s="82">
        <v>0</v>
      </c>
      <c r="R6" s="9">
        <f t="shared" si="1"/>
        <v>11.550000000000011</v>
      </c>
      <c r="S6" s="9">
        <f t="shared" si="2"/>
        <v>11.550000000000011</v>
      </c>
      <c r="T6" s="9">
        <f t="shared" si="3"/>
        <v>462.00000000000045</v>
      </c>
      <c r="U6" s="12">
        <f t="shared" si="6"/>
        <v>9.6250000000000099E-2</v>
      </c>
      <c r="W6" s="102">
        <f t="shared" si="7"/>
        <v>120</v>
      </c>
      <c r="X6" s="103">
        <f t="shared" si="8"/>
        <v>117.44999999999999</v>
      </c>
      <c r="Y6" s="103">
        <f t="shared" si="9"/>
        <v>2.5500000000000114</v>
      </c>
      <c r="Z6" s="103">
        <f t="shared" si="10"/>
        <v>9</v>
      </c>
      <c r="AA6" s="104">
        <f t="shared" si="11"/>
        <v>11.550000000000011</v>
      </c>
    </row>
    <row r="7" spans="1:28" ht="20.25" customHeight="1" x14ac:dyDescent="0.35">
      <c r="A7" s="302"/>
      <c r="B7" s="304"/>
      <c r="C7" s="35" t="s">
        <v>12</v>
      </c>
      <c r="D7" s="10">
        <v>45</v>
      </c>
      <c r="E7" s="31" t="s">
        <v>17</v>
      </c>
      <c r="F7" s="49">
        <v>0.1</v>
      </c>
      <c r="G7" s="11">
        <v>1</v>
      </c>
      <c r="H7" s="72">
        <f>+F7*B4</f>
        <v>78.300000000000011</v>
      </c>
      <c r="I7" s="68">
        <v>80</v>
      </c>
      <c r="J7" s="13">
        <f t="shared" si="0"/>
        <v>1.6999999999999886</v>
      </c>
      <c r="K7" s="76">
        <v>78.3</v>
      </c>
      <c r="L7" s="9">
        <f t="shared" si="4"/>
        <v>1.7000000000000028</v>
      </c>
      <c r="M7" s="79">
        <v>5</v>
      </c>
      <c r="N7" s="23">
        <f t="shared" si="5"/>
        <v>73.3</v>
      </c>
      <c r="O7" s="42">
        <f>+N7/B4</f>
        <v>9.3614303959131548E-2</v>
      </c>
      <c r="P7" s="19">
        <f t="shared" ref="P7:P10" si="12">+L7+M7</f>
        <v>6.7000000000000028</v>
      </c>
      <c r="Q7" s="82">
        <v>0</v>
      </c>
      <c r="R7" s="9">
        <f t="shared" si="1"/>
        <v>6.7000000000000028</v>
      </c>
      <c r="S7" s="9">
        <f t="shared" si="2"/>
        <v>6.7000000000000028</v>
      </c>
      <c r="T7" s="9">
        <f t="shared" si="3"/>
        <v>301.50000000000011</v>
      </c>
      <c r="U7" s="12">
        <f t="shared" si="6"/>
        <v>8.3750000000000033E-2</v>
      </c>
      <c r="W7" s="102">
        <f t="shared" si="7"/>
        <v>80</v>
      </c>
      <c r="X7" s="103">
        <f t="shared" si="8"/>
        <v>78.3</v>
      </c>
      <c r="Y7" s="103">
        <f t="shared" si="9"/>
        <v>1.7000000000000028</v>
      </c>
      <c r="Z7" s="103">
        <f t="shared" si="10"/>
        <v>5</v>
      </c>
      <c r="AA7" s="104">
        <f t="shared" si="11"/>
        <v>6.7000000000000028</v>
      </c>
    </row>
    <row r="8" spans="1:28" ht="20.25" customHeight="1" x14ac:dyDescent="0.35">
      <c r="A8" s="302"/>
      <c r="B8" s="304"/>
      <c r="C8" s="35" t="s">
        <v>13</v>
      </c>
      <c r="D8" s="10">
        <v>52</v>
      </c>
      <c r="E8" s="31" t="s">
        <v>17</v>
      </c>
      <c r="F8" s="49">
        <v>0.1</v>
      </c>
      <c r="G8" s="11">
        <v>1</v>
      </c>
      <c r="H8" s="72">
        <f>+F8*B4</f>
        <v>78.300000000000011</v>
      </c>
      <c r="I8" s="68">
        <v>84</v>
      </c>
      <c r="J8" s="13">
        <f t="shared" si="0"/>
        <v>5.6999999999999886</v>
      </c>
      <c r="K8" s="76">
        <v>78.3</v>
      </c>
      <c r="L8" s="9">
        <f>+I8-K8</f>
        <v>5.7000000000000028</v>
      </c>
      <c r="M8" s="79">
        <v>8</v>
      </c>
      <c r="N8" s="33">
        <f t="shared" si="5"/>
        <v>70.3</v>
      </c>
      <c r="O8" s="42">
        <f>+N8/B4</f>
        <v>8.9782886334610471E-2</v>
      </c>
      <c r="P8" s="19">
        <f t="shared" si="12"/>
        <v>13.700000000000003</v>
      </c>
      <c r="Q8" s="82">
        <v>0</v>
      </c>
      <c r="R8" s="9">
        <f t="shared" si="1"/>
        <v>13.700000000000003</v>
      </c>
      <c r="S8" s="9">
        <f t="shared" si="2"/>
        <v>13.700000000000003</v>
      </c>
      <c r="T8" s="9">
        <f t="shared" si="3"/>
        <v>712.40000000000009</v>
      </c>
      <c r="U8" s="12">
        <f t="shared" si="6"/>
        <v>0.16309523809523813</v>
      </c>
      <c r="W8" s="102">
        <f t="shared" si="7"/>
        <v>84</v>
      </c>
      <c r="X8" s="103">
        <f t="shared" si="8"/>
        <v>78.3</v>
      </c>
      <c r="Y8" s="103">
        <f t="shared" si="9"/>
        <v>5.7000000000000028</v>
      </c>
      <c r="Z8" s="103">
        <f t="shared" si="10"/>
        <v>8</v>
      </c>
      <c r="AA8" s="104">
        <f t="shared" si="11"/>
        <v>13.700000000000003</v>
      </c>
    </row>
    <row r="9" spans="1:28" ht="20.25" customHeight="1" x14ac:dyDescent="0.35">
      <c r="A9" s="302"/>
      <c r="B9" s="304"/>
      <c r="C9" s="35" t="s">
        <v>77</v>
      </c>
      <c r="D9" s="10">
        <v>60</v>
      </c>
      <c r="E9" s="31" t="s">
        <v>17</v>
      </c>
      <c r="F9" s="49">
        <v>0.05</v>
      </c>
      <c r="G9" s="11">
        <v>1</v>
      </c>
      <c r="H9" s="73">
        <f>+F9*B4</f>
        <v>39.150000000000006</v>
      </c>
      <c r="I9" s="68">
        <v>40</v>
      </c>
      <c r="J9" s="13">
        <f t="shared" si="0"/>
        <v>0.84999999999999432</v>
      </c>
      <c r="K9" s="76">
        <v>39</v>
      </c>
      <c r="L9" s="54">
        <f>+I9-K9</f>
        <v>1</v>
      </c>
      <c r="M9" s="79">
        <v>6</v>
      </c>
      <c r="N9" s="23">
        <f t="shared" si="5"/>
        <v>33</v>
      </c>
      <c r="O9" s="42">
        <f>+N9/B4</f>
        <v>4.2145593869731802E-2</v>
      </c>
      <c r="P9" s="19">
        <f t="shared" si="12"/>
        <v>7</v>
      </c>
      <c r="Q9" s="82">
        <v>0</v>
      </c>
      <c r="R9" s="9">
        <f t="shared" si="1"/>
        <v>7</v>
      </c>
      <c r="S9" s="9">
        <f t="shared" si="2"/>
        <v>7</v>
      </c>
      <c r="T9" s="9">
        <f t="shared" si="3"/>
        <v>420</v>
      </c>
      <c r="U9" s="12">
        <f t="shared" si="6"/>
        <v>0.17499999999999999</v>
      </c>
      <c r="W9" s="102">
        <f t="shared" si="7"/>
        <v>40</v>
      </c>
      <c r="X9" s="103">
        <f t="shared" si="8"/>
        <v>39</v>
      </c>
      <c r="Y9" s="103">
        <f t="shared" si="9"/>
        <v>1</v>
      </c>
      <c r="Z9" s="103">
        <f t="shared" si="10"/>
        <v>6</v>
      </c>
      <c r="AA9" s="104">
        <f t="shared" si="11"/>
        <v>7</v>
      </c>
    </row>
    <row r="10" spans="1:28" ht="20.25" customHeight="1" x14ac:dyDescent="0.35">
      <c r="A10" s="302"/>
      <c r="B10" s="304"/>
      <c r="C10" s="35" t="s">
        <v>14</v>
      </c>
      <c r="D10" s="10">
        <v>60</v>
      </c>
      <c r="E10" s="31" t="s">
        <v>18</v>
      </c>
      <c r="F10" s="49">
        <v>0.1</v>
      </c>
      <c r="G10" s="11">
        <v>1</v>
      </c>
      <c r="H10" s="72">
        <f>+F10*B4</f>
        <v>78.300000000000011</v>
      </c>
      <c r="I10" s="68">
        <v>80</v>
      </c>
      <c r="J10" s="13">
        <f t="shared" si="0"/>
        <v>1.6999999999999886</v>
      </c>
      <c r="K10" s="76">
        <v>78.3</v>
      </c>
      <c r="L10" s="9">
        <f t="shared" si="4"/>
        <v>1.7000000000000028</v>
      </c>
      <c r="M10" s="79">
        <v>4</v>
      </c>
      <c r="N10" s="33">
        <f t="shared" si="5"/>
        <v>74.3</v>
      </c>
      <c r="O10" s="42">
        <f>+N10/B4</f>
        <v>9.4891443167305231E-2</v>
      </c>
      <c r="P10" s="19">
        <f t="shared" si="12"/>
        <v>5.7000000000000028</v>
      </c>
      <c r="Q10" s="82">
        <v>0</v>
      </c>
      <c r="R10" s="9">
        <f t="shared" si="1"/>
        <v>5.7000000000000028</v>
      </c>
      <c r="S10" s="9">
        <f t="shared" si="2"/>
        <v>5.7000000000000028</v>
      </c>
      <c r="T10" s="9">
        <f t="shared" si="3"/>
        <v>342.00000000000017</v>
      </c>
      <c r="U10" s="12">
        <f>+R10/I10</f>
        <v>7.1250000000000036E-2</v>
      </c>
      <c r="W10" s="115">
        <f t="shared" si="7"/>
        <v>80</v>
      </c>
      <c r="X10" s="116">
        <f t="shared" si="8"/>
        <v>78.3</v>
      </c>
      <c r="Y10" s="116">
        <f t="shared" si="9"/>
        <v>1.7000000000000028</v>
      </c>
      <c r="Z10" s="116">
        <f t="shared" si="10"/>
        <v>4</v>
      </c>
      <c r="AA10" s="117">
        <f t="shared" si="11"/>
        <v>5.7000000000000028</v>
      </c>
    </row>
    <row r="11" spans="1:28" ht="20.25" customHeight="1" thickBot="1" x14ac:dyDescent="0.4">
      <c r="A11" s="27"/>
      <c r="B11" s="51"/>
      <c r="C11" s="50"/>
      <c r="D11" s="15"/>
      <c r="E11" s="15"/>
      <c r="F11" s="15"/>
      <c r="G11" s="15"/>
      <c r="H11" s="74"/>
      <c r="I11" s="69"/>
      <c r="J11" s="16"/>
      <c r="K11" s="77"/>
      <c r="L11" s="15"/>
      <c r="M11" s="80"/>
      <c r="N11" s="14"/>
      <c r="O11" s="16"/>
      <c r="P11" s="20"/>
      <c r="Q11" s="83"/>
      <c r="R11" s="15"/>
      <c r="S11" s="84">
        <f>SUM(S4:S10)</f>
        <v>55.800000000000018</v>
      </c>
      <c r="T11" s="56">
        <f>SUM(T4:T10)</f>
        <v>2921.9000000000005</v>
      </c>
      <c r="U11" s="16"/>
      <c r="W11" s="118">
        <f>SUM(W4:W10)</f>
        <v>561.75</v>
      </c>
      <c r="X11" s="109">
        <f t="shared" ref="X11:AA11" si="13">SUM(X4:X10)</f>
        <v>547.95000000000005</v>
      </c>
      <c r="Y11" s="109">
        <f t="shared" si="13"/>
        <v>13.80000000000002</v>
      </c>
      <c r="Z11" s="110">
        <f t="shared" si="13"/>
        <v>42</v>
      </c>
      <c r="AA11" s="114">
        <f t="shared" si="13"/>
        <v>55.800000000000018</v>
      </c>
      <c r="AB11" s="94"/>
    </row>
    <row r="12" spans="1:28" ht="20.25" customHeight="1" x14ac:dyDescent="0.35">
      <c r="A12" s="292" t="s">
        <v>38</v>
      </c>
      <c r="B12" s="295">
        <v>897</v>
      </c>
      <c r="C12" s="34" t="s">
        <v>31</v>
      </c>
      <c r="D12" s="4">
        <v>20</v>
      </c>
      <c r="E12" s="30" t="s">
        <v>17</v>
      </c>
      <c r="F12" s="52">
        <v>0.4</v>
      </c>
      <c r="G12" s="5">
        <v>1</v>
      </c>
      <c r="H12" s="71">
        <f>+F12*B12</f>
        <v>358.8</v>
      </c>
      <c r="I12" s="67">
        <v>375</v>
      </c>
      <c r="J12" s="22">
        <f t="shared" ref="J12:J20" si="14">I12-H12</f>
        <v>16.199999999999989</v>
      </c>
      <c r="K12" s="75">
        <f>897*0.4</f>
        <v>358.8</v>
      </c>
      <c r="L12" s="3">
        <f>+I12-K12</f>
        <v>16.199999999999989</v>
      </c>
      <c r="M12" s="78">
        <v>25</v>
      </c>
      <c r="N12" s="21">
        <f>+K12-M12</f>
        <v>333.8</v>
      </c>
      <c r="O12" s="41">
        <f>+N12/B12</f>
        <v>0.37212931995540693</v>
      </c>
      <c r="P12" s="18">
        <f>+L12+M12</f>
        <v>41.199999999999989</v>
      </c>
      <c r="Q12" s="81">
        <v>35</v>
      </c>
      <c r="R12" s="3">
        <f>+P12-Q12</f>
        <v>6.1999999999999886</v>
      </c>
      <c r="S12" s="3">
        <f>+R12*G12</f>
        <v>6.1999999999999886</v>
      </c>
      <c r="T12" s="3">
        <f t="shared" ref="T12:T20" si="15">+R12*D12</f>
        <v>123.99999999999977</v>
      </c>
      <c r="U12" s="6">
        <f>+R12/I12</f>
        <v>1.6533333333333303E-2</v>
      </c>
      <c r="W12" s="111">
        <f t="shared" si="7"/>
        <v>375</v>
      </c>
      <c r="X12" s="112">
        <f t="shared" si="8"/>
        <v>358.8</v>
      </c>
      <c r="Y12" s="112">
        <f t="shared" si="9"/>
        <v>16.199999999999989</v>
      </c>
      <c r="Z12" s="112">
        <f t="shared" si="10"/>
        <v>25</v>
      </c>
      <c r="AA12" s="113">
        <f t="shared" si="11"/>
        <v>6.1999999999999886</v>
      </c>
    </row>
    <row r="13" spans="1:28" ht="20.25" customHeight="1" x14ac:dyDescent="0.35">
      <c r="A13" s="293"/>
      <c r="B13" s="296"/>
      <c r="C13" s="35" t="s">
        <v>78</v>
      </c>
      <c r="D13" s="10">
        <v>65</v>
      </c>
      <c r="E13" s="31" t="s">
        <v>17</v>
      </c>
      <c r="F13" s="49">
        <v>0.1</v>
      </c>
      <c r="G13" s="11">
        <v>1</v>
      </c>
      <c r="H13" s="70">
        <f>+F13*B12</f>
        <v>89.7</v>
      </c>
      <c r="I13" s="68">
        <v>92</v>
      </c>
      <c r="J13" s="13">
        <f t="shared" si="14"/>
        <v>2.2999999999999972</v>
      </c>
      <c r="K13" s="76">
        <v>89.7</v>
      </c>
      <c r="L13" s="9">
        <f t="shared" ref="L13:L20" si="16">+I13-K13</f>
        <v>2.2999999999999972</v>
      </c>
      <c r="M13" s="79">
        <v>8</v>
      </c>
      <c r="N13" s="23">
        <f>+K13-M13</f>
        <v>81.7</v>
      </c>
      <c r="O13" s="42">
        <f>+N13/B12</f>
        <v>9.1081382385730214E-2</v>
      </c>
      <c r="P13" s="19">
        <f>+L13+M13</f>
        <v>10.299999999999997</v>
      </c>
      <c r="Q13" s="82">
        <v>0</v>
      </c>
      <c r="R13" s="9">
        <f t="shared" ref="R13:R20" si="17">+P13-Q13</f>
        <v>10.299999999999997</v>
      </c>
      <c r="S13" s="9">
        <f>+R13*G13</f>
        <v>10.299999999999997</v>
      </c>
      <c r="T13" s="9">
        <f t="shared" si="15"/>
        <v>669.49999999999977</v>
      </c>
      <c r="U13" s="12">
        <f t="shared" ref="U13:U20" si="18">+R13/I13</f>
        <v>0.1119565217391304</v>
      </c>
      <c r="W13" s="102">
        <f t="shared" si="7"/>
        <v>92</v>
      </c>
      <c r="X13" s="103">
        <f t="shared" si="8"/>
        <v>89.7</v>
      </c>
      <c r="Y13" s="103">
        <f t="shared" si="9"/>
        <v>2.2999999999999972</v>
      </c>
      <c r="Z13" s="103">
        <f>+M13*G13</f>
        <v>8</v>
      </c>
      <c r="AA13" s="104">
        <f t="shared" si="11"/>
        <v>10.299999999999997</v>
      </c>
    </row>
    <row r="14" spans="1:28" ht="20.25" customHeight="1" x14ac:dyDescent="0.35">
      <c r="A14" s="293"/>
      <c r="B14" s="296"/>
      <c r="C14" s="35" t="s">
        <v>79</v>
      </c>
      <c r="D14" s="10">
        <v>130</v>
      </c>
      <c r="E14" s="31" t="s">
        <v>17</v>
      </c>
      <c r="F14" s="49">
        <v>0.05</v>
      </c>
      <c r="G14" s="11">
        <v>1</v>
      </c>
      <c r="H14" s="72">
        <f>+F14*B12</f>
        <v>44.85</v>
      </c>
      <c r="I14" s="68">
        <v>45</v>
      </c>
      <c r="J14" s="13">
        <f t="shared" si="14"/>
        <v>0.14999999999999858</v>
      </c>
      <c r="K14" s="76">
        <v>44.9</v>
      </c>
      <c r="L14" s="9">
        <f t="shared" si="16"/>
        <v>0.10000000000000142</v>
      </c>
      <c r="M14" s="79">
        <v>3</v>
      </c>
      <c r="N14" s="33">
        <f>+K14-M14</f>
        <v>41.9</v>
      </c>
      <c r="O14" s="42">
        <f>+N14/B12</f>
        <v>4.6711259754738013E-2</v>
      </c>
      <c r="P14" s="19">
        <f>+L14+M14</f>
        <v>3.1000000000000014</v>
      </c>
      <c r="Q14" s="82">
        <v>0</v>
      </c>
      <c r="R14" s="9">
        <f t="shared" si="17"/>
        <v>3.1000000000000014</v>
      </c>
      <c r="S14" s="9">
        <f t="shared" ref="S14:S20" si="19">+R14*G14</f>
        <v>3.1000000000000014</v>
      </c>
      <c r="T14" s="9">
        <f t="shared" si="15"/>
        <v>403.00000000000017</v>
      </c>
      <c r="U14" s="12">
        <f t="shared" si="18"/>
        <v>6.8888888888888916E-2</v>
      </c>
      <c r="W14" s="102">
        <f t="shared" si="7"/>
        <v>45</v>
      </c>
      <c r="X14" s="103">
        <f t="shared" si="8"/>
        <v>44.9</v>
      </c>
      <c r="Y14" s="103">
        <f t="shared" si="9"/>
        <v>0.10000000000000142</v>
      </c>
      <c r="Z14" s="103">
        <f>+M14*G14</f>
        <v>3</v>
      </c>
      <c r="AA14" s="104">
        <f t="shared" si="11"/>
        <v>3.1000000000000014</v>
      </c>
    </row>
    <row r="15" spans="1:28" ht="20.25" customHeight="1" x14ac:dyDescent="0.35">
      <c r="A15" s="293"/>
      <c r="B15" s="296"/>
      <c r="C15" s="35" t="s">
        <v>80</v>
      </c>
      <c r="D15" s="10">
        <v>55</v>
      </c>
      <c r="E15" s="31" t="s">
        <v>17</v>
      </c>
      <c r="F15" s="49">
        <v>0.1</v>
      </c>
      <c r="G15" s="11">
        <v>1</v>
      </c>
      <c r="H15" s="72">
        <f>+F15*B12</f>
        <v>89.7</v>
      </c>
      <c r="I15" s="68">
        <v>92</v>
      </c>
      <c r="J15" s="13">
        <f t="shared" si="14"/>
        <v>2.2999999999999972</v>
      </c>
      <c r="K15" s="76">
        <v>89.7</v>
      </c>
      <c r="L15" s="9">
        <f t="shared" si="16"/>
        <v>2.2999999999999972</v>
      </c>
      <c r="M15" s="79">
        <v>7</v>
      </c>
      <c r="N15" s="23">
        <f t="shared" ref="N15:N20" si="20">+K15-M15</f>
        <v>82.7</v>
      </c>
      <c r="O15" s="42">
        <f>+N15/B12</f>
        <v>9.2196209587513941E-2</v>
      </c>
      <c r="P15" s="19">
        <f t="shared" ref="P15:P20" si="21">+L15+M15</f>
        <v>9.2999999999999972</v>
      </c>
      <c r="Q15" s="82">
        <v>0</v>
      </c>
      <c r="R15" s="9">
        <f t="shared" si="17"/>
        <v>9.2999999999999972</v>
      </c>
      <c r="S15" s="9">
        <f t="shared" si="19"/>
        <v>9.2999999999999972</v>
      </c>
      <c r="T15" s="9">
        <f t="shared" si="15"/>
        <v>511.49999999999983</v>
      </c>
      <c r="U15" s="12">
        <f t="shared" si="18"/>
        <v>0.1010869565217391</v>
      </c>
      <c r="W15" s="102">
        <f t="shared" si="7"/>
        <v>92</v>
      </c>
      <c r="X15" s="103">
        <f t="shared" si="8"/>
        <v>89.7</v>
      </c>
      <c r="Y15" s="103">
        <f t="shared" si="9"/>
        <v>2.2999999999999972</v>
      </c>
      <c r="Z15" s="103">
        <f t="shared" si="10"/>
        <v>7</v>
      </c>
      <c r="AA15" s="104">
        <f t="shared" si="11"/>
        <v>9.2999999999999972</v>
      </c>
    </row>
    <row r="16" spans="1:28" ht="20.25" customHeight="1" x14ac:dyDescent="0.35">
      <c r="A16" s="293"/>
      <c r="B16" s="296"/>
      <c r="C16" s="35" t="s">
        <v>32</v>
      </c>
      <c r="D16" s="10">
        <v>48</v>
      </c>
      <c r="E16" s="31" t="s">
        <v>18</v>
      </c>
      <c r="F16" s="49">
        <v>0.08</v>
      </c>
      <c r="G16" s="11">
        <v>1</v>
      </c>
      <c r="H16" s="72">
        <f>+F16*B12</f>
        <v>71.760000000000005</v>
      </c>
      <c r="I16" s="68">
        <v>74</v>
      </c>
      <c r="J16" s="13">
        <f t="shared" si="14"/>
        <v>2.2399999999999949</v>
      </c>
      <c r="K16" s="76">
        <v>71.8</v>
      </c>
      <c r="L16" s="9">
        <f t="shared" si="16"/>
        <v>2.2000000000000028</v>
      </c>
      <c r="M16" s="79">
        <v>5</v>
      </c>
      <c r="N16" s="33">
        <f t="shared" si="20"/>
        <v>66.8</v>
      </c>
      <c r="O16" s="42">
        <f>+N16/B12</f>
        <v>7.447045707915273E-2</v>
      </c>
      <c r="P16" s="19">
        <f t="shared" si="21"/>
        <v>7.2000000000000028</v>
      </c>
      <c r="Q16" s="82">
        <v>0</v>
      </c>
      <c r="R16" s="9">
        <f t="shared" si="17"/>
        <v>7.2000000000000028</v>
      </c>
      <c r="S16" s="9">
        <f t="shared" si="19"/>
        <v>7.2000000000000028</v>
      </c>
      <c r="T16" s="9">
        <f t="shared" si="15"/>
        <v>345.60000000000014</v>
      </c>
      <c r="U16" s="12">
        <f t="shared" si="18"/>
        <v>9.729729729729733E-2</v>
      </c>
      <c r="W16" s="102">
        <f t="shared" si="7"/>
        <v>74</v>
      </c>
      <c r="X16" s="103">
        <f t="shared" si="8"/>
        <v>71.8</v>
      </c>
      <c r="Y16" s="103">
        <f t="shared" si="9"/>
        <v>2.2000000000000028</v>
      </c>
      <c r="Z16" s="103">
        <f t="shared" si="10"/>
        <v>5</v>
      </c>
      <c r="AA16" s="104">
        <f t="shared" si="11"/>
        <v>7.2000000000000028</v>
      </c>
    </row>
    <row r="17" spans="1:28" ht="20.25" customHeight="1" x14ac:dyDescent="0.35">
      <c r="A17" s="293"/>
      <c r="B17" s="296"/>
      <c r="C17" s="35" t="s">
        <v>54</v>
      </c>
      <c r="D17" s="10">
        <v>35</v>
      </c>
      <c r="E17" s="31" t="s">
        <v>18</v>
      </c>
      <c r="F17" s="49">
        <v>0.08</v>
      </c>
      <c r="G17" s="11">
        <v>1</v>
      </c>
      <c r="H17" s="73">
        <f>+F17*B12</f>
        <v>71.760000000000005</v>
      </c>
      <c r="I17" s="68">
        <v>75</v>
      </c>
      <c r="J17" s="66">
        <f t="shared" si="14"/>
        <v>3.2399999999999949</v>
      </c>
      <c r="K17" s="76">
        <v>71.8</v>
      </c>
      <c r="L17" s="9">
        <f t="shared" si="16"/>
        <v>3.2000000000000028</v>
      </c>
      <c r="M17" s="79">
        <v>6</v>
      </c>
      <c r="N17" s="23">
        <f t="shared" si="20"/>
        <v>65.8</v>
      </c>
      <c r="O17" s="42">
        <f>+N17/B12</f>
        <v>7.3355629877369002E-2</v>
      </c>
      <c r="P17" s="19">
        <f t="shared" si="21"/>
        <v>9.2000000000000028</v>
      </c>
      <c r="Q17" s="82">
        <v>0</v>
      </c>
      <c r="R17" s="9">
        <f t="shared" si="17"/>
        <v>9.2000000000000028</v>
      </c>
      <c r="S17" s="9">
        <f t="shared" si="19"/>
        <v>9.2000000000000028</v>
      </c>
      <c r="T17" s="9">
        <f t="shared" si="15"/>
        <v>322.00000000000011</v>
      </c>
      <c r="U17" s="12">
        <f t="shared" si="18"/>
        <v>0.1226666666666667</v>
      </c>
      <c r="W17" s="102">
        <f t="shared" si="7"/>
        <v>75</v>
      </c>
      <c r="X17" s="103">
        <f t="shared" si="8"/>
        <v>71.8</v>
      </c>
      <c r="Y17" s="103">
        <f t="shared" si="9"/>
        <v>3.2000000000000028</v>
      </c>
      <c r="Z17" s="103">
        <f t="shared" si="10"/>
        <v>6</v>
      </c>
      <c r="AA17" s="104">
        <f t="shared" si="11"/>
        <v>9.2000000000000028</v>
      </c>
    </row>
    <row r="18" spans="1:28" ht="20.25" customHeight="1" x14ac:dyDescent="0.35">
      <c r="A18" s="293"/>
      <c r="B18" s="296"/>
      <c r="C18" s="35" t="s">
        <v>33</v>
      </c>
      <c r="D18" s="10">
        <v>50</v>
      </c>
      <c r="E18" s="31" t="s">
        <v>17</v>
      </c>
      <c r="F18" s="49">
        <v>0.03</v>
      </c>
      <c r="G18" s="11">
        <v>1</v>
      </c>
      <c r="H18" s="72">
        <f>+F18*B12</f>
        <v>26.91</v>
      </c>
      <c r="I18" s="68">
        <v>28</v>
      </c>
      <c r="J18" s="13">
        <f t="shared" si="14"/>
        <v>1.0899999999999999</v>
      </c>
      <c r="K18" s="76">
        <v>26.9</v>
      </c>
      <c r="L18" s="9">
        <f t="shared" si="16"/>
        <v>1.1000000000000014</v>
      </c>
      <c r="M18" s="79">
        <v>3</v>
      </c>
      <c r="N18" s="23">
        <f t="shared" si="20"/>
        <v>23.9</v>
      </c>
      <c r="O18" s="42">
        <f>+N18/B12</f>
        <v>2.6644370122630989E-2</v>
      </c>
      <c r="P18" s="19">
        <f t="shared" si="21"/>
        <v>4.1000000000000014</v>
      </c>
      <c r="Q18" s="82">
        <v>0</v>
      </c>
      <c r="R18" s="9">
        <f t="shared" si="17"/>
        <v>4.1000000000000014</v>
      </c>
      <c r="S18" s="9">
        <f t="shared" si="19"/>
        <v>4.1000000000000014</v>
      </c>
      <c r="T18" s="9">
        <f t="shared" si="15"/>
        <v>205.00000000000006</v>
      </c>
      <c r="U18" s="12">
        <f t="shared" si="18"/>
        <v>0.14642857142857149</v>
      </c>
      <c r="W18" s="102">
        <f t="shared" si="7"/>
        <v>28</v>
      </c>
      <c r="X18" s="103">
        <f t="shared" si="8"/>
        <v>26.9</v>
      </c>
      <c r="Y18" s="103">
        <f t="shared" si="9"/>
        <v>1.1000000000000014</v>
      </c>
      <c r="Z18" s="103">
        <f t="shared" si="10"/>
        <v>3</v>
      </c>
      <c r="AA18" s="104">
        <f t="shared" si="11"/>
        <v>4.1000000000000014</v>
      </c>
    </row>
    <row r="19" spans="1:28" ht="20.25" customHeight="1" x14ac:dyDescent="0.35">
      <c r="A19" s="293"/>
      <c r="B19" s="296"/>
      <c r="C19" s="35" t="s">
        <v>34</v>
      </c>
      <c r="D19" s="31">
        <v>70</v>
      </c>
      <c r="E19" s="31" t="s">
        <v>17</v>
      </c>
      <c r="F19" s="11">
        <v>0.1</v>
      </c>
      <c r="G19" s="11">
        <v>1</v>
      </c>
      <c r="H19" s="72">
        <f>+F19*B12</f>
        <v>89.7</v>
      </c>
      <c r="I19" s="68">
        <v>89.7</v>
      </c>
      <c r="J19" s="13">
        <f t="shared" si="14"/>
        <v>0</v>
      </c>
      <c r="K19" s="76">
        <v>89.7</v>
      </c>
      <c r="L19" s="9">
        <f t="shared" si="16"/>
        <v>0</v>
      </c>
      <c r="M19" s="79">
        <v>0</v>
      </c>
      <c r="N19" s="23">
        <f t="shared" si="20"/>
        <v>89.7</v>
      </c>
      <c r="O19" s="42">
        <f>+N19/B12</f>
        <v>0.1</v>
      </c>
      <c r="P19" s="19">
        <f t="shared" si="21"/>
        <v>0</v>
      </c>
      <c r="Q19" s="82">
        <v>0</v>
      </c>
      <c r="R19" s="9">
        <f t="shared" si="17"/>
        <v>0</v>
      </c>
      <c r="S19" s="9">
        <f t="shared" si="19"/>
        <v>0</v>
      </c>
      <c r="T19" s="9">
        <f t="shared" si="15"/>
        <v>0</v>
      </c>
      <c r="U19" s="12">
        <f t="shared" si="18"/>
        <v>0</v>
      </c>
      <c r="W19" s="102">
        <f t="shared" si="7"/>
        <v>89.7</v>
      </c>
      <c r="X19" s="103">
        <f t="shared" si="8"/>
        <v>89.7</v>
      </c>
      <c r="Y19" s="103">
        <f t="shared" si="9"/>
        <v>0</v>
      </c>
      <c r="Z19" s="103">
        <f t="shared" si="10"/>
        <v>0</v>
      </c>
      <c r="AA19" s="104">
        <f t="shared" si="11"/>
        <v>0</v>
      </c>
    </row>
    <row r="20" spans="1:28" ht="20.25" customHeight="1" x14ac:dyDescent="0.35">
      <c r="A20" s="294"/>
      <c r="B20" s="297"/>
      <c r="C20" s="40" t="s">
        <v>35</v>
      </c>
      <c r="D20" s="44">
        <v>2</v>
      </c>
      <c r="E20" s="44" t="s">
        <v>16</v>
      </c>
      <c r="F20" s="53">
        <v>2</v>
      </c>
      <c r="G20" s="45">
        <v>0.04</v>
      </c>
      <c r="H20" s="72">
        <f>+F20*B12</f>
        <v>1794</v>
      </c>
      <c r="I20" s="68">
        <v>1820</v>
      </c>
      <c r="J20" s="13">
        <f t="shared" si="14"/>
        <v>26</v>
      </c>
      <c r="K20" s="76">
        <f>897*2</f>
        <v>1794</v>
      </c>
      <c r="L20" s="9">
        <f t="shared" si="16"/>
        <v>26</v>
      </c>
      <c r="M20" s="79">
        <v>35</v>
      </c>
      <c r="N20" s="33">
        <f t="shared" si="20"/>
        <v>1759</v>
      </c>
      <c r="O20" s="42">
        <f>+N20/B12</f>
        <v>1.9609810479375698</v>
      </c>
      <c r="P20" s="19">
        <f t="shared" si="21"/>
        <v>61</v>
      </c>
      <c r="Q20" s="82">
        <v>0</v>
      </c>
      <c r="R20" s="9">
        <f t="shared" si="17"/>
        <v>61</v>
      </c>
      <c r="S20" s="9">
        <f t="shared" si="19"/>
        <v>2.44</v>
      </c>
      <c r="T20" s="9">
        <f t="shared" si="15"/>
        <v>122</v>
      </c>
      <c r="U20" s="12">
        <f t="shared" si="18"/>
        <v>3.3516483516483515E-2</v>
      </c>
      <c r="W20" s="115">
        <f t="shared" si="7"/>
        <v>72.8</v>
      </c>
      <c r="X20" s="116">
        <f t="shared" si="8"/>
        <v>71.760000000000005</v>
      </c>
      <c r="Y20" s="116">
        <f t="shared" si="9"/>
        <v>1.04</v>
      </c>
      <c r="Z20" s="116">
        <f t="shared" si="10"/>
        <v>1.4000000000000001</v>
      </c>
      <c r="AA20" s="117">
        <f t="shared" si="11"/>
        <v>2.44</v>
      </c>
    </row>
    <row r="21" spans="1:28" ht="20.25" customHeight="1" thickBot="1" x14ac:dyDescent="0.4">
      <c r="A21" s="27"/>
      <c r="B21" s="28"/>
      <c r="C21" s="29"/>
      <c r="D21" s="15"/>
      <c r="E21" s="15"/>
      <c r="F21" s="15"/>
      <c r="G21" s="15"/>
      <c r="H21" s="74"/>
      <c r="I21" s="69"/>
      <c r="J21" s="16"/>
      <c r="K21" s="77"/>
      <c r="L21" s="15"/>
      <c r="M21" s="80"/>
      <c r="N21" s="14"/>
      <c r="O21" s="16"/>
      <c r="P21" s="20"/>
      <c r="Q21" s="83"/>
      <c r="R21" s="15"/>
      <c r="S21" s="56">
        <f>SUM(S12:S20)</f>
        <v>51.839999999999989</v>
      </c>
      <c r="T21" s="56">
        <f>SUM(T12:T20)</f>
        <v>2702.5999999999995</v>
      </c>
      <c r="U21" s="16"/>
      <c r="W21" s="118">
        <f>SUM(W12:W20)</f>
        <v>943.5</v>
      </c>
      <c r="X21" s="110">
        <f t="shared" ref="X21:AA21" si="22">SUM(X12:X20)</f>
        <v>915.06</v>
      </c>
      <c r="Y21" s="114">
        <f t="shared" si="22"/>
        <v>28.439999999999991</v>
      </c>
      <c r="Z21" s="109">
        <f t="shared" si="22"/>
        <v>58.4</v>
      </c>
      <c r="AA21" s="109">
        <f t="shared" si="22"/>
        <v>51.839999999999989</v>
      </c>
      <c r="AB21" s="94"/>
    </row>
    <row r="22" spans="1:28" ht="20.25" customHeight="1" x14ac:dyDescent="0.35">
      <c r="A22" s="292" t="s">
        <v>39</v>
      </c>
      <c r="B22" s="295">
        <f>130+170+140+130+40</f>
        <v>610</v>
      </c>
      <c r="C22" s="34" t="s">
        <v>81</v>
      </c>
      <c r="D22" s="4">
        <v>2</v>
      </c>
      <c r="E22" s="4" t="s">
        <v>58</v>
      </c>
      <c r="F22" s="46">
        <v>6</v>
      </c>
      <c r="G22" s="5">
        <v>0.06</v>
      </c>
      <c r="H22" s="71">
        <f>+F22*B22</f>
        <v>3660</v>
      </c>
      <c r="I22" s="67">
        <v>3670</v>
      </c>
      <c r="J22" s="22">
        <f>I22-H22</f>
        <v>10</v>
      </c>
      <c r="K22" s="75">
        <v>3660</v>
      </c>
      <c r="L22" s="3">
        <f>+I22-K22</f>
        <v>10</v>
      </c>
      <c r="M22" s="78">
        <v>50</v>
      </c>
      <c r="N22" s="21">
        <f>+K22-M22</f>
        <v>3610</v>
      </c>
      <c r="O22" s="41">
        <f>+N22/B22</f>
        <v>5.918032786885246</v>
      </c>
      <c r="P22" s="18">
        <f>+L22+M22</f>
        <v>60</v>
      </c>
      <c r="Q22" s="81">
        <v>0</v>
      </c>
      <c r="R22" s="3">
        <f>+P22-Q22</f>
        <v>60</v>
      </c>
      <c r="S22" s="3">
        <f>+R22*G22</f>
        <v>3.5999999999999996</v>
      </c>
      <c r="T22" s="3">
        <f>+R22*D22</f>
        <v>120</v>
      </c>
      <c r="U22" s="6">
        <f>+R22/I22</f>
        <v>1.6348773841961851E-2</v>
      </c>
      <c r="W22" s="111">
        <f t="shared" si="7"/>
        <v>220.2</v>
      </c>
      <c r="X22" s="112">
        <f t="shared" si="8"/>
        <v>219.6</v>
      </c>
      <c r="Y22" s="112">
        <f t="shared" si="9"/>
        <v>0.6</v>
      </c>
      <c r="Z22" s="112">
        <f t="shared" si="10"/>
        <v>3</v>
      </c>
      <c r="AA22" s="113">
        <f t="shared" si="11"/>
        <v>3.5999999999999996</v>
      </c>
    </row>
    <row r="23" spans="1:28" ht="20.25" customHeight="1" x14ac:dyDescent="0.35">
      <c r="A23" s="293"/>
      <c r="B23" s="296"/>
      <c r="C23" s="35" t="s">
        <v>56</v>
      </c>
      <c r="D23" s="10">
        <v>60</v>
      </c>
      <c r="E23" s="10" t="s">
        <v>61</v>
      </c>
      <c r="F23" s="49">
        <v>0.1</v>
      </c>
      <c r="G23" s="11">
        <v>1</v>
      </c>
      <c r="H23" s="70">
        <f>+F23*B22</f>
        <v>61</v>
      </c>
      <c r="I23" s="68">
        <v>61</v>
      </c>
      <c r="J23" s="13">
        <f>I23-H23</f>
        <v>0</v>
      </c>
      <c r="K23" s="76">
        <v>61</v>
      </c>
      <c r="L23" s="9">
        <f t="shared" ref="L23:L25" si="23">+I23-K23</f>
        <v>0</v>
      </c>
      <c r="M23" s="79">
        <v>4</v>
      </c>
      <c r="N23" s="23">
        <f t="shared" ref="N23:N25" si="24">+K23-M23</f>
        <v>57</v>
      </c>
      <c r="O23" s="42">
        <f>+N23/B22</f>
        <v>9.3442622950819676E-2</v>
      </c>
      <c r="P23" s="19">
        <f>+L23+M23</f>
        <v>4</v>
      </c>
      <c r="Q23" s="82">
        <v>0</v>
      </c>
      <c r="R23" s="9">
        <f t="shared" ref="R23:R25" si="25">+P23-Q23</f>
        <v>4</v>
      </c>
      <c r="S23" s="9">
        <f>+R23*G23</f>
        <v>4</v>
      </c>
      <c r="T23" s="9">
        <f>+R23*D23</f>
        <v>240</v>
      </c>
      <c r="U23" s="12">
        <f t="shared" ref="U23:U25" si="26">+R23/I23</f>
        <v>6.5573770491803282E-2</v>
      </c>
      <c r="W23" s="102">
        <f t="shared" si="7"/>
        <v>61</v>
      </c>
      <c r="X23" s="103">
        <f t="shared" si="8"/>
        <v>61</v>
      </c>
      <c r="Y23" s="103">
        <f t="shared" si="9"/>
        <v>0</v>
      </c>
      <c r="Z23" s="103">
        <f t="shared" si="10"/>
        <v>4</v>
      </c>
      <c r="AA23" s="104">
        <f t="shared" si="11"/>
        <v>4</v>
      </c>
    </row>
    <row r="24" spans="1:28" ht="20.25" customHeight="1" x14ac:dyDescent="0.35">
      <c r="A24" s="293"/>
      <c r="B24" s="296"/>
      <c r="C24" s="35" t="s">
        <v>82</v>
      </c>
      <c r="D24" s="10">
        <v>6</v>
      </c>
      <c r="E24" s="10" t="s">
        <v>16</v>
      </c>
      <c r="F24" s="126">
        <v>1</v>
      </c>
      <c r="G24" s="11">
        <v>0.05</v>
      </c>
      <c r="H24" s="72">
        <f>+F24*B22</f>
        <v>610</v>
      </c>
      <c r="I24" s="68">
        <v>610</v>
      </c>
      <c r="J24" s="13">
        <f>I24-H24</f>
        <v>0</v>
      </c>
      <c r="K24" s="76">
        <v>610</v>
      </c>
      <c r="L24" s="9">
        <f t="shared" si="23"/>
        <v>0</v>
      </c>
      <c r="M24" s="79">
        <v>0</v>
      </c>
      <c r="N24" s="33">
        <f t="shared" si="24"/>
        <v>610</v>
      </c>
      <c r="O24" s="42">
        <f>+N24/B22</f>
        <v>1</v>
      </c>
      <c r="P24" s="19">
        <f>+L24+M24</f>
        <v>0</v>
      </c>
      <c r="Q24" s="82">
        <v>0</v>
      </c>
      <c r="R24" s="9">
        <f t="shared" si="25"/>
        <v>0</v>
      </c>
      <c r="S24" s="9">
        <f>+R24*G24</f>
        <v>0</v>
      </c>
      <c r="T24" s="9">
        <f>+R24*D24</f>
        <v>0</v>
      </c>
      <c r="U24" s="12">
        <f t="shared" si="26"/>
        <v>0</v>
      </c>
      <c r="W24" s="102">
        <f t="shared" si="7"/>
        <v>30.5</v>
      </c>
      <c r="X24" s="103">
        <f t="shared" si="8"/>
        <v>30.5</v>
      </c>
      <c r="Y24" s="103">
        <f t="shared" si="9"/>
        <v>0</v>
      </c>
      <c r="Z24" s="103">
        <f t="shared" si="10"/>
        <v>0</v>
      </c>
      <c r="AA24" s="104">
        <f t="shared" si="11"/>
        <v>0</v>
      </c>
    </row>
    <row r="25" spans="1:28" ht="20.25" customHeight="1" x14ac:dyDescent="0.35">
      <c r="A25" s="293"/>
      <c r="B25" s="296"/>
      <c r="C25" s="35" t="s">
        <v>63</v>
      </c>
      <c r="D25" s="10">
        <v>60</v>
      </c>
      <c r="E25" s="10" t="s">
        <v>18</v>
      </c>
      <c r="F25" s="49">
        <v>0.1</v>
      </c>
      <c r="G25" s="11">
        <v>1</v>
      </c>
      <c r="H25" s="72">
        <f>+F25*B22</f>
        <v>61</v>
      </c>
      <c r="I25" s="68">
        <v>62</v>
      </c>
      <c r="J25" s="13">
        <f>I25-H25</f>
        <v>1</v>
      </c>
      <c r="K25" s="76">
        <v>61</v>
      </c>
      <c r="L25" s="9">
        <f t="shared" si="23"/>
        <v>1</v>
      </c>
      <c r="M25" s="79">
        <v>4</v>
      </c>
      <c r="N25" s="23">
        <f t="shared" si="24"/>
        <v>57</v>
      </c>
      <c r="O25" s="42">
        <f>+N25/B22</f>
        <v>9.3442622950819676E-2</v>
      </c>
      <c r="P25" s="19">
        <f t="shared" ref="P25" si="27">+L25+M25</f>
        <v>5</v>
      </c>
      <c r="Q25" s="82">
        <v>0</v>
      </c>
      <c r="R25" s="9">
        <f t="shared" si="25"/>
        <v>5</v>
      </c>
      <c r="S25" s="9">
        <f>+R25*G25</f>
        <v>5</v>
      </c>
      <c r="T25" s="9">
        <f>+R25*D25</f>
        <v>300</v>
      </c>
      <c r="U25" s="12">
        <f t="shared" si="26"/>
        <v>8.0645161290322578E-2</v>
      </c>
      <c r="W25" s="105">
        <f t="shared" si="7"/>
        <v>62</v>
      </c>
      <c r="X25" s="106">
        <f t="shared" si="8"/>
        <v>61</v>
      </c>
      <c r="Y25" s="106">
        <f t="shared" si="9"/>
        <v>1</v>
      </c>
      <c r="Z25" s="106">
        <f t="shared" si="10"/>
        <v>4</v>
      </c>
      <c r="AA25" s="107">
        <f t="shared" si="11"/>
        <v>5</v>
      </c>
    </row>
    <row r="26" spans="1:28" ht="21.75" customHeight="1" thickBot="1" x14ac:dyDescent="0.4">
      <c r="A26" s="27"/>
      <c r="B26" s="55"/>
      <c r="C26" s="29"/>
      <c r="D26" s="15"/>
      <c r="E26" s="15"/>
      <c r="F26" s="15"/>
      <c r="G26" s="15"/>
      <c r="H26" s="74"/>
      <c r="I26" s="69"/>
      <c r="J26" s="16"/>
      <c r="K26" s="77"/>
      <c r="L26" s="15"/>
      <c r="M26" s="80"/>
      <c r="N26" s="14"/>
      <c r="O26" s="16"/>
      <c r="P26" s="20"/>
      <c r="Q26" s="83"/>
      <c r="R26" s="15"/>
      <c r="S26" s="56">
        <f>SUM(S22:S25)</f>
        <v>12.6</v>
      </c>
      <c r="T26" s="56">
        <f>SUM(T22:T25)</f>
        <v>660</v>
      </c>
      <c r="U26" s="16"/>
      <c r="W26" s="123">
        <f>SUM(W22:W25)</f>
        <v>373.7</v>
      </c>
      <c r="X26" s="124">
        <f t="shared" ref="X26:AA26" si="28">SUM(X22:X25)</f>
        <v>372.1</v>
      </c>
      <c r="Y26" s="124">
        <f t="shared" si="28"/>
        <v>1.6</v>
      </c>
      <c r="Z26" s="124">
        <f t="shared" si="28"/>
        <v>11</v>
      </c>
      <c r="AA26" s="125">
        <f t="shared" si="28"/>
        <v>12.6</v>
      </c>
    </row>
    <row r="27" spans="1:28" ht="20.25" customHeight="1" x14ac:dyDescent="0.35">
      <c r="A27" s="292" t="s">
        <v>40</v>
      </c>
      <c r="B27" s="295">
        <v>599</v>
      </c>
      <c r="C27" s="34" t="s">
        <v>31</v>
      </c>
      <c r="D27" s="4">
        <v>20</v>
      </c>
      <c r="E27" s="30" t="s">
        <v>17</v>
      </c>
      <c r="F27" s="52">
        <v>0.4</v>
      </c>
      <c r="G27" s="5">
        <v>1</v>
      </c>
      <c r="H27" s="71">
        <f>+F27*B27</f>
        <v>239.60000000000002</v>
      </c>
      <c r="I27" s="67">
        <v>245</v>
      </c>
      <c r="J27" s="22">
        <f t="shared" ref="J27:J35" si="29">I27-H27</f>
        <v>5.3999999999999773</v>
      </c>
      <c r="K27" s="75">
        <f>599*0.4</f>
        <v>239.60000000000002</v>
      </c>
      <c r="L27" s="3">
        <f>+I27-K27</f>
        <v>5.3999999999999773</v>
      </c>
      <c r="M27" s="22">
        <v>5</v>
      </c>
      <c r="N27" s="21">
        <f>+K27-M27</f>
        <v>234.60000000000002</v>
      </c>
      <c r="O27" s="41">
        <f>+N27/B27</f>
        <v>0.39165275459098503</v>
      </c>
      <c r="P27" s="18">
        <f>+L27+M27</f>
        <v>10.399999999999977</v>
      </c>
      <c r="Q27" s="81">
        <v>0</v>
      </c>
      <c r="R27" s="3">
        <f>+P27-Q27</f>
        <v>10.399999999999977</v>
      </c>
      <c r="S27" s="3">
        <f t="shared" ref="S27:S35" si="30">+R27*G27</f>
        <v>10.399999999999977</v>
      </c>
      <c r="T27" s="3">
        <f t="shared" ref="T27:T35" si="31">+R27*D27</f>
        <v>207.99999999999955</v>
      </c>
      <c r="U27" s="6">
        <f>+R27/I27</f>
        <v>4.244897959183664E-2</v>
      </c>
      <c r="W27" s="111">
        <f t="shared" si="7"/>
        <v>245</v>
      </c>
      <c r="X27" s="112">
        <f t="shared" si="8"/>
        <v>239.60000000000002</v>
      </c>
      <c r="Y27" s="112">
        <f t="shared" si="9"/>
        <v>5.3999999999999773</v>
      </c>
      <c r="Z27" s="112">
        <f t="shared" si="10"/>
        <v>5</v>
      </c>
      <c r="AA27" s="113">
        <f t="shared" si="11"/>
        <v>10.399999999999977</v>
      </c>
    </row>
    <row r="28" spans="1:28" ht="20.25" customHeight="1" x14ac:dyDescent="0.35">
      <c r="A28" s="293"/>
      <c r="B28" s="296"/>
      <c r="C28" s="35" t="s">
        <v>83</v>
      </c>
      <c r="D28" s="10">
        <v>65</v>
      </c>
      <c r="E28" s="31" t="s">
        <v>17</v>
      </c>
      <c r="F28" s="49">
        <v>0.1</v>
      </c>
      <c r="G28" s="11">
        <v>1</v>
      </c>
      <c r="H28" s="70">
        <f>+F28*B27</f>
        <v>59.900000000000006</v>
      </c>
      <c r="I28" s="68">
        <v>65</v>
      </c>
      <c r="J28" s="13">
        <f t="shared" si="29"/>
        <v>5.0999999999999943</v>
      </c>
      <c r="K28" s="76">
        <v>59.9</v>
      </c>
      <c r="L28" s="9">
        <f t="shared" ref="L28:L35" si="32">+I28-K28</f>
        <v>5.1000000000000014</v>
      </c>
      <c r="M28" s="13">
        <v>2</v>
      </c>
      <c r="N28" s="23">
        <f t="shared" ref="N28:N35" si="33">+K28-M28</f>
        <v>57.9</v>
      </c>
      <c r="O28" s="42">
        <f>+N28/B27</f>
        <v>9.6661101836393981E-2</v>
      </c>
      <c r="P28" s="19">
        <f>+L28+M28</f>
        <v>7.1000000000000014</v>
      </c>
      <c r="Q28" s="82">
        <v>0</v>
      </c>
      <c r="R28" s="9">
        <f t="shared" ref="R28:R35" si="34">+P28-Q28</f>
        <v>7.1000000000000014</v>
      </c>
      <c r="S28" s="9">
        <f t="shared" si="30"/>
        <v>7.1000000000000014</v>
      </c>
      <c r="T28" s="9">
        <f t="shared" si="31"/>
        <v>461.50000000000011</v>
      </c>
      <c r="U28" s="12">
        <f t="shared" ref="U28:U35" si="35">+R28/I28</f>
        <v>0.10923076923076926</v>
      </c>
      <c r="W28" s="102">
        <f t="shared" si="7"/>
        <v>65</v>
      </c>
      <c r="X28" s="103">
        <f t="shared" si="8"/>
        <v>59.9</v>
      </c>
      <c r="Y28" s="103">
        <f t="shared" si="9"/>
        <v>5.1000000000000014</v>
      </c>
      <c r="Z28" s="103">
        <f t="shared" si="10"/>
        <v>2</v>
      </c>
      <c r="AA28" s="104">
        <f t="shared" si="11"/>
        <v>7.1000000000000014</v>
      </c>
    </row>
    <row r="29" spans="1:28" ht="20.25" customHeight="1" x14ac:dyDescent="0.35">
      <c r="A29" s="293"/>
      <c r="B29" s="296"/>
      <c r="C29" s="35" t="s">
        <v>84</v>
      </c>
      <c r="D29" s="10">
        <v>130</v>
      </c>
      <c r="E29" s="31" t="s">
        <v>17</v>
      </c>
      <c r="F29" s="49">
        <v>0.08</v>
      </c>
      <c r="G29" s="11">
        <v>1</v>
      </c>
      <c r="H29" s="72">
        <f>+F29*B27</f>
        <v>47.92</v>
      </c>
      <c r="I29" s="68">
        <v>49</v>
      </c>
      <c r="J29" s="13">
        <f t="shared" si="29"/>
        <v>1.0799999999999983</v>
      </c>
      <c r="K29" s="76">
        <v>47.9</v>
      </c>
      <c r="L29" s="9">
        <f t="shared" si="32"/>
        <v>1.1000000000000014</v>
      </c>
      <c r="M29" s="13">
        <v>3</v>
      </c>
      <c r="N29" s="33">
        <f t="shared" si="33"/>
        <v>44.9</v>
      </c>
      <c r="O29" s="42">
        <f>+N29/B27</f>
        <v>7.4958263772954919E-2</v>
      </c>
      <c r="P29" s="19">
        <f>+L29+M29</f>
        <v>4.1000000000000014</v>
      </c>
      <c r="Q29" s="82">
        <v>0</v>
      </c>
      <c r="R29" s="9">
        <f t="shared" si="34"/>
        <v>4.1000000000000014</v>
      </c>
      <c r="S29" s="9">
        <f t="shared" si="30"/>
        <v>4.1000000000000014</v>
      </c>
      <c r="T29" s="9">
        <f t="shared" si="31"/>
        <v>533.00000000000023</v>
      </c>
      <c r="U29" s="12">
        <f t="shared" si="35"/>
        <v>8.3673469387755134E-2</v>
      </c>
      <c r="W29" s="102">
        <f t="shared" si="7"/>
        <v>49</v>
      </c>
      <c r="X29" s="103">
        <f t="shared" si="8"/>
        <v>47.9</v>
      </c>
      <c r="Y29" s="103">
        <f t="shared" si="9"/>
        <v>1.1000000000000014</v>
      </c>
      <c r="Z29" s="103">
        <f t="shared" si="10"/>
        <v>3</v>
      </c>
      <c r="AA29" s="104">
        <f t="shared" si="11"/>
        <v>4.1000000000000014</v>
      </c>
    </row>
    <row r="30" spans="1:28" ht="20.25" customHeight="1" x14ac:dyDescent="0.35">
      <c r="A30" s="293"/>
      <c r="B30" s="296"/>
      <c r="C30" s="35" t="s">
        <v>85</v>
      </c>
      <c r="D30" s="10">
        <v>55</v>
      </c>
      <c r="E30" s="31" t="s">
        <v>17</v>
      </c>
      <c r="F30" s="49">
        <v>0.1</v>
      </c>
      <c r="G30" s="11">
        <v>1</v>
      </c>
      <c r="H30" s="72">
        <f>+F30*B27</f>
        <v>59.900000000000006</v>
      </c>
      <c r="I30" s="68">
        <v>62</v>
      </c>
      <c r="J30" s="13">
        <f t="shared" si="29"/>
        <v>2.0999999999999943</v>
      </c>
      <c r="K30" s="76">
        <v>59.9</v>
      </c>
      <c r="L30" s="9">
        <f t="shared" si="32"/>
        <v>2.1000000000000014</v>
      </c>
      <c r="M30" s="13">
        <v>2</v>
      </c>
      <c r="N30" s="23">
        <f t="shared" si="33"/>
        <v>57.9</v>
      </c>
      <c r="O30" s="42">
        <f>+N30/B27</f>
        <v>9.6661101836393981E-2</v>
      </c>
      <c r="P30" s="19">
        <f t="shared" ref="P30:P35" si="36">+L30+M30</f>
        <v>4.1000000000000014</v>
      </c>
      <c r="Q30" s="82">
        <v>0</v>
      </c>
      <c r="R30" s="9">
        <f t="shared" si="34"/>
        <v>4.1000000000000014</v>
      </c>
      <c r="S30" s="9">
        <f t="shared" si="30"/>
        <v>4.1000000000000014</v>
      </c>
      <c r="T30" s="9">
        <f t="shared" si="31"/>
        <v>225.50000000000009</v>
      </c>
      <c r="U30" s="12">
        <f t="shared" si="35"/>
        <v>6.6129032258064532E-2</v>
      </c>
      <c r="W30" s="102">
        <f t="shared" si="7"/>
        <v>62</v>
      </c>
      <c r="X30" s="103">
        <f t="shared" si="8"/>
        <v>59.9</v>
      </c>
      <c r="Y30" s="103">
        <f t="shared" si="9"/>
        <v>2.1000000000000014</v>
      </c>
      <c r="Z30" s="103">
        <f t="shared" si="10"/>
        <v>2</v>
      </c>
      <c r="AA30" s="104">
        <f t="shared" si="11"/>
        <v>4.1000000000000014</v>
      </c>
    </row>
    <row r="31" spans="1:28" ht="20.25" customHeight="1" x14ac:dyDescent="0.35">
      <c r="A31" s="293"/>
      <c r="B31" s="296"/>
      <c r="C31" s="35" t="s">
        <v>32</v>
      </c>
      <c r="D31" s="10">
        <v>48</v>
      </c>
      <c r="E31" s="31" t="s">
        <v>18</v>
      </c>
      <c r="F31" s="49">
        <v>0.08</v>
      </c>
      <c r="G31" s="11">
        <v>1</v>
      </c>
      <c r="H31" s="72">
        <f>+F31*B27</f>
        <v>47.92</v>
      </c>
      <c r="I31" s="68">
        <v>49</v>
      </c>
      <c r="J31" s="13">
        <f t="shared" si="29"/>
        <v>1.0799999999999983</v>
      </c>
      <c r="K31" s="76">
        <v>47.9</v>
      </c>
      <c r="L31" s="9">
        <f t="shared" si="32"/>
        <v>1.1000000000000014</v>
      </c>
      <c r="M31" s="13">
        <v>4</v>
      </c>
      <c r="N31" s="33">
        <f t="shared" si="33"/>
        <v>43.9</v>
      </c>
      <c r="O31" s="42">
        <f>+N31/B27</f>
        <v>7.3288814691151921E-2</v>
      </c>
      <c r="P31" s="19">
        <f t="shared" si="36"/>
        <v>5.1000000000000014</v>
      </c>
      <c r="Q31" s="82">
        <v>0</v>
      </c>
      <c r="R31" s="9">
        <f t="shared" si="34"/>
        <v>5.1000000000000014</v>
      </c>
      <c r="S31" s="9">
        <f t="shared" si="30"/>
        <v>5.1000000000000014</v>
      </c>
      <c r="T31" s="9">
        <f t="shared" si="31"/>
        <v>244.80000000000007</v>
      </c>
      <c r="U31" s="12">
        <f t="shared" si="35"/>
        <v>0.10408163265306125</v>
      </c>
      <c r="W31" s="102">
        <f t="shared" si="7"/>
        <v>49</v>
      </c>
      <c r="X31" s="103">
        <f t="shared" si="8"/>
        <v>47.9</v>
      </c>
      <c r="Y31" s="103">
        <f t="shared" si="9"/>
        <v>1.1000000000000014</v>
      </c>
      <c r="Z31" s="103">
        <f t="shared" si="10"/>
        <v>4</v>
      </c>
      <c r="AA31" s="104">
        <f t="shared" si="11"/>
        <v>5.1000000000000014</v>
      </c>
    </row>
    <row r="32" spans="1:28" ht="20.25" customHeight="1" x14ac:dyDescent="0.35">
      <c r="A32" s="293"/>
      <c r="B32" s="296"/>
      <c r="C32" s="35" t="s">
        <v>54</v>
      </c>
      <c r="D32" s="10">
        <v>35</v>
      </c>
      <c r="E32" s="31" t="s">
        <v>18</v>
      </c>
      <c r="F32" s="49">
        <v>0.08</v>
      </c>
      <c r="G32" s="11">
        <v>1</v>
      </c>
      <c r="H32" s="73">
        <f>+F32*B27</f>
        <v>47.92</v>
      </c>
      <c r="I32" s="68">
        <v>48</v>
      </c>
      <c r="J32" s="13">
        <f t="shared" si="29"/>
        <v>7.9999999999998295E-2</v>
      </c>
      <c r="K32" s="76">
        <v>47.9</v>
      </c>
      <c r="L32" s="9">
        <f t="shared" si="32"/>
        <v>0.10000000000000142</v>
      </c>
      <c r="M32" s="13">
        <v>5</v>
      </c>
      <c r="N32" s="23">
        <f t="shared" si="33"/>
        <v>42.9</v>
      </c>
      <c r="O32" s="42">
        <f>+N32/B27</f>
        <v>7.1619365609348909E-2</v>
      </c>
      <c r="P32" s="19">
        <f t="shared" si="36"/>
        <v>5.1000000000000014</v>
      </c>
      <c r="Q32" s="82">
        <v>0</v>
      </c>
      <c r="R32" s="9">
        <f t="shared" si="34"/>
        <v>5.1000000000000014</v>
      </c>
      <c r="S32" s="9">
        <f t="shared" si="30"/>
        <v>5.1000000000000014</v>
      </c>
      <c r="T32" s="9">
        <f t="shared" si="31"/>
        <v>178.50000000000006</v>
      </c>
      <c r="U32" s="12">
        <f t="shared" si="35"/>
        <v>0.10625000000000002</v>
      </c>
      <c r="W32" s="102">
        <f t="shared" si="7"/>
        <v>48</v>
      </c>
      <c r="X32" s="103">
        <f t="shared" si="8"/>
        <v>47.9</v>
      </c>
      <c r="Y32" s="103">
        <f t="shared" si="9"/>
        <v>0.10000000000000142</v>
      </c>
      <c r="Z32" s="103">
        <f t="shared" si="10"/>
        <v>5</v>
      </c>
      <c r="AA32" s="104">
        <f t="shared" si="11"/>
        <v>5.1000000000000014</v>
      </c>
    </row>
    <row r="33" spans="1:28" ht="20.25" customHeight="1" x14ac:dyDescent="0.35">
      <c r="A33" s="293"/>
      <c r="B33" s="296"/>
      <c r="C33" s="35" t="s">
        <v>33</v>
      </c>
      <c r="D33" s="10">
        <v>50</v>
      </c>
      <c r="E33" s="31" t="s">
        <v>17</v>
      </c>
      <c r="F33" s="49">
        <v>0.03</v>
      </c>
      <c r="G33" s="11">
        <v>1</v>
      </c>
      <c r="H33" s="72">
        <f>+F33*B27</f>
        <v>17.97</v>
      </c>
      <c r="I33" s="68">
        <v>18</v>
      </c>
      <c r="J33" s="13">
        <f t="shared" si="29"/>
        <v>3.0000000000001137E-2</v>
      </c>
      <c r="K33" s="76">
        <v>18</v>
      </c>
      <c r="L33" s="9">
        <f t="shared" si="32"/>
        <v>0</v>
      </c>
      <c r="M33" s="13">
        <v>1</v>
      </c>
      <c r="N33" s="23">
        <f t="shared" si="33"/>
        <v>17</v>
      </c>
      <c r="O33" s="42">
        <f>+N33/B27</f>
        <v>2.8380634390651086E-2</v>
      </c>
      <c r="P33" s="19">
        <f t="shared" si="36"/>
        <v>1</v>
      </c>
      <c r="Q33" s="82">
        <v>0</v>
      </c>
      <c r="R33" s="9">
        <f t="shared" si="34"/>
        <v>1</v>
      </c>
      <c r="S33" s="9">
        <f t="shared" si="30"/>
        <v>1</v>
      </c>
      <c r="T33" s="9">
        <f t="shared" si="31"/>
        <v>50</v>
      </c>
      <c r="U33" s="12">
        <f t="shared" si="35"/>
        <v>5.5555555555555552E-2</v>
      </c>
      <c r="W33" s="102">
        <f t="shared" si="7"/>
        <v>18</v>
      </c>
      <c r="X33" s="103">
        <f t="shared" si="8"/>
        <v>18</v>
      </c>
      <c r="Y33" s="103">
        <f t="shared" si="9"/>
        <v>0</v>
      </c>
      <c r="Z33" s="103">
        <f t="shared" si="10"/>
        <v>1</v>
      </c>
      <c r="AA33" s="104">
        <f t="shared" si="11"/>
        <v>1</v>
      </c>
    </row>
    <row r="34" spans="1:28" ht="20.25" customHeight="1" x14ac:dyDescent="0.35">
      <c r="A34" s="293"/>
      <c r="B34" s="296"/>
      <c r="C34" s="35" t="s">
        <v>34</v>
      </c>
      <c r="D34" s="31">
        <v>70</v>
      </c>
      <c r="E34" s="31" t="s">
        <v>17</v>
      </c>
      <c r="F34" s="11">
        <v>0.1</v>
      </c>
      <c r="G34" s="11">
        <v>1</v>
      </c>
      <c r="H34" s="72">
        <f>+F34*B27</f>
        <v>59.900000000000006</v>
      </c>
      <c r="I34" s="68">
        <v>60</v>
      </c>
      <c r="J34" s="13">
        <f t="shared" si="29"/>
        <v>9.9999999999994316E-2</v>
      </c>
      <c r="K34" s="76">
        <v>60</v>
      </c>
      <c r="L34" s="9">
        <f t="shared" si="32"/>
        <v>0</v>
      </c>
      <c r="M34" s="13">
        <v>2</v>
      </c>
      <c r="N34" s="23">
        <f t="shared" si="33"/>
        <v>58</v>
      </c>
      <c r="O34" s="42">
        <f>+N34/B27</f>
        <v>9.6828046744574292E-2</v>
      </c>
      <c r="P34" s="19">
        <f t="shared" si="36"/>
        <v>2</v>
      </c>
      <c r="Q34" s="82">
        <v>0</v>
      </c>
      <c r="R34" s="9">
        <f t="shared" si="34"/>
        <v>2</v>
      </c>
      <c r="S34" s="9">
        <f t="shared" si="30"/>
        <v>2</v>
      </c>
      <c r="T34" s="9">
        <f t="shared" si="31"/>
        <v>140</v>
      </c>
      <c r="U34" s="12">
        <f t="shared" si="35"/>
        <v>3.3333333333333333E-2</v>
      </c>
      <c r="W34" s="102">
        <f t="shared" si="7"/>
        <v>60</v>
      </c>
      <c r="X34" s="103">
        <f t="shared" si="8"/>
        <v>60</v>
      </c>
      <c r="Y34" s="103">
        <f t="shared" si="9"/>
        <v>0</v>
      </c>
      <c r="Z34" s="103">
        <f t="shared" si="10"/>
        <v>2</v>
      </c>
      <c r="AA34" s="104">
        <f t="shared" si="11"/>
        <v>2</v>
      </c>
    </row>
    <row r="35" spans="1:28" ht="20.25" customHeight="1" x14ac:dyDescent="0.35">
      <c r="A35" s="294"/>
      <c r="B35" s="297"/>
      <c r="C35" s="40" t="s">
        <v>35</v>
      </c>
      <c r="D35" s="44">
        <v>2</v>
      </c>
      <c r="E35" s="44" t="s">
        <v>16</v>
      </c>
      <c r="F35" s="53">
        <v>2</v>
      </c>
      <c r="G35" s="45">
        <v>0.04</v>
      </c>
      <c r="H35" s="72">
        <f>+F35*B27</f>
        <v>1198</v>
      </c>
      <c r="I35" s="68">
        <v>1210</v>
      </c>
      <c r="J35" s="13">
        <f t="shared" si="29"/>
        <v>12</v>
      </c>
      <c r="K35" s="76">
        <f>599*2</f>
        <v>1198</v>
      </c>
      <c r="L35" s="9">
        <f t="shared" si="32"/>
        <v>12</v>
      </c>
      <c r="M35" s="13">
        <v>25</v>
      </c>
      <c r="N35" s="33">
        <f t="shared" si="33"/>
        <v>1173</v>
      </c>
      <c r="O35" s="42">
        <f>+N35/B27</f>
        <v>1.9582637729549248</v>
      </c>
      <c r="P35" s="19">
        <f t="shared" si="36"/>
        <v>37</v>
      </c>
      <c r="Q35" s="82">
        <v>0</v>
      </c>
      <c r="R35" s="9">
        <f t="shared" si="34"/>
        <v>37</v>
      </c>
      <c r="S35" s="9">
        <f t="shared" si="30"/>
        <v>1.48</v>
      </c>
      <c r="T35" s="9">
        <f t="shared" si="31"/>
        <v>74</v>
      </c>
      <c r="U35" s="12">
        <f t="shared" si="35"/>
        <v>3.0578512396694214E-2</v>
      </c>
      <c r="W35" s="105">
        <f t="shared" si="7"/>
        <v>48.4</v>
      </c>
      <c r="X35" s="106">
        <f t="shared" si="8"/>
        <v>47.92</v>
      </c>
      <c r="Y35" s="106">
        <f t="shared" si="9"/>
        <v>0.48</v>
      </c>
      <c r="Z35" s="106">
        <f t="shared" si="10"/>
        <v>1</v>
      </c>
      <c r="AA35" s="107">
        <f t="shared" si="11"/>
        <v>1.48</v>
      </c>
    </row>
    <row r="36" spans="1:28" ht="23.25" customHeight="1" thickBot="1" x14ac:dyDescent="0.4">
      <c r="A36" s="27"/>
      <c r="B36" s="57"/>
      <c r="C36" s="29"/>
      <c r="D36" s="15"/>
      <c r="E36" s="15"/>
      <c r="F36" s="15"/>
      <c r="G36" s="15"/>
      <c r="H36" s="14"/>
      <c r="I36" s="15"/>
      <c r="J36" s="16"/>
      <c r="K36" s="14"/>
      <c r="L36" s="15"/>
      <c r="M36" s="16"/>
      <c r="N36" s="14"/>
      <c r="O36" s="16"/>
      <c r="P36" s="20"/>
      <c r="Q36" s="15"/>
      <c r="R36" s="15"/>
      <c r="S36" s="56">
        <f>SUM(S27:S35)</f>
        <v>40.379999999999981</v>
      </c>
      <c r="T36" s="56">
        <f>SUM(T27:T35)</f>
        <v>2115.3000000000002</v>
      </c>
      <c r="U36" s="16"/>
      <c r="W36" s="122">
        <f>SUM(W27:W35)</f>
        <v>644.4</v>
      </c>
      <c r="X36" s="109">
        <f t="shared" ref="X36:AA36" si="37">SUM(X27:X35)</f>
        <v>629.01999999999987</v>
      </c>
      <c r="Y36" s="109">
        <f t="shared" si="37"/>
        <v>15.379999999999985</v>
      </c>
      <c r="Z36" s="110">
        <f t="shared" si="37"/>
        <v>25</v>
      </c>
      <c r="AA36" s="114">
        <f t="shared" si="37"/>
        <v>40.379999999999981</v>
      </c>
      <c r="AB36" s="94"/>
    </row>
    <row r="37" spans="1:28" ht="31.5" customHeight="1" thickBot="1" x14ac:dyDescent="0.4">
      <c r="A37" s="58" t="s">
        <v>42</v>
      </c>
      <c r="B37" s="32">
        <f>+B4+B12+B22+B27</f>
        <v>2889</v>
      </c>
      <c r="C37" s="29"/>
      <c r="D37" s="15"/>
      <c r="E37" s="15"/>
      <c r="F37" s="15"/>
      <c r="G37" s="15"/>
      <c r="H37" s="14"/>
      <c r="I37" s="15"/>
      <c r="J37" s="16"/>
      <c r="K37" s="14"/>
      <c r="L37" s="15"/>
      <c r="M37" s="16"/>
      <c r="N37" s="14"/>
      <c r="O37" s="16"/>
      <c r="P37" s="20"/>
      <c r="Q37" s="15"/>
      <c r="R37" s="17"/>
      <c r="S37" s="85">
        <f>+S36+S26+S21+S11</f>
        <v>160.61999999999998</v>
      </c>
      <c r="T37" s="85">
        <f>+T36+T26+T21+T11</f>
        <v>8399.7999999999993</v>
      </c>
      <c r="U37" s="62"/>
      <c r="W37" s="108">
        <f>+W11+W21+W26+W36</f>
        <v>2523.35</v>
      </c>
      <c r="X37" s="119">
        <f t="shared" ref="X37:AA37" si="38">+X11+X21+X26+X36</f>
        <v>2464.13</v>
      </c>
      <c r="Y37" s="119">
        <f t="shared" si="38"/>
        <v>59.22</v>
      </c>
      <c r="Z37" s="121">
        <f t="shared" si="38"/>
        <v>136.4</v>
      </c>
      <c r="AA37" s="120">
        <f t="shared" si="38"/>
        <v>160.62</v>
      </c>
      <c r="AB37" s="94"/>
    </row>
    <row r="38" spans="1:28" x14ac:dyDescent="0.35">
      <c r="B38" s="59"/>
      <c r="Y38" s="63"/>
    </row>
    <row r="39" spans="1:28" ht="15" thickBot="1" x14ac:dyDescent="0.4">
      <c r="W39" s="63"/>
      <c r="X39" s="63"/>
      <c r="Y39" s="63"/>
      <c r="Z39" s="63"/>
      <c r="AA39" s="63"/>
    </row>
    <row r="40" spans="1:28" ht="16" thickBot="1" x14ac:dyDescent="0.4">
      <c r="A40" s="322" t="s">
        <v>45</v>
      </c>
      <c r="B40" s="323"/>
      <c r="C40" s="323"/>
      <c r="D40" s="323"/>
      <c r="E40" s="323"/>
      <c r="F40" s="324"/>
    </row>
    <row r="41" spans="1:28" ht="30.75" customHeight="1" x14ac:dyDescent="0.35">
      <c r="A41" s="7" t="s">
        <v>6</v>
      </c>
      <c r="B41" s="8" t="s">
        <v>7</v>
      </c>
      <c r="C41" s="8" t="s">
        <v>53</v>
      </c>
      <c r="D41" s="60" t="s">
        <v>52</v>
      </c>
      <c r="E41" s="60" t="s">
        <v>57</v>
      </c>
      <c r="F41" s="90" t="s">
        <v>46</v>
      </c>
      <c r="O41" s="129" t="s">
        <v>60</v>
      </c>
      <c r="P41" s="130" t="s">
        <v>59</v>
      </c>
      <c r="X41" s="63"/>
    </row>
    <row r="42" spans="1:28" ht="25.5" customHeight="1" x14ac:dyDescent="0.35">
      <c r="A42" s="91" t="s">
        <v>47</v>
      </c>
      <c r="B42" s="92">
        <f>+B4</f>
        <v>783</v>
      </c>
      <c r="C42" s="92">
        <f>+W11</f>
        <v>561.75</v>
      </c>
      <c r="D42" s="99">
        <f>+AA11</f>
        <v>55.800000000000018</v>
      </c>
      <c r="E42" s="95">
        <f>+D42/B42</f>
        <v>7.1264367816091981E-2</v>
      </c>
      <c r="F42" s="12">
        <f>+D42/C42</f>
        <v>9.9332443257676942E-2</v>
      </c>
      <c r="O42" s="72">
        <f>+X11</f>
        <v>547.95000000000005</v>
      </c>
      <c r="P42" s="65">
        <f>+Z11</f>
        <v>42</v>
      </c>
    </row>
    <row r="43" spans="1:28" ht="25.5" customHeight="1" x14ac:dyDescent="0.35">
      <c r="A43" s="91" t="s">
        <v>48</v>
      </c>
      <c r="B43" s="92">
        <f>+B12</f>
        <v>897</v>
      </c>
      <c r="C43" s="92">
        <f>+W21</f>
        <v>943.5</v>
      </c>
      <c r="D43" s="99">
        <f>+AA21</f>
        <v>51.839999999999989</v>
      </c>
      <c r="E43" s="95">
        <f>+D43/B43</f>
        <v>5.7792642140468219E-2</v>
      </c>
      <c r="F43" s="12">
        <f t="shared" ref="F43:F45" si="39">+D43/C43</f>
        <v>5.4944356120826696E-2</v>
      </c>
      <c r="O43" s="72">
        <f>+X21</f>
        <v>915.06</v>
      </c>
      <c r="P43" s="65">
        <f>+Z21</f>
        <v>58.4</v>
      </c>
      <c r="Q43" s="133"/>
      <c r="R43" s="134"/>
    </row>
    <row r="44" spans="1:28" ht="25.5" customHeight="1" x14ac:dyDescent="0.35">
      <c r="A44" s="91" t="s">
        <v>49</v>
      </c>
      <c r="B44" s="92">
        <f>+B22</f>
        <v>610</v>
      </c>
      <c r="C44" s="92">
        <f>+W26</f>
        <v>373.7</v>
      </c>
      <c r="D44" s="99">
        <f>+AA26</f>
        <v>12.6</v>
      </c>
      <c r="E44" s="95">
        <f>+D44/B44</f>
        <v>2.0655737704918031E-2</v>
      </c>
      <c r="F44" s="12">
        <f t="shared" si="39"/>
        <v>3.3716885202033718E-2</v>
      </c>
      <c r="O44" s="72">
        <f>+X26</f>
        <v>372.1</v>
      </c>
      <c r="P44" s="65">
        <f>+Z26</f>
        <v>11</v>
      </c>
    </row>
    <row r="45" spans="1:28" ht="25.5" customHeight="1" x14ac:dyDescent="0.35">
      <c r="A45" s="91" t="s">
        <v>50</v>
      </c>
      <c r="B45" s="92">
        <f>+B27</f>
        <v>599</v>
      </c>
      <c r="C45" s="92">
        <f>+W36</f>
        <v>644.4</v>
      </c>
      <c r="D45" s="99">
        <f>+AA36</f>
        <v>40.379999999999981</v>
      </c>
      <c r="E45" s="95">
        <f>+D45/B45</f>
        <v>6.7412353923205312E-2</v>
      </c>
      <c r="F45" s="12">
        <f t="shared" si="39"/>
        <v>6.2662942271880795E-2</v>
      </c>
      <c r="O45" s="72">
        <f>+X36</f>
        <v>629.01999999999987</v>
      </c>
      <c r="P45" s="65">
        <f>+Z36</f>
        <v>25</v>
      </c>
    </row>
    <row r="46" spans="1:28" ht="27" customHeight="1" thickBot="1" x14ac:dyDescent="0.4">
      <c r="A46" s="93" t="s">
        <v>51</v>
      </c>
      <c r="B46" s="96">
        <f>SUM(B42:B45)</f>
        <v>2889</v>
      </c>
      <c r="C46" s="96">
        <f>SUM(C42:C45)</f>
        <v>2523.35</v>
      </c>
      <c r="D46" s="100">
        <f>SUM(D42:D45)</f>
        <v>160.62</v>
      </c>
      <c r="E46" s="97">
        <f>+D46/B46</f>
        <v>5.5597092419522327E-2</v>
      </c>
      <c r="F46" s="101">
        <f>+D46/B46</f>
        <v>5.5597092419522327E-2</v>
      </c>
      <c r="G46" s="98"/>
      <c r="O46" s="131">
        <f>SUM(O42:O45)</f>
        <v>2464.13</v>
      </c>
      <c r="P46" s="132">
        <f>SUM(P42:P45)</f>
        <v>136.4</v>
      </c>
    </row>
    <row r="47" spans="1:28" x14ac:dyDescent="0.35">
      <c r="F47" s="59"/>
    </row>
    <row r="48" spans="1:28" x14ac:dyDescent="0.35">
      <c r="B48">
        <v>410</v>
      </c>
    </row>
    <row r="49" spans="2:2" x14ac:dyDescent="0.35">
      <c r="B49">
        <f>+B46+B48</f>
        <v>3299</v>
      </c>
    </row>
  </sheetData>
  <mergeCells count="16">
    <mergeCell ref="A27:A35"/>
    <mergeCell ref="B27:B35"/>
    <mergeCell ref="A40:F40"/>
    <mergeCell ref="W2:AA2"/>
    <mergeCell ref="A4:A10"/>
    <mergeCell ref="B4:B10"/>
    <mergeCell ref="A12:A20"/>
    <mergeCell ref="B12:B20"/>
    <mergeCell ref="A22:A25"/>
    <mergeCell ref="B22:B25"/>
    <mergeCell ref="P2:U2"/>
    <mergeCell ref="A1:F1"/>
    <mergeCell ref="A2:G2"/>
    <mergeCell ref="H2:J2"/>
    <mergeCell ref="K2:M2"/>
    <mergeCell ref="N2:O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8D19B-6873-4266-8D9E-887630002F6E}">
  <dimension ref="A1:AB49"/>
  <sheetViews>
    <sheetView workbookViewId="0">
      <pane xSplit="7" ySplit="3" topLeftCell="M33" activePane="bottomRight" state="frozen"/>
      <selection pane="topRight" activeCell="H1" sqref="H1"/>
      <selection pane="bottomLeft" activeCell="A4" sqref="A4"/>
      <selection pane="bottomRight" activeCell="M41" sqref="M41"/>
    </sheetView>
  </sheetViews>
  <sheetFormatPr defaultRowHeight="14.5" x14ac:dyDescent="0.35"/>
  <cols>
    <col min="1" max="1" width="11" customWidth="1"/>
    <col min="2" max="2" width="7.81640625" customWidth="1"/>
    <col min="3" max="3" width="20" customWidth="1"/>
    <col min="4" max="4" width="9.1796875" customWidth="1"/>
    <col min="5" max="5" width="9.26953125" customWidth="1"/>
    <col min="6" max="6" width="10" customWidth="1"/>
    <col min="7" max="7" width="8.1796875" customWidth="1"/>
    <col min="8" max="8" width="12.54296875" customWidth="1"/>
    <col min="9" max="9" width="12.453125" customWidth="1"/>
    <col min="10" max="10" width="11" customWidth="1"/>
    <col min="11" max="11" width="9.453125" customWidth="1"/>
    <col min="12" max="12" width="11" customWidth="1"/>
    <col min="13" max="13" width="13.54296875" customWidth="1"/>
    <col min="14" max="14" width="14.81640625" customWidth="1"/>
    <col min="15" max="15" width="16" customWidth="1"/>
    <col min="16" max="16" width="11.26953125" customWidth="1"/>
    <col min="17" max="18" width="9.54296875" customWidth="1"/>
    <col min="19" max="20" width="10.81640625" customWidth="1"/>
    <col min="21" max="21" width="12.7265625" customWidth="1"/>
    <col min="22" max="22" width="8.7265625" customWidth="1"/>
    <col min="23" max="23" width="11.453125" customWidth="1"/>
    <col min="24" max="24" width="11" customWidth="1"/>
  </cols>
  <sheetData>
    <row r="1" spans="1:28" ht="22.5" customHeight="1" thickBot="1" x14ac:dyDescent="0.4">
      <c r="A1" s="308" t="s">
        <v>36</v>
      </c>
      <c r="B1" s="309"/>
      <c r="C1" s="309"/>
      <c r="D1" s="309"/>
      <c r="E1" s="309"/>
      <c r="F1" s="310"/>
    </row>
    <row r="2" spans="1:28" ht="22.5" customHeight="1" thickBot="1" x14ac:dyDescent="0.4">
      <c r="A2" s="311" t="s">
        <v>86</v>
      </c>
      <c r="B2" s="312"/>
      <c r="C2" s="312"/>
      <c r="D2" s="312"/>
      <c r="E2" s="312"/>
      <c r="F2" s="312"/>
      <c r="G2" s="313"/>
      <c r="H2" s="314" t="s">
        <v>22</v>
      </c>
      <c r="I2" s="315"/>
      <c r="J2" s="316"/>
      <c r="K2" s="317" t="s">
        <v>23</v>
      </c>
      <c r="L2" s="318"/>
      <c r="M2" s="319"/>
      <c r="N2" s="320" t="s">
        <v>24</v>
      </c>
      <c r="O2" s="321"/>
      <c r="P2" s="305" t="s">
        <v>25</v>
      </c>
      <c r="Q2" s="306"/>
      <c r="R2" s="306"/>
      <c r="S2" s="306"/>
      <c r="T2" s="306"/>
      <c r="U2" s="307"/>
      <c r="W2" s="325" t="s">
        <v>43</v>
      </c>
      <c r="X2" s="326"/>
      <c r="Y2" s="326"/>
      <c r="Z2" s="326"/>
      <c r="AA2" s="327"/>
    </row>
    <row r="3" spans="1:28" ht="58.5" thickBot="1" x14ac:dyDescent="0.4">
      <c r="A3" s="39" t="s">
        <v>6</v>
      </c>
      <c r="B3" s="38" t="s">
        <v>7</v>
      </c>
      <c r="C3" s="38" t="s">
        <v>0</v>
      </c>
      <c r="D3" s="37" t="s">
        <v>15</v>
      </c>
      <c r="E3" s="38" t="s">
        <v>1</v>
      </c>
      <c r="F3" s="36" t="s">
        <v>27</v>
      </c>
      <c r="G3" s="37" t="s">
        <v>19</v>
      </c>
      <c r="H3" s="25" t="s">
        <v>4</v>
      </c>
      <c r="I3" s="89" t="s">
        <v>44</v>
      </c>
      <c r="J3" s="26" t="s">
        <v>29</v>
      </c>
      <c r="K3" s="88" t="s">
        <v>3</v>
      </c>
      <c r="L3" s="1" t="s">
        <v>28</v>
      </c>
      <c r="M3" s="87" t="s">
        <v>5</v>
      </c>
      <c r="N3" s="25" t="s">
        <v>20</v>
      </c>
      <c r="O3" s="26" t="s">
        <v>21</v>
      </c>
      <c r="P3" s="24" t="s">
        <v>8</v>
      </c>
      <c r="Q3" s="86" t="s">
        <v>9</v>
      </c>
      <c r="R3" s="2" t="s">
        <v>10</v>
      </c>
      <c r="S3" s="1" t="s">
        <v>26</v>
      </c>
      <c r="T3" s="1" t="s">
        <v>11</v>
      </c>
      <c r="U3" s="1" t="s">
        <v>30</v>
      </c>
      <c r="W3" s="43" t="s">
        <v>2</v>
      </c>
      <c r="X3" s="60" t="s">
        <v>3</v>
      </c>
      <c r="Y3" s="60" t="s">
        <v>28</v>
      </c>
      <c r="Z3" s="60" t="s">
        <v>5</v>
      </c>
      <c r="AA3" s="61" t="s">
        <v>26</v>
      </c>
    </row>
    <row r="4" spans="1:28" ht="20.25" customHeight="1" x14ac:dyDescent="0.35">
      <c r="A4" s="301" t="s">
        <v>37</v>
      </c>
      <c r="B4" s="303">
        <v>1413</v>
      </c>
      <c r="C4" s="34" t="s">
        <v>55</v>
      </c>
      <c r="D4" s="4">
        <v>2</v>
      </c>
      <c r="E4" s="30" t="s">
        <v>16</v>
      </c>
      <c r="F4" s="47">
        <v>2</v>
      </c>
      <c r="G4" s="5">
        <v>0.05</v>
      </c>
      <c r="H4" s="71">
        <f>+F4*B4</f>
        <v>2826</v>
      </c>
      <c r="I4" s="67">
        <v>2840</v>
      </c>
      <c r="J4" s="22">
        <f t="shared" ref="J4:J10" si="0">I4-H4</f>
        <v>14</v>
      </c>
      <c r="K4" s="75">
        <v>2826</v>
      </c>
      <c r="L4" s="127">
        <f>+I4-K4</f>
        <v>14</v>
      </c>
      <c r="M4" s="78">
        <v>65</v>
      </c>
      <c r="N4" s="128">
        <f>+K4-M4</f>
        <v>2761</v>
      </c>
      <c r="O4" s="64">
        <f>+N4/B4</f>
        <v>1.9539985845718331</v>
      </c>
      <c r="P4" s="18">
        <f>+L4+M4</f>
        <v>79</v>
      </c>
      <c r="Q4" s="81">
        <v>20</v>
      </c>
      <c r="R4" s="3">
        <f t="shared" ref="R4:R10" si="1">+P4-Q4</f>
        <v>59</v>
      </c>
      <c r="S4" s="3">
        <f t="shared" ref="S4:S10" si="2">+R4*G4</f>
        <v>2.95</v>
      </c>
      <c r="T4" s="3">
        <f t="shared" ref="T4:T10" si="3">+R4*D4</f>
        <v>118</v>
      </c>
      <c r="U4" s="6">
        <f>+R4/I4</f>
        <v>2.0774647887323944E-2</v>
      </c>
      <c r="W4" s="102">
        <f>+I4*G4</f>
        <v>142</v>
      </c>
      <c r="X4" s="103">
        <f>+K4*G4</f>
        <v>141.30000000000001</v>
      </c>
      <c r="Y4" s="103">
        <f>+L4*G4</f>
        <v>0.70000000000000007</v>
      </c>
      <c r="Z4" s="103">
        <f>+M4*G4</f>
        <v>3.25</v>
      </c>
      <c r="AA4" s="104">
        <f>+R4*G4</f>
        <v>2.95</v>
      </c>
    </row>
    <row r="5" spans="1:28" ht="20.25" customHeight="1" x14ac:dyDescent="0.35">
      <c r="A5" s="302"/>
      <c r="B5" s="304"/>
      <c r="C5" s="35" t="s">
        <v>87</v>
      </c>
      <c r="D5" s="10">
        <v>4</v>
      </c>
      <c r="E5" s="31" t="s">
        <v>16</v>
      </c>
      <c r="F5" s="48">
        <v>2</v>
      </c>
      <c r="G5" s="11">
        <v>0.05</v>
      </c>
      <c r="H5" s="70">
        <f>+F5*B4</f>
        <v>2826</v>
      </c>
      <c r="I5" s="68">
        <v>2835</v>
      </c>
      <c r="J5" s="13">
        <f t="shared" si="0"/>
        <v>9</v>
      </c>
      <c r="K5" s="76">
        <v>2826</v>
      </c>
      <c r="L5" s="9">
        <f t="shared" ref="L5:L10" si="4">+I5-K5</f>
        <v>9</v>
      </c>
      <c r="M5" s="79">
        <v>23</v>
      </c>
      <c r="N5" s="23">
        <f t="shared" ref="N5:N10" si="5">+K5-M5</f>
        <v>2803</v>
      </c>
      <c r="O5" s="65">
        <f>+N5/B4</f>
        <v>1.9837225760792641</v>
      </c>
      <c r="P5" s="19">
        <f>+L5+M5</f>
        <v>32</v>
      </c>
      <c r="Q5" s="82">
        <v>0</v>
      </c>
      <c r="R5" s="9">
        <f t="shared" si="1"/>
        <v>32</v>
      </c>
      <c r="S5" s="9">
        <f t="shared" si="2"/>
        <v>1.6</v>
      </c>
      <c r="T5" s="9">
        <f t="shared" si="3"/>
        <v>128</v>
      </c>
      <c r="U5" s="12">
        <f t="shared" ref="U5:U9" si="6">+R5/I5</f>
        <v>1.1287477954144622E-2</v>
      </c>
      <c r="W5" s="102">
        <f t="shared" ref="W5:W35" si="7">+I5*G5</f>
        <v>141.75</v>
      </c>
      <c r="X5" s="103">
        <f t="shared" ref="X5:X35" si="8">+K5*G5</f>
        <v>141.30000000000001</v>
      </c>
      <c r="Y5" s="103">
        <f t="shared" ref="Y5:Y35" si="9">+L5*G5</f>
        <v>0.45</v>
      </c>
      <c r="Z5" s="103">
        <f t="shared" ref="Z5:Z35" si="10">+M5*G5</f>
        <v>1.1500000000000001</v>
      </c>
      <c r="AA5" s="104">
        <f t="shared" ref="AA5:AA35" si="11">+R5*G5</f>
        <v>1.6</v>
      </c>
    </row>
    <row r="6" spans="1:28" ht="20.25" customHeight="1" x14ac:dyDescent="0.35">
      <c r="A6" s="302"/>
      <c r="B6" s="304"/>
      <c r="C6" s="35" t="s">
        <v>88</v>
      </c>
      <c r="D6" s="10">
        <v>40</v>
      </c>
      <c r="E6" s="31" t="s">
        <v>17</v>
      </c>
      <c r="F6" s="49">
        <v>0.15</v>
      </c>
      <c r="G6" s="11">
        <v>1</v>
      </c>
      <c r="H6" s="72">
        <f>+F6*B4</f>
        <v>211.95</v>
      </c>
      <c r="I6" s="68">
        <v>220</v>
      </c>
      <c r="J6" s="13">
        <f t="shared" si="0"/>
        <v>8.0500000000000114</v>
      </c>
      <c r="K6" s="76">
        <v>212</v>
      </c>
      <c r="L6" s="9">
        <f t="shared" si="4"/>
        <v>8</v>
      </c>
      <c r="M6" s="79">
        <v>14.5</v>
      </c>
      <c r="N6" s="33">
        <f t="shared" si="5"/>
        <v>197.5</v>
      </c>
      <c r="O6" s="42">
        <f>+N6/B4</f>
        <v>0.1397735314932767</v>
      </c>
      <c r="P6" s="19">
        <f>+L6+M6</f>
        <v>22.5</v>
      </c>
      <c r="Q6" s="82">
        <v>0</v>
      </c>
      <c r="R6" s="9">
        <f t="shared" si="1"/>
        <v>22.5</v>
      </c>
      <c r="S6" s="9">
        <f t="shared" si="2"/>
        <v>22.5</v>
      </c>
      <c r="T6" s="9">
        <f t="shared" si="3"/>
        <v>900</v>
      </c>
      <c r="U6" s="12">
        <f t="shared" si="6"/>
        <v>0.10227272727272728</v>
      </c>
      <c r="W6" s="102">
        <f t="shared" si="7"/>
        <v>220</v>
      </c>
      <c r="X6" s="103">
        <f t="shared" si="8"/>
        <v>212</v>
      </c>
      <c r="Y6" s="103">
        <f t="shared" si="9"/>
        <v>8</v>
      </c>
      <c r="Z6" s="103">
        <f t="shared" si="10"/>
        <v>14.5</v>
      </c>
      <c r="AA6" s="104">
        <f t="shared" si="11"/>
        <v>22.5</v>
      </c>
    </row>
    <row r="7" spans="1:28" ht="20.25" customHeight="1" x14ac:dyDescent="0.35">
      <c r="A7" s="302"/>
      <c r="B7" s="304"/>
      <c r="C7" s="35" t="s">
        <v>12</v>
      </c>
      <c r="D7" s="10">
        <v>45</v>
      </c>
      <c r="E7" s="31" t="s">
        <v>17</v>
      </c>
      <c r="F7" s="49">
        <v>0.1</v>
      </c>
      <c r="G7" s="11">
        <v>1</v>
      </c>
      <c r="H7" s="72">
        <f>+F7*B4</f>
        <v>141.30000000000001</v>
      </c>
      <c r="I7" s="68">
        <v>145.5</v>
      </c>
      <c r="J7" s="13">
        <f t="shared" si="0"/>
        <v>4.1999999999999886</v>
      </c>
      <c r="K7" s="76">
        <v>141.30000000000001</v>
      </c>
      <c r="L7" s="9">
        <f t="shared" si="4"/>
        <v>4.1999999999999886</v>
      </c>
      <c r="M7" s="79">
        <v>12</v>
      </c>
      <c r="N7" s="23">
        <f t="shared" si="5"/>
        <v>129.30000000000001</v>
      </c>
      <c r="O7" s="42">
        <f>+N7/B4</f>
        <v>9.1507430997876865E-2</v>
      </c>
      <c r="P7" s="19">
        <f t="shared" ref="P7:P10" si="12">+L7+M7</f>
        <v>16.199999999999989</v>
      </c>
      <c r="Q7" s="82">
        <v>0</v>
      </c>
      <c r="R7" s="9">
        <f t="shared" si="1"/>
        <v>16.199999999999989</v>
      </c>
      <c r="S7" s="9">
        <f t="shared" si="2"/>
        <v>16.199999999999989</v>
      </c>
      <c r="T7" s="9">
        <f t="shared" si="3"/>
        <v>728.99999999999955</v>
      </c>
      <c r="U7" s="12">
        <f t="shared" si="6"/>
        <v>0.11134020618556693</v>
      </c>
      <c r="W7" s="102">
        <f t="shared" si="7"/>
        <v>145.5</v>
      </c>
      <c r="X7" s="103">
        <f t="shared" si="8"/>
        <v>141.30000000000001</v>
      </c>
      <c r="Y7" s="103">
        <f t="shared" si="9"/>
        <v>4.1999999999999886</v>
      </c>
      <c r="Z7" s="103">
        <f t="shared" si="10"/>
        <v>12</v>
      </c>
      <c r="AA7" s="104">
        <f t="shared" si="11"/>
        <v>16.199999999999989</v>
      </c>
    </row>
    <row r="8" spans="1:28" ht="20.25" customHeight="1" x14ac:dyDescent="0.35">
      <c r="A8" s="302"/>
      <c r="B8" s="304"/>
      <c r="C8" s="35" t="s">
        <v>13</v>
      </c>
      <c r="D8" s="10">
        <v>52</v>
      </c>
      <c r="E8" s="31" t="s">
        <v>17</v>
      </c>
      <c r="F8" s="49">
        <v>0.1</v>
      </c>
      <c r="G8" s="11">
        <v>1</v>
      </c>
      <c r="H8" s="72">
        <f>+F8*B4</f>
        <v>141.30000000000001</v>
      </c>
      <c r="I8" s="68">
        <v>145</v>
      </c>
      <c r="J8" s="13">
        <f t="shared" si="0"/>
        <v>3.6999999999999886</v>
      </c>
      <c r="K8" s="76">
        <v>141.30000000000001</v>
      </c>
      <c r="L8" s="9">
        <f>+I8-K8</f>
        <v>3.6999999999999886</v>
      </c>
      <c r="M8" s="79">
        <v>11.5</v>
      </c>
      <c r="N8" s="33">
        <f t="shared" si="5"/>
        <v>129.80000000000001</v>
      </c>
      <c r="O8" s="42">
        <f>+N8/B4</f>
        <v>9.1861288039631991E-2</v>
      </c>
      <c r="P8" s="19">
        <f t="shared" si="12"/>
        <v>15.199999999999989</v>
      </c>
      <c r="Q8" s="82">
        <v>0</v>
      </c>
      <c r="R8" s="9">
        <f t="shared" si="1"/>
        <v>15.199999999999989</v>
      </c>
      <c r="S8" s="9">
        <f t="shared" si="2"/>
        <v>15.199999999999989</v>
      </c>
      <c r="T8" s="9">
        <f t="shared" si="3"/>
        <v>790.39999999999941</v>
      </c>
      <c r="U8" s="12">
        <f t="shared" si="6"/>
        <v>0.10482758620689647</v>
      </c>
      <c r="W8" s="102">
        <f t="shared" si="7"/>
        <v>145</v>
      </c>
      <c r="X8" s="103">
        <f t="shared" si="8"/>
        <v>141.30000000000001</v>
      </c>
      <c r="Y8" s="103">
        <f t="shared" si="9"/>
        <v>3.6999999999999886</v>
      </c>
      <c r="Z8" s="103">
        <f t="shared" si="10"/>
        <v>11.5</v>
      </c>
      <c r="AA8" s="104">
        <f t="shared" si="11"/>
        <v>15.199999999999989</v>
      </c>
    </row>
    <row r="9" spans="1:28" ht="20.25" customHeight="1" x14ac:dyDescent="0.35">
      <c r="A9" s="302"/>
      <c r="B9" s="304"/>
      <c r="C9" s="35" t="s">
        <v>89</v>
      </c>
      <c r="D9" s="10">
        <v>60</v>
      </c>
      <c r="E9" s="31" t="s">
        <v>17</v>
      </c>
      <c r="F9" s="49">
        <v>0.05</v>
      </c>
      <c r="G9" s="11">
        <v>1</v>
      </c>
      <c r="H9" s="73">
        <f>+F9*B4</f>
        <v>70.650000000000006</v>
      </c>
      <c r="I9" s="68">
        <v>72</v>
      </c>
      <c r="J9" s="13">
        <f t="shared" si="0"/>
        <v>1.3499999999999943</v>
      </c>
      <c r="K9" s="76">
        <v>70.7</v>
      </c>
      <c r="L9" s="54">
        <f>+I9-K9</f>
        <v>1.2999999999999972</v>
      </c>
      <c r="M9" s="79">
        <v>3</v>
      </c>
      <c r="N9" s="23">
        <f t="shared" si="5"/>
        <v>67.7</v>
      </c>
      <c r="O9" s="42">
        <f>+N9/B4</f>
        <v>4.7912243453644726E-2</v>
      </c>
      <c r="P9" s="19">
        <f t="shared" si="12"/>
        <v>4.2999999999999972</v>
      </c>
      <c r="Q9" s="82">
        <v>0</v>
      </c>
      <c r="R9" s="9">
        <f t="shared" si="1"/>
        <v>4.2999999999999972</v>
      </c>
      <c r="S9" s="9">
        <f t="shared" si="2"/>
        <v>4.2999999999999972</v>
      </c>
      <c r="T9" s="9">
        <f t="shared" si="3"/>
        <v>257.99999999999983</v>
      </c>
      <c r="U9" s="12">
        <f t="shared" si="6"/>
        <v>5.9722222222222184E-2</v>
      </c>
      <c r="W9" s="102">
        <f t="shared" si="7"/>
        <v>72</v>
      </c>
      <c r="X9" s="103">
        <f t="shared" si="8"/>
        <v>70.7</v>
      </c>
      <c r="Y9" s="103">
        <f t="shared" si="9"/>
        <v>1.2999999999999972</v>
      </c>
      <c r="Z9" s="103">
        <f t="shared" si="10"/>
        <v>3</v>
      </c>
      <c r="AA9" s="104">
        <f t="shared" si="11"/>
        <v>4.2999999999999972</v>
      </c>
    </row>
    <row r="10" spans="1:28" ht="20.25" customHeight="1" x14ac:dyDescent="0.35">
      <c r="A10" s="302"/>
      <c r="B10" s="304"/>
      <c r="C10" s="35" t="s">
        <v>14</v>
      </c>
      <c r="D10" s="10">
        <v>60</v>
      </c>
      <c r="E10" s="31" t="s">
        <v>18</v>
      </c>
      <c r="F10" s="49">
        <v>0.1</v>
      </c>
      <c r="G10" s="11">
        <v>1</v>
      </c>
      <c r="H10" s="72">
        <f>+F10*B4</f>
        <v>141.30000000000001</v>
      </c>
      <c r="I10" s="68">
        <v>146</v>
      </c>
      <c r="J10" s="13">
        <f t="shared" si="0"/>
        <v>4.6999999999999886</v>
      </c>
      <c r="K10" s="76">
        <v>141.30000000000001</v>
      </c>
      <c r="L10" s="9">
        <f t="shared" si="4"/>
        <v>4.6999999999999886</v>
      </c>
      <c r="M10" s="79">
        <v>4.3</v>
      </c>
      <c r="N10" s="33">
        <f t="shared" si="5"/>
        <v>137</v>
      </c>
      <c r="O10" s="42">
        <f>+N10/B4</f>
        <v>9.6956829440905876E-2</v>
      </c>
      <c r="P10" s="19">
        <f t="shared" si="12"/>
        <v>8.9999999999999893</v>
      </c>
      <c r="Q10" s="82">
        <v>0</v>
      </c>
      <c r="R10" s="9">
        <f t="shared" si="1"/>
        <v>8.9999999999999893</v>
      </c>
      <c r="S10" s="9">
        <f t="shared" si="2"/>
        <v>8.9999999999999893</v>
      </c>
      <c r="T10" s="9">
        <f t="shared" si="3"/>
        <v>539.99999999999932</v>
      </c>
      <c r="U10" s="12">
        <f>+R10/I10</f>
        <v>6.1643835616438283E-2</v>
      </c>
      <c r="W10" s="115">
        <f t="shared" si="7"/>
        <v>146</v>
      </c>
      <c r="X10" s="116">
        <f t="shared" si="8"/>
        <v>141.30000000000001</v>
      </c>
      <c r="Y10" s="116">
        <f t="shared" si="9"/>
        <v>4.6999999999999886</v>
      </c>
      <c r="Z10" s="116">
        <f t="shared" si="10"/>
        <v>4.3</v>
      </c>
      <c r="AA10" s="117">
        <f t="shared" si="11"/>
        <v>8.9999999999999893</v>
      </c>
    </row>
    <row r="11" spans="1:28" ht="20.25" customHeight="1" thickBot="1" x14ac:dyDescent="0.4">
      <c r="A11" s="27"/>
      <c r="B11" s="51"/>
      <c r="C11" s="50"/>
      <c r="D11" s="15"/>
      <c r="E11" s="15"/>
      <c r="F11" s="15"/>
      <c r="G11" s="15"/>
      <c r="H11" s="74"/>
      <c r="I11" s="69"/>
      <c r="J11" s="16"/>
      <c r="K11" s="77"/>
      <c r="L11" s="15"/>
      <c r="M11" s="80"/>
      <c r="N11" s="14"/>
      <c r="O11" s="16"/>
      <c r="P11" s="20"/>
      <c r="Q11" s="83"/>
      <c r="R11" s="15"/>
      <c r="S11" s="84">
        <f>SUM(S4:S10)</f>
        <v>71.749999999999957</v>
      </c>
      <c r="T11" s="56">
        <f>SUM(T4:T10)</f>
        <v>3463.3999999999978</v>
      </c>
      <c r="U11" s="16"/>
      <c r="W11" s="118">
        <f>SUM(W4:W10)</f>
        <v>1012.25</v>
      </c>
      <c r="X11" s="109">
        <f t="shared" ref="X11:AA11" si="13">SUM(X4:X10)</f>
        <v>989.2</v>
      </c>
      <c r="Y11" s="109">
        <f t="shared" si="13"/>
        <v>23.049999999999962</v>
      </c>
      <c r="Z11" s="110">
        <f t="shared" si="13"/>
        <v>49.699999999999996</v>
      </c>
      <c r="AA11" s="114">
        <f t="shared" si="13"/>
        <v>71.749999999999957</v>
      </c>
      <c r="AB11" s="94"/>
    </row>
    <row r="12" spans="1:28" ht="20.25" customHeight="1" x14ac:dyDescent="0.35">
      <c r="A12" s="292" t="s">
        <v>38</v>
      </c>
      <c r="B12" s="295">
        <v>1282</v>
      </c>
      <c r="C12" s="34" t="s">
        <v>31</v>
      </c>
      <c r="D12" s="4">
        <v>20</v>
      </c>
      <c r="E12" s="30" t="s">
        <v>17</v>
      </c>
      <c r="F12" s="52">
        <v>0.4</v>
      </c>
      <c r="G12" s="5">
        <v>1</v>
      </c>
      <c r="H12" s="71">
        <f>+F12*B12</f>
        <v>512.80000000000007</v>
      </c>
      <c r="I12" s="67">
        <v>520</v>
      </c>
      <c r="J12" s="22">
        <f t="shared" ref="J12:J20" si="14">I12-H12</f>
        <v>7.1999999999999318</v>
      </c>
      <c r="K12" s="75">
        <v>512.79999999999995</v>
      </c>
      <c r="L12" s="3">
        <f>+I12-K12</f>
        <v>7.2000000000000455</v>
      </c>
      <c r="M12" s="78">
        <v>60</v>
      </c>
      <c r="N12" s="21">
        <f>+K12-M12</f>
        <v>452.79999999999995</v>
      </c>
      <c r="O12" s="41">
        <f>+N12/B12</f>
        <v>0.35319812792511696</v>
      </c>
      <c r="P12" s="18">
        <f>+L12+M12</f>
        <v>67.200000000000045</v>
      </c>
      <c r="Q12" s="81">
        <v>50</v>
      </c>
      <c r="R12" s="3">
        <f>+P12-Q12</f>
        <v>17.200000000000045</v>
      </c>
      <c r="S12" s="3">
        <f>+R12*G12</f>
        <v>17.200000000000045</v>
      </c>
      <c r="T12" s="3">
        <f t="shared" ref="T12:T20" si="15">+R12*D12</f>
        <v>344.00000000000091</v>
      </c>
      <c r="U12" s="6">
        <f>+R12/I12</f>
        <v>3.3076923076923163E-2</v>
      </c>
      <c r="W12" s="111">
        <f t="shared" si="7"/>
        <v>520</v>
      </c>
      <c r="X12" s="112">
        <f t="shared" si="8"/>
        <v>512.79999999999995</v>
      </c>
      <c r="Y12" s="112">
        <f t="shared" si="9"/>
        <v>7.2000000000000455</v>
      </c>
      <c r="Z12" s="112">
        <f t="shared" si="10"/>
        <v>60</v>
      </c>
      <c r="AA12" s="113">
        <f t="shared" si="11"/>
        <v>17.200000000000045</v>
      </c>
    </row>
    <row r="13" spans="1:28" ht="20.25" customHeight="1" x14ac:dyDescent="0.35">
      <c r="A13" s="293"/>
      <c r="B13" s="296"/>
      <c r="C13" s="35" t="s">
        <v>90</v>
      </c>
      <c r="D13" s="10">
        <v>65</v>
      </c>
      <c r="E13" s="31" t="s">
        <v>17</v>
      </c>
      <c r="F13" s="49">
        <v>0.1</v>
      </c>
      <c r="G13" s="11">
        <v>1</v>
      </c>
      <c r="H13" s="70">
        <f>+F13*B12</f>
        <v>128.20000000000002</v>
      </c>
      <c r="I13" s="68">
        <v>134.5</v>
      </c>
      <c r="J13" s="13">
        <f t="shared" si="14"/>
        <v>6.2999999999999829</v>
      </c>
      <c r="K13" s="76">
        <v>128.19999999999999</v>
      </c>
      <c r="L13" s="9">
        <f t="shared" ref="L13:L20" si="16">+I13-K13</f>
        <v>6.3000000000000114</v>
      </c>
      <c r="M13" s="79">
        <v>14.2</v>
      </c>
      <c r="N13" s="23">
        <f>+K13-M13</f>
        <v>113.99999999999999</v>
      </c>
      <c r="O13" s="42">
        <f>+N13/B12</f>
        <v>8.8923556942277673E-2</v>
      </c>
      <c r="P13" s="19">
        <f>+L13+M13</f>
        <v>20.500000000000011</v>
      </c>
      <c r="Q13" s="82">
        <v>0</v>
      </c>
      <c r="R13" s="9">
        <f t="shared" ref="R13:R20" si="17">+P13-Q13</f>
        <v>20.500000000000011</v>
      </c>
      <c r="S13" s="9">
        <f>+R13*G13</f>
        <v>20.500000000000011</v>
      </c>
      <c r="T13" s="9">
        <f t="shared" si="15"/>
        <v>1332.5000000000007</v>
      </c>
      <c r="U13" s="12">
        <f t="shared" ref="U13:U20" si="18">+R13/I13</f>
        <v>0.15241635687732349</v>
      </c>
      <c r="W13" s="102">
        <f t="shared" si="7"/>
        <v>134.5</v>
      </c>
      <c r="X13" s="103">
        <f t="shared" si="8"/>
        <v>128.19999999999999</v>
      </c>
      <c r="Y13" s="103">
        <f t="shared" si="9"/>
        <v>6.3000000000000114</v>
      </c>
      <c r="Z13" s="103">
        <f>+M13*G13</f>
        <v>14.2</v>
      </c>
      <c r="AA13" s="104">
        <f t="shared" si="11"/>
        <v>20.500000000000011</v>
      </c>
    </row>
    <row r="14" spans="1:28" ht="20.25" customHeight="1" x14ac:dyDescent="0.35">
      <c r="A14" s="293"/>
      <c r="B14" s="296"/>
      <c r="C14" s="35" t="s">
        <v>91</v>
      </c>
      <c r="D14" s="10">
        <v>80</v>
      </c>
      <c r="E14" s="31" t="s">
        <v>17</v>
      </c>
      <c r="F14" s="49">
        <v>0.08</v>
      </c>
      <c r="G14" s="11">
        <v>1</v>
      </c>
      <c r="H14" s="72">
        <f>+F14*B12</f>
        <v>102.56</v>
      </c>
      <c r="I14" s="68">
        <v>105</v>
      </c>
      <c r="J14" s="13">
        <f t="shared" si="14"/>
        <v>2.4399999999999977</v>
      </c>
      <c r="K14" s="76">
        <v>102.6</v>
      </c>
      <c r="L14" s="9">
        <f t="shared" si="16"/>
        <v>2.4000000000000057</v>
      </c>
      <c r="M14" s="79">
        <v>14</v>
      </c>
      <c r="N14" s="33">
        <f>+K14-M14</f>
        <v>88.6</v>
      </c>
      <c r="O14" s="42">
        <f>+N14/B12</f>
        <v>6.9110764430577218E-2</v>
      </c>
      <c r="P14" s="19">
        <f>+L14+M14</f>
        <v>16.400000000000006</v>
      </c>
      <c r="Q14" s="82">
        <v>0</v>
      </c>
      <c r="R14" s="9">
        <f t="shared" si="17"/>
        <v>16.400000000000006</v>
      </c>
      <c r="S14" s="9">
        <f t="shared" ref="S14:S20" si="19">+R14*G14</f>
        <v>16.400000000000006</v>
      </c>
      <c r="T14" s="9">
        <f t="shared" si="15"/>
        <v>1312.0000000000005</v>
      </c>
      <c r="U14" s="12">
        <f t="shared" si="18"/>
        <v>0.15619047619047624</v>
      </c>
      <c r="W14" s="102">
        <f t="shared" si="7"/>
        <v>105</v>
      </c>
      <c r="X14" s="103">
        <f t="shared" si="8"/>
        <v>102.6</v>
      </c>
      <c r="Y14" s="103">
        <f t="shared" si="9"/>
        <v>2.4000000000000057</v>
      </c>
      <c r="Z14" s="103">
        <f>+M14*G14</f>
        <v>14</v>
      </c>
      <c r="AA14" s="104">
        <f t="shared" si="11"/>
        <v>16.400000000000006</v>
      </c>
    </row>
    <row r="15" spans="1:28" ht="20.25" customHeight="1" x14ac:dyDescent="0.35">
      <c r="A15" s="293"/>
      <c r="B15" s="296"/>
      <c r="C15" s="35" t="s">
        <v>92</v>
      </c>
      <c r="D15" s="10">
        <v>55</v>
      </c>
      <c r="E15" s="31" t="s">
        <v>17</v>
      </c>
      <c r="F15" s="49">
        <v>0.1</v>
      </c>
      <c r="G15" s="11">
        <v>1</v>
      </c>
      <c r="H15" s="72">
        <f>+F15*B12</f>
        <v>128.20000000000002</v>
      </c>
      <c r="I15" s="68">
        <v>132</v>
      </c>
      <c r="J15" s="13">
        <f t="shared" si="14"/>
        <v>3.7999999999999829</v>
      </c>
      <c r="K15" s="76">
        <v>128.19999999999999</v>
      </c>
      <c r="L15" s="9">
        <f t="shared" si="16"/>
        <v>3.8000000000000114</v>
      </c>
      <c r="M15" s="79">
        <v>9.5</v>
      </c>
      <c r="N15" s="23">
        <f t="shared" ref="N15:N20" si="20">+K15-M15</f>
        <v>118.69999999999999</v>
      </c>
      <c r="O15" s="42">
        <f>+N15/B12</f>
        <v>9.2589703588143515E-2</v>
      </c>
      <c r="P15" s="19">
        <f t="shared" ref="P15:P20" si="21">+L15+M15</f>
        <v>13.300000000000011</v>
      </c>
      <c r="Q15" s="82">
        <v>0</v>
      </c>
      <c r="R15" s="9">
        <f t="shared" si="17"/>
        <v>13.300000000000011</v>
      </c>
      <c r="S15" s="9">
        <f t="shared" si="19"/>
        <v>13.300000000000011</v>
      </c>
      <c r="T15" s="9">
        <f t="shared" si="15"/>
        <v>731.50000000000068</v>
      </c>
      <c r="U15" s="12">
        <f t="shared" si="18"/>
        <v>0.10075757575757584</v>
      </c>
      <c r="W15" s="102">
        <f t="shared" si="7"/>
        <v>132</v>
      </c>
      <c r="X15" s="103">
        <f t="shared" si="8"/>
        <v>128.19999999999999</v>
      </c>
      <c r="Y15" s="103">
        <f t="shared" si="9"/>
        <v>3.8000000000000114</v>
      </c>
      <c r="Z15" s="103">
        <f t="shared" si="10"/>
        <v>9.5</v>
      </c>
      <c r="AA15" s="104">
        <f t="shared" si="11"/>
        <v>13.300000000000011</v>
      </c>
    </row>
    <row r="16" spans="1:28" ht="20.25" customHeight="1" x14ac:dyDescent="0.35">
      <c r="A16" s="293"/>
      <c r="B16" s="296"/>
      <c r="C16" s="35" t="s">
        <v>32</v>
      </c>
      <c r="D16" s="10">
        <v>48</v>
      </c>
      <c r="E16" s="31" t="s">
        <v>18</v>
      </c>
      <c r="F16" s="49">
        <v>0.08</v>
      </c>
      <c r="G16" s="11">
        <v>1</v>
      </c>
      <c r="H16" s="72">
        <f>+F16*B12</f>
        <v>102.56</v>
      </c>
      <c r="I16" s="68">
        <v>105</v>
      </c>
      <c r="J16" s="13">
        <f t="shared" si="14"/>
        <v>2.4399999999999977</v>
      </c>
      <c r="K16" s="76">
        <v>102.2</v>
      </c>
      <c r="L16" s="9">
        <f t="shared" si="16"/>
        <v>2.7999999999999972</v>
      </c>
      <c r="M16" s="79">
        <v>9.5</v>
      </c>
      <c r="N16" s="33">
        <f t="shared" si="20"/>
        <v>92.7</v>
      </c>
      <c r="O16" s="42">
        <f>+N16/B12</f>
        <v>7.2308892355694224E-2</v>
      </c>
      <c r="P16" s="19">
        <f t="shared" si="21"/>
        <v>12.299999999999997</v>
      </c>
      <c r="Q16" s="82">
        <v>0</v>
      </c>
      <c r="R16" s="9">
        <f t="shared" si="17"/>
        <v>12.299999999999997</v>
      </c>
      <c r="S16" s="9">
        <f t="shared" si="19"/>
        <v>12.299999999999997</v>
      </c>
      <c r="T16" s="9">
        <f t="shared" si="15"/>
        <v>590.39999999999986</v>
      </c>
      <c r="U16" s="12">
        <f t="shared" si="18"/>
        <v>0.11714285714285712</v>
      </c>
      <c r="W16" s="102">
        <f t="shared" si="7"/>
        <v>105</v>
      </c>
      <c r="X16" s="103">
        <f t="shared" si="8"/>
        <v>102.2</v>
      </c>
      <c r="Y16" s="103">
        <f t="shared" si="9"/>
        <v>2.7999999999999972</v>
      </c>
      <c r="Z16" s="103">
        <f t="shared" si="10"/>
        <v>9.5</v>
      </c>
      <c r="AA16" s="104">
        <f t="shared" si="11"/>
        <v>12.299999999999997</v>
      </c>
    </row>
    <row r="17" spans="1:28" ht="20.25" customHeight="1" x14ac:dyDescent="0.35">
      <c r="A17" s="293"/>
      <c r="B17" s="296"/>
      <c r="C17" s="35" t="s">
        <v>54</v>
      </c>
      <c r="D17" s="10">
        <v>35</v>
      </c>
      <c r="E17" s="31" t="s">
        <v>18</v>
      </c>
      <c r="F17" s="49">
        <v>0.08</v>
      </c>
      <c r="G17" s="11">
        <v>1</v>
      </c>
      <c r="H17" s="73">
        <f>+F17*B12</f>
        <v>102.56</v>
      </c>
      <c r="I17" s="68">
        <v>106</v>
      </c>
      <c r="J17" s="66">
        <f t="shared" si="14"/>
        <v>3.4399999999999977</v>
      </c>
      <c r="K17" s="76">
        <v>102.6</v>
      </c>
      <c r="L17" s="9">
        <f t="shared" si="16"/>
        <v>3.4000000000000057</v>
      </c>
      <c r="M17" s="79">
        <v>11</v>
      </c>
      <c r="N17" s="23">
        <f t="shared" si="20"/>
        <v>91.6</v>
      </c>
      <c r="O17" s="42">
        <f>+N17/B12</f>
        <v>7.1450858034321371E-2</v>
      </c>
      <c r="P17" s="19">
        <f t="shared" si="21"/>
        <v>14.400000000000006</v>
      </c>
      <c r="Q17" s="82">
        <v>0</v>
      </c>
      <c r="R17" s="9">
        <f t="shared" si="17"/>
        <v>14.400000000000006</v>
      </c>
      <c r="S17" s="9">
        <f t="shared" si="19"/>
        <v>14.400000000000006</v>
      </c>
      <c r="T17" s="9">
        <f t="shared" si="15"/>
        <v>504.00000000000023</v>
      </c>
      <c r="U17" s="12">
        <f t="shared" si="18"/>
        <v>0.13584905660377364</v>
      </c>
      <c r="W17" s="102">
        <f t="shared" si="7"/>
        <v>106</v>
      </c>
      <c r="X17" s="103">
        <f t="shared" si="8"/>
        <v>102.6</v>
      </c>
      <c r="Y17" s="103">
        <f t="shared" si="9"/>
        <v>3.4000000000000057</v>
      </c>
      <c r="Z17" s="103">
        <f t="shared" si="10"/>
        <v>11</v>
      </c>
      <c r="AA17" s="104">
        <f t="shared" si="11"/>
        <v>14.400000000000006</v>
      </c>
    </row>
    <row r="18" spans="1:28" ht="20.25" customHeight="1" x14ac:dyDescent="0.35">
      <c r="A18" s="293"/>
      <c r="B18" s="296"/>
      <c r="C18" s="35" t="s">
        <v>33</v>
      </c>
      <c r="D18" s="10">
        <v>50</v>
      </c>
      <c r="E18" s="31" t="s">
        <v>17</v>
      </c>
      <c r="F18" s="49">
        <v>0.03</v>
      </c>
      <c r="G18" s="11">
        <v>1</v>
      </c>
      <c r="H18" s="72">
        <f>+F18*B12</f>
        <v>38.46</v>
      </c>
      <c r="I18" s="68">
        <v>40</v>
      </c>
      <c r="J18" s="13">
        <f t="shared" si="14"/>
        <v>1.5399999999999991</v>
      </c>
      <c r="K18" s="76">
        <v>38.5</v>
      </c>
      <c r="L18" s="9">
        <f t="shared" si="16"/>
        <v>1.5</v>
      </c>
      <c r="M18" s="79">
        <v>3.5</v>
      </c>
      <c r="N18" s="23">
        <f t="shared" si="20"/>
        <v>35</v>
      </c>
      <c r="O18" s="42">
        <f>+N18/B12</f>
        <v>2.7301092043681748E-2</v>
      </c>
      <c r="P18" s="19">
        <f t="shared" si="21"/>
        <v>5</v>
      </c>
      <c r="Q18" s="82">
        <v>0</v>
      </c>
      <c r="R18" s="9">
        <f t="shared" si="17"/>
        <v>5</v>
      </c>
      <c r="S18" s="9">
        <f t="shared" si="19"/>
        <v>5</v>
      </c>
      <c r="T18" s="9">
        <f t="shared" si="15"/>
        <v>250</v>
      </c>
      <c r="U18" s="12">
        <f t="shared" si="18"/>
        <v>0.125</v>
      </c>
      <c r="W18" s="102">
        <f t="shared" si="7"/>
        <v>40</v>
      </c>
      <c r="X18" s="103">
        <f t="shared" si="8"/>
        <v>38.5</v>
      </c>
      <c r="Y18" s="103">
        <f t="shared" si="9"/>
        <v>1.5</v>
      </c>
      <c r="Z18" s="103">
        <f t="shared" si="10"/>
        <v>3.5</v>
      </c>
      <c r="AA18" s="104">
        <f t="shared" si="11"/>
        <v>5</v>
      </c>
    </row>
    <row r="19" spans="1:28" ht="20.25" customHeight="1" x14ac:dyDescent="0.35">
      <c r="A19" s="293"/>
      <c r="B19" s="296"/>
      <c r="C19" s="35" t="s">
        <v>34</v>
      </c>
      <c r="D19" s="31">
        <v>70</v>
      </c>
      <c r="E19" s="31" t="s">
        <v>17</v>
      </c>
      <c r="F19" s="11">
        <v>0.1</v>
      </c>
      <c r="G19" s="11">
        <v>1</v>
      </c>
      <c r="H19" s="72">
        <f>+F19*B12</f>
        <v>128.20000000000002</v>
      </c>
      <c r="I19" s="68">
        <v>128.19999999999999</v>
      </c>
      <c r="J19" s="13">
        <f t="shared" si="14"/>
        <v>0</v>
      </c>
      <c r="K19" s="76">
        <v>128.19999999999999</v>
      </c>
      <c r="L19" s="9">
        <f t="shared" si="16"/>
        <v>0</v>
      </c>
      <c r="M19" s="79">
        <v>90</v>
      </c>
      <c r="N19" s="23">
        <f t="shared" si="20"/>
        <v>38.199999999999989</v>
      </c>
      <c r="O19" s="42">
        <f>+N19/B12</f>
        <v>2.97971918876755E-2</v>
      </c>
      <c r="P19" s="19">
        <f t="shared" si="21"/>
        <v>90</v>
      </c>
      <c r="Q19" s="82">
        <v>80</v>
      </c>
      <c r="R19" s="9">
        <f t="shared" si="17"/>
        <v>10</v>
      </c>
      <c r="S19" s="9">
        <f t="shared" si="19"/>
        <v>10</v>
      </c>
      <c r="T19" s="9">
        <f t="shared" si="15"/>
        <v>700</v>
      </c>
      <c r="U19" s="12">
        <f t="shared" si="18"/>
        <v>7.8003120124804995E-2</v>
      </c>
      <c r="W19" s="102">
        <f t="shared" si="7"/>
        <v>128.19999999999999</v>
      </c>
      <c r="X19" s="103">
        <f t="shared" si="8"/>
        <v>128.19999999999999</v>
      </c>
      <c r="Y19" s="103">
        <f t="shared" si="9"/>
        <v>0</v>
      </c>
      <c r="Z19" s="103">
        <f t="shared" si="10"/>
        <v>90</v>
      </c>
      <c r="AA19" s="104">
        <f t="shared" si="11"/>
        <v>10</v>
      </c>
    </row>
    <row r="20" spans="1:28" ht="20.25" customHeight="1" x14ac:dyDescent="0.35">
      <c r="A20" s="294"/>
      <c r="B20" s="297"/>
      <c r="C20" s="40" t="s">
        <v>35</v>
      </c>
      <c r="D20" s="44">
        <v>2</v>
      </c>
      <c r="E20" s="44" t="s">
        <v>16</v>
      </c>
      <c r="F20" s="53">
        <v>2</v>
      </c>
      <c r="G20" s="45">
        <v>0.04</v>
      </c>
      <c r="H20" s="72">
        <f>+F20*B12</f>
        <v>2564</v>
      </c>
      <c r="I20" s="68">
        <v>2585</v>
      </c>
      <c r="J20" s="13">
        <f t="shared" si="14"/>
        <v>21</v>
      </c>
      <c r="K20" s="76">
        <v>2564</v>
      </c>
      <c r="L20" s="9">
        <f t="shared" si="16"/>
        <v>21</v>
      </c>
      <c r="M20" s="79">
        <v>50</v>
      </c>
      <c r="N20" s="33">
        <f t="shared" si="20"/>
        <v>2514</v>
      </c>
      <c r="O20" s="42">
        <f>+N20/B12</f>
        <v>1.9609984399375975</v>
      </c>
      <c r="P20" s="19">
        <f t="shared" si="21"/>
        <v>71</v>
      </c>
      <c r="Q20" s="82">
        <v>0</v>
      </c>
      <c r="R20" s="9">
        <f t="shared" si="17"/>
        <v>71</v>
      </c>
      <c r="S20" s="9">
        <f t="shared" si="19"/>
        <v>2.84</v>
      </c>
      <c r="T20" s="9">
        <f t="shared" si="15"/>
        <v>142</v>
      </c>
      <c r="U20" s="12">
        <f t="shared" si="18"/>
        <v>2.746615087040619E-2</v>
      </c>
      <c r="W20" s="115">
        <f t="shared" si="7"/>
        <v>103.4</v>
      </c>
      <c r="X20" s="116">
        <f t="shared" si="8"/>
        <v>102.56</v>
      </c>
      <c r="Y20" s="116">
        <f t="shared" si="9"/>
        <v>0.84</v>
      </c>
      <c r="Z20" s="116">
        <f t="shared" si="10"/>
        <v>2</v>
      </c>
      <c r="AA20" s="117">
        <f t="shared" si="11"/>
        <v>2.84</v>
      </c>
    </row>
    <row r="21" spans="1:28" ht="20.25" customHeight="1" thickBot="1" x14ac:dyDescent="0.4">
      <c r="A21" s="27"/>
      <c r="B21" s="28"/>
      <c r="C21" s="29"/>
      <c r="D21" s="15"/>
      <c r="E21" s="15"/>
      <c r="F21" s="15"/>
      <c r="G21" s="15"/>
      <c r="H21" s="74"/>
      <c r="I21" s="69"/>
      <c r="J21" s="16"/>
      <c r="K21" s="77"/>
      <c r="L21" s="15"/>
      <c r="M21" s="80"/>
      <c r="N21" s="14"/>
      <c r="O21" s="16"/>
      <c r="P21" s="20"/>
      <c r="Q21" s="83"/>
      <c r="R21" s="15"/>
      <c r="S21" s="56">
        <f>SUM(S12:S20)</f>
        <v>111.94000000000008</v>
      </c>
      <c r="T21" s="56">
        <f>SUM(T12:T20)</f>
        <v>5906.4000000000024</v>
      </c>
      <c r="U21" s="16"/>
      <c r="W21" s="118">
        <f>SUM(W12:W20)</f>
        <v>1374.1000000000001</v>
      </c>
      <c r="X21" s="110">
        <f t="shared" ref="X21:AA21" si="22">SUM(X12:X20)</f>
        <v>1345.86</v>
      </c>
      <c r="Y21" s="114">
        <f t="shared" si="22"/>
        <v>28.240000000000077</v>
      </c>
      <c r="Z21" s="109">
        <f t="shared" si="22"/>
        <v>213.7</v>
      </c>
      <c r="AA21" s="109">
        <f t="shared" si="22"/>
        <v>111.94000000000008</v>
      </c>
      <c r="AB21" s="94"/>
    </row>
    <row r="22" spans="1:28" ht="20.25" customHeight="1" x14ac:dyDescent="0.35">
      <c r="A22" s="292" t="s">
        <v>39</v>
      </c>
      <c r="B22" s="295">
        <f>420+150+300+20+60+30+40+150+50+35+100+35</f>
        <v>1390</v>
      </c>
      <c r="C22" s="34" t="s">
        <v>93</v>
      </c>
      <c r="D22" s="4">
        <v>2</v>
      </c>
      <c r="E22" s="4" t="s">
        <v>58</v>
      </c>
      <c r="F22" s="46">
        <v>2</v>
      </c>
      <c r="G22" s="5">
        <v>0.06</v>
      </c>
      <c r="H22" s="71">
        <f>+F22*B22</f>
        <v>2780</v>
      </c>
      <c r="I22" s="67">
        <v>2790</v>
      </c>
      <c r="J22" s="22">
        <f>I22-H22</f>
        <v>10</v>
      </c>
      <c r="K22" s="75">
        <v>2780</v>
      </c>
      <c r="L22" s="3">
        <f>+I22-K22</f>
        <v>10</v>
      </c>
      <c r="M22" s="78">
        <v>0</v>
      </c>
      <c r="N22" s="21">
        <f>+K22-M22</f>
        <v>2780</v>
      </c>
      <c r="O22" s="41">
        <f>+N22/B22</f>
        <v>2</v>
      </c>
      <c r="P22" s="18">
        <f>+L22+M22</f>
        <v>10</v>
      </c>
      <c r="Q22" s="81">
        <v>5</v>
      </c>
      <c r="R22" s="3">
        <f>+P22-Q22</f>
        <v>5</v>
      </c>
      <c r="S22" s="3">
        <f>+R22*G22</f>
        <v>0.3</v>
      </c>
      <c r="T22" s="3">
        <f>+R22*D22</f>
        <v>10</v>
      </c>
      <c r="U22" s="6">
        <f>+R22/I22</f>
        <v>1.7921146953405018E-3</v>
      </c>
      <c r="W22" s="111">
        <f t="shared" si="7"/>
        <v>167.4</v>
      </c>
      <c r="X22" s="112">
        <f t="shared" si="8"/>
        <v>166.79999999999998</v>
      </c>
      <c r="Y22" s="112">
        <f t="shared" si="9"/>
        <v>0.6</v>
      </c>
      <c r="Z22" s="112">
        <f t="shared" si="10"/>
        <v>0</v>
      </c>
      <c r="AA22" s="113">
        <f t="shared" si="11"/>
        <v>0.3</v>
      </c>
    </row>
    <row r="23" spans="1:28" ht="20.25" customHeight="1" x14ac:dyDescent="0.35">
      <c r="A23" s="293"/>
      <c r="B23" s="296"/>
      <c r="C23" s="35" t="s">
        <v>94</v>
      </c>
      <c r="D23" s="10">
        <v>1</v>
      </c>
      <c r="E23" s="10" t="s">
        <v>61</v>
      </c>
      <c r="F23" s="49">
        <v>2</v>
      </c>
      <c r="G23" s="11">
        <v>0.01</v>
      </c>
      <c r="H23" s="70">
        <f>+F23*B22</f>
        <v>2780</v>
      </c>
      <c r="I23" s="68">
        <v>2780</v>
      </c>
      <c r="J23" s="13">
        <f>I23-H23</f>
        <v>0</v>
      </c>
      <c r="K23" s="76">
        <v>2780</v>
      </c>
      <c r="L23" s="9">
        <f t="shared" ref="L23:L25" si="23">+I23-K23</f>
        <v>0</v>
      </c>
      <c r="M23" s="79">
        <v>0</v>
      </c>
      <c r="N23" s="23">
        <f t="shared" ref="N23:N25" si="24">+K23-M23</f>
        <v>2780</v>
      </c>
      <c r="O23" s="42">
        <f>+N23/B22</f>
        <v>2</v>
      </c>
      <c r="P23" s="19">
        <f>+L23+M23</f>
        <v>0</v>
      </c>
      <c r="Q23" s="82">
        <v>0</v>
      </c>
      <c r="R23" s="9">
        <f t="shared" ref="R23:R25" si="25">+P23-Q23</f>
        <v>0</v>
      </c>
      <c r="S23" s="9">
        <f>+R23*G23</f>
        <v>0</v>
      </c>
      <c r="T23" s="9">
        <f>+R23*D23</f>
        <v>0</v>
      </c>
      <c r="U23" s="12">
        <f t="shared" ref="U23:U25" si="26">+R23/I23</f>
        <v>0</v>
      </c>
      <c r="W23" s="102">
        <f t="shared" si="7"/>
        <v>27.8</v>
      </c>
      <c r="X23" s="103">
        <f t="shared" si="8"/>
        <v>27.8</v>
      </c>
      <c r="Y23" s="103">
        <f t="shared" si="9"/>
        <v>0</v>
      </c>
      <c r="Z23" s="103">
        <f t="shared" si="10"/>
        <v>0</v>
      </c>
      <c r="AA23" s="104">
        <f t="shared" si="11"/>
        <v>0</v>
      </c>
    </row>
    <row r="24" spans="1:28" ht="20.25" customHeight="1" x14ac:dyDescent="0.35">
      <c r="A24" s="293"/>
      <c r="B24" s="296"/>
      <c r="C24" s="35" t="s">
        <v>95</v>
      </c>
      <c r="D24" s="10">
        <v>6</v>
      </c>
      <c r="E24" s="10" t="s">
        <v>16</v>
      </c>
      <c r="F24" s="126">
        <v>1</v>
      </c>
      <c r="G24" s="11">
        <v>0.05</v>
      </c>
      <c r="H24" s="72">
        <f>+F24*B22</f>
        <v>1390</v>
      </c>
      <c r="I24" s="68">
        <v>1400</v>
      </c>
      <c r="J24" s="13">
        <f>I24-H24</f>
        <v>10</v>
      </c>
      <c r="K24" s="76">
        <v>1390</v>
      </c>
      <c r="L24" s="9">
        <f t="shared" si="23"/>
        <v>10</v>
      </c>
      <c r="M24" s="79">
        <v>0</v>
      </c>
      <c r="N24" s="33">
        <f t="shared" si="24"/>
        <v>1390</v>
      </c>
      <c r="O24" s="42">
        <f>+N24/B22</f>
        <v>1</v>
      </c>
      <c r="P24" s="19">
        <f>+L24+M24</f>
        <v>10</v>
      </c>
      <c r="Q24" s="82">
        <v>10</v>
      </c>
      <c r="R24" s="9">
        <f t="shared" si="25"/>
        <v>0</v>
      </c>
      <c r="S24" s="9">
        <f>+R24*G24</f>
        <v>0</v>
      </c>
      <c r="T24" s="9">
        <f>+R24*D24</f>
        <v>0</v>
      </c>
      <c r="U24" s="12">
        <f t="shared" si="26"/>
        <v>0</v>
      </c>
      <c r="W24" s="102">
        <f t="shared" si="7"/>
        <v>70</v>
      </c>
      <c r="X24" s="103">
        <f t="shared" si="8"/>
        <v>69.5</v>
      </c>
      <c r="Y24" s="103">
        <f t="shared" si="9"/>
        <v>0.5</v>
      </c>
      <c r="Z24" s="103">
        <f t="shared" si="10"/>
        <v>0</v>
      </c>
      <c r="AA24" s="104">
        <f t="shared" si="11"/>
        <v>0</v>
      </c>
    </row>
    <row r="25" spans="1:28" ht="20.25" customHeight="1" x14ac:dyDescent="0.35">
      <c r="A25" s="293"/>
      <c r="B25" s="296"/>
      <c r="C25" s="35" t="s">
        <v>63</v>
      </c>
      <c r="D25" s="10">
        <v>60</v>
      </c>
      <c r="E25" s="10" t="s">
        <v>18</v>
      </c>
      <c r="F25" s="49">
        <v>0.1</v>
      </c>
      <c r="G25" s="11">
        <v>1</v>
      </c>
      <c r="H25" s="72">
        <f>+F25*B22</f>
        <v>139</v>
      </c>
      <c r="I25" s="68">
        <v>145</v>
      </c>
      <c r="J25" s="13">
        <f>I25-H25</f>
        <v>6</v>
      </c>
      <c r="K25" s="76">
        <v>139</v>
      </c>
      <c r="L25" s="9">
        <f t="shared" si="23"/>
        <v>6</v>
      </c>
      <c r="M25" s="79">
        <v>3.5</v>
      </c>
      <c r="N25" s="23">
        <f t="shared" si="24"/>
        <v>135.5</v>
      </c>
      <c r="O25" s="42">
        <f>+N25/B22</f>
        <v>9.7482014388489205E-2</v>
      </c>
      <c r="P25" s="19">
        <f t="shared" ref="P25" si="27">+L25+M25</f>
        <v>9.5</v>
      </c>
      <c r="Q25" s="82">
        <v>4</v>
      </c>
      <c r="R25" s="9">
        <f t="shared" si="25"/>
        <v>5.5</v>
      </c>
      <c r="S25" s="9">
        <f>+R25*G25</f>
        <v>5.5</v>
      </c>
      <c r="T25" s="9">
        <f>+R25*D25</f>
        <v>330</v>
      </c>
      <c r="U25" s="12">
        <f t="shared" si="26"/>
        <v>3.793103448275862E-2</v>
      </c>
      <c r="W25" s="105">
        <f t="shared" si="7"/>
        <v>145</v>
      </c>
      <c r="X25" s="106">
        <f t="shared" si="8"/>
        <v>139</v>
      </c>
      <c r="Y25" s="106">
        <f t="shared" si="9"/>
        <v>6</v>
      </c>
      <c r="Z25" s="106">
        <f t="shared" si="10"/>
        <v>3.5</v>
      </c>
      <c r="AA25" s="107">
        <f t="shared" si="11"/>
        <v>5.5</v>
      </c>
    </row>
    <row r="26" spans="1:28" ht="21.75" customHeight="1" thickBot="1" x14ac:dyDescent="0.4">
      <c r="A26" s="27"/>
      <c r="B26" s="55"/>
      <c r="C26" s="29"/>
      <c r="D26" s="15"/>
      <c r="E26" s="15"/>
      <c r="F26" s="15"/>
      <c r="G26" s="15"/>
      <c r="H26" s="74"/>
      <c r="I26" s="69"/>
      <c r="J26" s="16"/>
      <c r="K26" s="77"/>
      <c r="L26" s="15"/>
      <c r="M26" s="80"/>
      <c r="N26" s="14"/>
      <c r="O26" s="16"/>
      <c r="P26" s="20"/>
      <c r="Q26" s="83"/>
      <c r="R26" s="15"/>
      <c r="S26" s="56">
        <f>SUM(S22:S25)</f>
        <v>5.8</v>
      </c>
      <c r="T26" s="56">
        <f>SUM(T22:T25)</f>
        <v>340</v>
      </c>
      <c r="U26" s="16"/>
      <c r="W26" s="123">
        <f>SUM(W22:W25)</f>
        <v>410.20000000000005</v>
      </c>
      <c r="X26" s="124">
        <f t="shared" ref="X26:AA26" si="28">SUM(X22:X25)</f>
        <v>403.1</v>
      </c>
      <c r="Y26" s="124">
        <f t="shared" si="28"/>
        <v>7.1</v>
      </c>
      <c r="Z26" s="124">
        <f t="shared" si="28"/>
        <v>3.5</v>
      </c>
      <c r="AA26" s="125">
        <f t="shared" si="28"/>
        <v>5.8</v>
      </c>
    </row>
    <row r="27" spans="1:28" ht="20.25" customHeight="1" x14ac:dyDescent="0.35">
      <c r="A27" s="292" t="s">
        <v>40</v>
      </c>
      <c r="B27" s="295">
        <v>1042</v>
      </c>
      <c r="C27" s="34" t="s">
        <v>31</v>
      </c>
      <c r="D27" s="4">
        <v>20</v>
      </c>
      <c r="E27" s="30" t="s">
        <v>17</v>
      </c>
      <c r="F27" s="52">
        <v>0.4</v>
      </c>
      <c r="G27" s="5">
        <v>1</v>
      </c>
      <c r="H27" s="71">
        <f>+F27*B27</f>
        <v>416.8</v>
      </c>
      <c r="I27" s="67">
        <v>422</v>
      </c>
      <c r="J27" s="22">
        <f t="shared" ref="J27:J35" si="29">I27-H27</f>
        <v>5.1999999999999886</v>
      </c>
      <c r="K27" s="75">
        <v>416.8</v>
      </c>
      <c r="L27" s="3">
        <f>+I27-K27</f>
        <v>5.1999999999999886</v>
      </c>
      <c r="M27" s="22">
        <v>23</v>
      </c>
      <c r="N27" s="21">
        <f>+K27-M27</f>
        <v>393.8</v>
      </c>
      <c r="O27" s="41">
        <f>+N27/B27</f>
        <v>0.37792706333973131</v>
      </c>
      <c r="P27" s="18">
        <f>+L27+M27</f>
        <v>28.199999999999989</v>
      </c>
      <c r="Q27" s="81">
        <v>0</v>
      </c>
      <c r="R27" s="3">
        <f>+P27-Q27</f>
        <v>28.199999999999989</v>
      </c>
      <c r="S27" s="3">
        <f t="shared" ref="S27:S35" si="30">+R27*G27</f>
        <v>28.199999999999989</v>
      </c>
      <c r="T27" s="3">
        <f t="shared" ref="T27:T35" si="31">+R27*D27</f>
        <v>563.99999999999977</v>
      </c>
      <c r="U27" s="6">
        <f>+R27/I27</f>
        <v>6.6824644549763001E-2</v>
      </c>
      <c r="W27" s="111">
        <f t="shared" si="7"/>
        <v>422</v>
      </c>
      <c r="X27" s="112">
        <f t="shared" si="8"/>
        <v>416.8</v>
      </c>
      <c r="Y27" s="112">
        <f t="shared" si="9"/>
        <v>5.1999999999999886</v>
      </c>
      <c r="Z27" s="112">
        <f t="shared" si="10"/>
        <v>23</v>
      </c>
      <c r="AA27" s="113">
        <f t="shared" si="11"/>
        <v>28.199999999999989</v>
      </c>
    </row>
    <row r="28" spans="1:28" ht="20.25" customHeight="1" x14ac:dyDescent="0.35">
      <c r="A28" s="293"/>
      <c r="B28" s="296"/>
      <c r="C28" s="35" t="s">
        <v>96</v>
      </c>
      <c r="D28" s="10">
        <v>65</v>
      </c>
      <c r="E28" s="31" t="s">
        <v>17</v>
      </c>
      <c r="F28" s="49">
        <v>0.1</v>
      </c>
      <c r="G28" s="11">
        <v>1</v>
      </c>
      <c r="H28" s="70">
        <f>+F28*B27</f>
        <v>104.2</v>
      </c>
      <c r="I28" s="68">
        <v>106</v>
      </c>
      <c r="J28" s="13">
        <f t="shared" si="29"/>
        <v>1.7999999999999972</v>
      </c>
      <c r="K28" s="76">
        <v>104.2</v>
      </c>
      <c r="L28" s="9">
        <f t="shared" ref="L28:L35" si="32">+I28-K28</f>
        <v>1.7999999999999972</v>
      </c>
      <c r="M28" s="13">
        <v>8.5</v>
      </c>
      <c r="N28" s="23">
        <f t="shared" ref="N28:N35" si="33">+K28-M28</f>
        <v>95.7</v>
      </c>
      <c r="O28" s="42">
        <f>+N28/B27</f>
        <v>9.1842610364683303E-2</v>
      </c>
      <c r="P28" s="19">
        <f>+L28+M28</f>
        <v>10.299999999999997</v>
      </c>
      <c r="Q28" s="82">
        <v>0</v>
      </c>
      <c r="R28" s="9">
        <f t="shared" ref="R28:R35" si="34">+P28-Q28</f>
        <v>10.299999999999997</v>
      </c>
      <c r="S28" s="9">
        <f t="shared" si="30"/>
        <v>10.299999999999997</v>
      </c>
      <c r="T28" s="9">
        <f t="shared" si="31"/>
        <v>669.49999999999977</v>
      </c>
      <c r="U28" s="12">
        <f t="shared" ref="U28:U35" si="35">+R28/I28</f>
        <v>9.7169811320754695E-2</v>
      </c>
      <c r="W28" s="102">
        <f t="shared" si="7"/>
        <v>106</v>
      </c>
      <c r="X28" s="103">
        <f t="shared" si="8"/>
        <v>104.2</v>
      </c>
      <c r="Y28" s="103">
        <f t="shared" si="9"/>
        <v>1.7999999999999972</v>
      </c>
      <c r="Z28" s="103">
        <f t="shared" si="10"/>
        <v>8.5</v>
      </c>
      <c r="AA28" s="104">
        <f t="shared" si="11"/>
        <v>10.299999999999997</v>
      </c>
    </row>
    <row r="29" spans="1:28" ht="20.25" customHeight="1" x14ac:dyDescent="0.35">
      <c r="A29" s="293"/>
      <c r="B29" s="296"/>
      <c r="C29" s="35" t="s">
        <v>97</v>
      </c>
      <c r="D29" s="10">
        <v>130</v>
      </c>
      <c r="E29" s="31" t="s">
        <v>17</v>
      </c>
      <c r="F29" s="49">
        <v>0.08</v>
      </c>
      <c r="G29" s="11">
        <v>1</v>
      </c>
      <c r="H29" s="72">
        <f>+F29*B27</f>
        <v>83.36</v>
      </c>
      <c r="I29" s="68">
        <v>85</v>
      </c>
      <c r="J29" s="13">
        <f t="shared" si="29"/>
        <v>1.6400000000000006</v>
      </c>
      <c r="K29" s="76">
        <v>83.4</v>
      </c>
      <c r="L29" s="9">
        <f t="shared" si="32"/>
        <v>1.5999999999999943</v>
      </c>
      <c r="M29" s="13">
        <v>2.5</v>
      </c>
      <c r="N29" s="33">
        <f t="shared" si="33"/>
        <v>80.900000000000006</v>
      </c>
      <c r="O29" s="42">
        <f>+N29/B27</f>
        <v>7.7639155470249521E-2</v>
      </c>
      <c r="P29" s="19">
        <f>+L29+M29</f>
        <v>4.0999999999999943</v>
      </c>
      <c r="Q29" s="82">
        <v>0</v>
      </c>
      <c r="R29" s="9">
        <f t="shared" si="34"/>
        <v>4.0999999999999943</v>
      </c>
      <c r="S29" s="9">
        <f t="shared" si="30"/>
        <v>4.0999999999999943</v>
      </c>
      <c r="T29" s="9">
        <f t="shared" si="31"/>
        <v>532.99999999999932</v>
      </c>
      <c r="U29" s="12">
        <f t="shared" si="35"/>
        <v>4.8235294117646994E-2</v>
      </c>
      <c r="W29" s="102">
        <f t="shared" si="7"/>
        <v>85</v>
      </c>
      <c r="X29" s="103">
        <f t="shared" si="8"/>
        <v>83.4</v>
      </c>
      <c r="Y29" s="103">
        <f t="shared" si="9"/>
        <v>1.5999999999999943</v>
      </c>
      <c r="Z29" s="103">
        <f t="shared" si="10"/>
        <v>2.5</v>
      </c>
      <c r="AA29" s="104">
        <f t="shared" si="11"/>
        <v>4.0999999999999943</v>
      </c>
    </row>
    <row r="30" spans="1:28" ht="20.25" customHeight="1" x14ac:dyDescent="0.35">
      <c r="A30" s="293"/>
      <c r="B30" s="296"/>
      <c r="C30" s="35" t="s">
        <v>98</v>
      </c>
      <c r="D30" s="10">
        <v>55</v>
      </c>
      <c r="E30" s="31" t="s">
        <v>17</v>
      </c>
      <c r="F30" s="49">
        <v>0.1</v>
      </c>
      <c r="G30" s="11">
        <v>1</v>
      </c>
      <c r="H30" s="72">
        <f>+F30*B27</f>
        <v>104.2</v>
      </c>
      <c r="I30" s="68">
        <v>106</v>
      </c>
      <c r="J30" s="13">
        <f t="shared" si="29"/>
        <v>1.7999999999999972</v>
      </c>
      <c r="K30" s="76">
        <v>104.2</v>
      </c>
      <c r="L30" s="9">
        <f t="shared" si="32"/>
        <v>1.7999999999999972</v>
      </c>
      <c r="M30" s="13">
        <v>4.5</v>
      </c>
      <c r="N30" s="23">
        <f t="shared" si="33"/>
        <v>99.7</v>
      </c>
      <c r="O30" s="42">
        <f>+N30/B27</f>
        <v>9.5681381957773509E-2</v>
      </c>
      <c r="P30" s="19">
        <f t="shared" ref="P30:P35" si="36">+L30+M30</f>
        <v>6.2999999999999972</v>
      </c>
      <c r="Q30" s="82">
        <v>0</v>
      </c>
      <c r="R30" s="9">
        <f t="shared" si="34"/>
        <v>6.2999999999999972</v>
      </c>
      <c r="S30" s="9">
        <f t="shared" si="30"/>
        <v>6.2999999999999972</v>
      </c>
      <c r="T30" s="9">
        <f t="shared" si="31"/>
        <v>346.49999999999983</v>
      </c>
      <c r="U30" s="12">
        <f t="shared" si="35"/>
        <v>5.9433962264150916E-2</v>
      </c>
      <c r="W30" s="102">
        <f t="shared" si="7"/>
        <v>106</v>
      </c>
      <c r="X30" s="103">
        <f t="shared" si="8"/>
        <v>104.2</v>
      </c>
      <c r="Y30" s="103">
        <f t="shared" si="9"/>
        <v>1.7999999999999972</v>
      </c>
      <c r="Z30" s="103">
        <f t="shared" si="10"/>
        <v>4.5</v>
      </c>
      <c r="AA30" s="104">
        <f t="shared" si="11"/>
        <v>6.2999999999999972</v>
      </c>
    </row>
    <row r="31" spans="1:28" ht="20.25" customHeight="1" x14ac:dyDescent="0.35">
      <c r="A31" s="293"/>
      <c r="B31" s="296"/>
      <c r="C31" s="35" t="s">
        <v>32</v>
      </c>
      <c r="D31" s="10">
        <v>48</v>
      </c>
      <c r="E31" s="31" t="s">
        <v>18</v>
      </c>
      <c r="F31" s="49">
        <v>0.08</v>
      </c>
      <c r="G31" s="11">
        <v>1</v>
      </c>
      <c r="H31" s="72">
        <f>+F31*B27</f>
        <v>83.36</v>
      </c>
      <c r="I31" s="68">
        <v>87</v>
      </c>
      <c r="J31" s="13">
        <f t="shared" si="29"/>
        <v>3.6400000000000006</v>
      </c>
      <c r="K31" s="76">
        <v>83.4</v>
      </c>
      <c r="L31" s="9">
        <f t="shared" si="32"/>
        <v>3.5999999999999943</v>
      </c>
      <c r="M31" s="13">
        <v>9</v>
      </c>
      <c r="N31" s="33">
        <f t="shared" si="33"/>
        <v>74.400000000000006</v>
      </c>
      <c r="O31" s="42">
        <f>+N31/B27</f>
        <v>7.1401151631477935E-2</v>
      </c>
      <c r="P31" s="19">
        <f t="shared" si="36"/>
        <v>12.599999999999994</v>
      </c>
      <c r="Q31" s="82">
        <v>0</v>
      </c>
      <c r="R31" s="9">
        <f t="shared" si="34"/>
        <v>12.599999999999994</v>
      </c>
      <c r="S31" s="9">
        <f t="shared" si="30"/>
        <v>12.599999999999994</v>
      </c>
      <c r="T31" s="9">
        <f t="shared" si="31"/>
        <v>604.79999999999973</v>
      </c>
      <c r="U31" s="12">
        <f t="shared" si="35"/>
        <v>0.14482758620689648</v>
      </c>
      <c r="W31" s="102">
        <f t="shared" si="7"/>
        <v>87</v>
      </c>
      <c r="X31" s="103">
        <f t="shared" si="8"/>
        <v>83.4</v>
      </c>
      <c r="Y31" s="103">
        <f t="shared" si="9"/>
        <v>3.5999999999999943</v>
      </c>
      <c r="Z31" s="103">
        <f t="shared" si="10"/>
        <v>9</v>
      </c>
      <c r="AA31" s="104">
        <f t="shared" si="11"/>
        <v>12.599999999999994</v>
      </c>
    </row>
    <row r="32" spans="1:28" ht="20.25" customHeight="1" x14ac:dyDescent="0.35">
      <c r="A32" s="293"/>
      <c r="B32" s="296"/>
      <c r="C32" s="35" t="s">
        <v>54</v>
      </c>
      <c r="D32" s="10">
        <v>35</v>
      </c>
      <c r="E32" s="31" t="s">
        <v>18</v>
      </c>
      <c r="F32" s="49">
        <v>0.08</v>
      </c>
      <c r="G32" s="11">
        <v>1</v>
      </c>
      <c r="H32" s="73">
        <f>+F32*B27</f>
        <v>83.36</v>
      </c>
      <c r="I32" s="68">
        <v>86.5</v>
      </c>
      <c r="J32" s="13">
        <f t="shared" si="29"/>
        <v>3.1400000000000006</v>
      </c>
      <c r="K32" s="76">
        <v>83.4</v>
      </c>
      <c r="L32" s="9">
        <f t="shared" si="32"/>
        <v>3.0999999999999943</v>
      </c>
      <c r="M32" s="13">
        <v>8.5</v>
      </c>
      <c r="N32" s="23">
        <f t="shared" si="33"/>
        <v>74.900000000000006</v>
      </c>
      <c r="O32" s="42">
        <f>+N32/B27</f>
        <v>7.1880998080614211E-2</v>
      </c>
      <c r="P32" s="19">
        <f t="shared" si="36"/>
        <v>11.599999999999994</v>
      </c>
      <c r="Q32" s="82">
        <v>0</v>
      </c>
      <c r="R32" s="9">
        <f t="shared" si="34"/>
        <v>11.599999999999994</v>
      </c>
      <c r="S32" s="9">
        <f t="shared" si="30"/>
        <v>11.599999999999994</v>
      </c>
      <c r="T32" s="9">
        <f t="shared" si="31"/>
        <v>405.99999999999977</v>
      </c>
      <c r="U32" s="12">
        <f t="shared" si="35"/>
        <v>0.1341040462427745</v>
      </c>
      <c r="W32" s="102">
        <f t="shared" si="7"/>
        <v>86.5</v>
      </c>
      <c r="X32" s="103">
        <f t="shared" si="8"/>
        <v>83.4</v>
      </c>
      <c r="Y32" s="103">
        <f t="shared" si="9"/>
        <v>3.0999999999999943</v>
      </c>
      <c r="Z32" s="103">
        <f t="shared" si="10"/>
        <v>8.5</v>
      </c>
      <c r="AA32" s="104">
        <f t="shared" si="11"/>
        <v>11.599999999999994</v>
      </c>
    </row>
    <row r="33" spans="1:28" ht="20.25" customHeight="1" x14ac:dyDescent="0.35">
      <c r="A33" s="293"/>
      <c r="B33" s="296"/>
      <c r="C33" s="35" t="s">
        <v>33</v>
      </c>
      <c r="D33" s="10">
        <v>50</v>
      </c>
      <c r="E33" s="31" t="s">
        <v>17</v>
      </c>
      <c r="F33" s="49">
        <v>0.03</v>
      </c>
      <c r="G33" s="11">
        <v>1</v>
      </c>
      <c r="H33" s="72">
        <f>+F33*B27</f>
        <v>31.259999999999998</v>
      </c>
      <c r="I33" s="68">
        <v>32.5</v>
      </c>
      <c r="J33" s="13">
        <f t="shared" si="29"/>
        <v>1.240000000000002</v>
      </c>
      <c r="K33" s="76">
        <v>31.3</v>
      </c>
      <c r="L33" s="9">
        <f t="shared" si="32"/>
        <v>1.1999999999999993</v>
      </c>
      <c r="M33" s="13">
        <v>3.5</v>
      </c>
      <c r="N33" s="23">
        <f t="shared" si="33"/>
        <v>27.8</v>
      </c>
      <c r="O33" s="42">
        <f>+N33/B27</f>
        <v>2.6679462571976967E-2</v>
      </c>
      <c r="P33" s="19">
        <f t="shared" si="36"/>
        <v>4.6999999999999993</v>
      </c>
      <c r="Q33" s="82">
        <v>0</v>
      </c>
      <c r="R33" s="9">
        <f t="shared" si="34"/>
        <v>4.6999999999999993</v>
      </c>
      <c r="S33" s="9">
        <f t="shared" si="30"/>
        <v>4.6999999999999993</v>
      </c>
      <c r="T33" s="9">
        <f t="shared" si="31"/>
        <v>234.99999999999997</v>
      </c>
      <c r="U33" s="12">
        <f t="shared" si="35"/>
        <v>0.14461538461538459</v>
      </c>
      <c r="W33" s="102">
        <f t="shared" si="7"/>
        <v>32.5</v>
      </c>
      <c r="X33" s="103">
        <f t="shared" si="8"/>
        <v>31.3</v>
      </c>
      <c r="Y33" s="103">
        <f t="shared" si="9"/>
        <v>1.1999999999999993</v>
      </c>
      <c r="Z33" s="103">
        <f t="shared" si="10"/>
        <v>3.5</v>
      </c>
      <c r="AA33" s="104">
        <f t="shared" si="11"/>
        <v>4.6999999999999993</v>
      </c>
    </row>
    <row r="34" spans="1:28" ht="20.25" customHeight="1" x14ac:dyDescent="0.35">
      <c r="A34" s="293"/>
      <c r="B34" s="296"/>
      <c r="C34" s="35" t="s">
        <v>34</v>
      </c>
      <c r="D34" s="31">
        <v>70</v>
      </c>
      <c r="E34" s="31" t="s">
        <v>17</v>
      </c>
      <c r="F34" s="11">
        <v>0.1</v>
      </c>
      <c r="G34" s="11">
        <v>1</v>
      </c>
      <c r="H34" s="72">
        <f>+F34*B27</f>
        <v>104.2</v>
      </c>
      <c r="I34" s="68">
        <v>104.2</v>
      </c>
      <c r="J34" s="13">
        <f t="shared" si="29"/>
        <v>0</v>
      </c>
      <c r="K34" s="76">
        <v>104.2</v>
      </c>
      <c r="L34" s="9">
        <f t="shared" si="32"/>
        <v>0</v>
      </c>
      <c r="M34" s="13">
        <v>0</v>
      </c>
      <c r="N34" s="23">
        <f t="shared" si="33"/>
        <v>104.2</v>
      </c>
      <c r="O34" s="42">
        <f>+N34/B27</f>
        <v>0.1</v>
      </c>
      <c r="P34" s="19">
        <f t="shared" si="36"/>
        <v>0</v>
      </c>
      <c r="Q34" s="82">
        <v>0</v>
      </c>
      <c r="R34" s="9">
        <f t="shared" si="34"/>
        <v>0</v>
      </c>
      <c r="S34" s="9">
        <f t="shared" si="30"/>
        <v>0</v>
      </c>
      <c r="T34" s="9">
        <f t="shared" si="31"/>
        <v>0</v>
      </c>
      <c r="U34" s="12">
        <f t="shared" si="35"/>
        <v>0</v>
      </c>
      <c r="W34" s="102">
        <f t="shared" si="7"/>
        <v>104.2</v>
      </c>
      <c r="X34" s="103">
        <f t="shared" si="8"/>
        <v>104.2</v>
      </c>
      <c r="Y34" s="103">
        <f t="shared" si="9"/>
        <v>0</v>
      </c>
      <c r="Z34" s="103">
        <f t="shared" si="10"/>
        <v>0</v>
      </c>
      <c r="AA34" s="104">
        <f t="shared" si="11"/>
        <v>0</v>
      </c>
    </row>
    <row r="35" spans="1:28" ht="20.25" customHeight="1" x14ac:dyDescent="0.35">
      <c r="A35" s="294"/>
      <c r="B35" s="297"/>
      <c r="C35" s="40" t="s">
        <v>35</v>
      </c>
      <c r="D35" s="44">
        <v>2</v>
      </c>
      <c r="E35" s="44" t="s">
        <v>16</v>
      </c>
      <c r="F35" s="53">
        <v>2</v>
      </c>
      <c r="G35" s="45">
        <v>0.04</v>
      </c>
      <c r="H35" s="72">
        <f>+F35*B27</f>
        <v>2084</v>
      </c>
      <c r="I35" s="68">
        <v>2098</v>
      </c>
      <c r="J35" s="13">
        <f t="shared" si="29"/>
        <v>14</v>
      </c>
      <c r="K35" s="76">
        <v>2084</v>
      </c>
      <c r="L35" s="9">
        <f t="shared" si="32"/>
        <v>14</v>
      </c>
      <c r="M35" s="13">
        <v>35</v>
      </c>
      <c r="N35" s="33">
        <f t="shared" si="33"/>
        <v>2049</v>
      </c>
      <c r="O35" s="42">
        <f>+N35/B27</f>
        <v>1.9664107485604607</v>
      </c>
      <c r="P35" s="19">
        <f t="shared" si="36"/>
        <v>49</v>
      </c>
      <c r="Q35" s="82">
        <v>0</v>
      </c>
      <c r="R35" s="9">
        <f t="shared" si="34"/>
        <v>49</v>
      </c>
      <c r="S35" s="9">
        <f t="shared" si="30"/>
        <v>1.96</v>
      </c>
      <c r="T35" s="9">
        <f t="shared" si="31"/>
        <v>98</v>
      </c>
      <c r="U35" s="12">
        <f t="shared" si="35"/>
        <v>2.3355576739752144E-2</v>
      </c>
      <c r="W35" s="105">
        <f t="shared" si="7"/>
        <v>83.92</v>
      </c>
      <c r="X35" s="106">
        <f t="shared" si="8"/>
        <v>83.36</v>
      </c>
      <c r="Y35" s="106">
        <f t="shared" si="9"/>
        <v>0.56000000000000005</v>
      </c>
      <c r="Z35" s="106">
        <f t="shared" si="10"/>
        <v>1.4000000000000001</v>
      </c>
      <c r="AA35" s="107">
        <f t="shared" si="11"/>
        <v>1.96</v>
      </c>
    </row>
    <row r="36" spans="1:28" ht="23.25" customHeight="1" thickBot="1" x14ac:dyDescent="0.4">
      <c r="A36" s="27"/>
      <c r="B36" s="57"/>
      <c r="C36" s="29"/>
      <c r="D36" s="15"/>
      <c r="E36" s="15"/>
      <c r="F36" s="15"/>
      <c r="G36" s="15"/>
      <c r="H36" s="14"/>
      <c r="I36" s="15"/>
      <c r="J36" s="16"/>
      <c r="K36" s="14"/>
      <c r="L36" s="15"/>
      <c r="M36" s="16"/>
      <c r="N36" s="14"/>
      <c r="O36" s="16"/>
      <c r="P36" s="20"/>
      <c r="Q36" s="15"/>
      <c r="R36" s="15"/>
      <c r="S36" s="56">
        <f>SUM(S27:S35)</f>
        <v>79.759999999999962</v>
      </c>
      <c r="T36" s="56">
        <f>SUM(T27:T35)</f>
        <v>3456.7999999999984</v>
      </c>
      <c r="U36" s="16"/>
      <c r="W36" s="122">
        <f>SUM(W27:W35)</f>
        <v>1113.1200000000001</v>
      </c>
      <c r="X36" s="109">
        <f t="shared" ref="X36:AA36" si="37">SUM(X27:X35)</f>
        <v>1094.26</v>
      </c>
      <c r="Y36" s="109">
        <f t="shared" si="37"/>
        <v>18.859999999999964</v>
      </c>
      <c r="Z36" s="110">
        <f t="shared" si="37"/>
        <v>60.9</v>
      </c>
      <c r="AA36" s="114">
        <f t="shared" si="37"/>
        <v>79.759999999999962</v>
      </c>
      <c r="AB36" s="94"/>
    </row>
    <row r="37" spans="1:28" ht="31.5" customHeight="1" thickBot="1" x14ac:dyDescent="0.4">
      <c r="A37" s="58" t="s">
        <v>42</v>
      </c>
      <c r="B37" s="32">
        <f>+B4+B12+B22+B27</f>
        <v>5127</v>
      </c>
      <c r="C37" s="29"/>
      <c r="D37" s="15"/>
      <c r="E37" s="15"/>
      <c r="F37" s="15"/>
      <c r="G37" s="15"/>
      <c r="H37" s="14"/>
      <c r="I37" s="15"/>
      <c r="J37" s="16"/>
      <c r="K37" s="14"/>
      <c r="L37" s="15"/>
      <c r="M37" s="16"/>
      <c r="N37" s="14"/>
      <c r="O37" s="16"/>
      <c r="P37" s="20"/>
      <c r="Q37" s="15"/>
      <c r="R37" s="17"/>
      <c r="S37" s="85">
        <f>+S36+S26+S21+S11</f>
        <v>269.25</v>
      </c>
      <c r="T37" s="85">
        <f>+T36+T26+T21+T11</f>
        <v>13166.599999999999</v>
      </c>
      <c r="U37" s="62"/>
      <c r="W37" s="108">
        <f>+W11+W21+W26+W36</f>
        <v>3909.67</v>
      </c>
      <c r="X37" s="119">
        <f t="shared" ref="X37:AA37" si="38">+X11+X21+X26+X36</f>
        <v>3832.42</v>
      </c>
      <c r="Y37" s="119">
        <f t="shared" si="38"/>
        <v>77.25</v>
      </c>
      <c r="Z37" s="121">
        <f t="shared" si="38"/>
        <v>327.79999999999995</v>
      </c>
      <c r="AA37" s="120">
        <f t="shared" si="38"/>
        <v>269.25</v>
      </c>
      <c r="AB37" s="94"/>
    </row>
    <row r="38" spans="1:28" x14ac:dyDescent="0.35">
      <c r="B38" s="59"/>
      <c r="Y38" s="63"/>
    </row>
    <row r="39" spans="1:28" ht="15" thickBot="1" x14ac:dyDescent="0.4">
      <c r="W39" s="63"/>
      <c r="X39" s="63"/>
      <c r="Y39" s="63"/>
      <c r="Z39" s="63"/>
      <c r="AA39" s="63"/>
    </row>
    <row r="40" spans="1:28" ht="16" thickBot="1" x14ac:dyDescent="0.4">
      <c r="A40" s="322" t="s">
        <v>45</v>
      </c>
      <c r="B40" s="323"/>
      <c r="C40" s="323"/>
      <c r="D40" s="323"/>
      <c r="E40" s="323"/>
      <c r="F40" s="324"/>
    </row>
    <row r="41" spans="1:28" ht="30.75" customHeight="1" x14ac:dyDescent="0.35">
      <c r="A41" s="7" t="s">
        <v>6</v>
      </c>
      <c r="B41" s="8" t="s">
        <v>7</v>
      </c>
      <c r="C41" s="8" t="s">
        <v>53</v>
      </c>
      <c r="D41" s="60" t="s">
        <v>52</v>
      </c>
      <c r="E41" s="60" t="s">
        <v>57</v>
      </c>
      <c r="F41" s="90" t="s">
        <v>46</v>
      </c>
      <c r="O41" s="129" t="s">
        <v>60</v>
      </c>
      <c r="P41" s="130" t="s">
        <v>59</v>
      </c>
      <c r="X41" s="63"/>
    </row>
    <row r="42" spans="1:28" ht="25.5" customHeight="1" x14ac:dyDescent="0.35">
      <c r="A42" s="91" t="s">
        <v>47</v>
      </c>
      <c r="B42" s="92">
        <f>+B4</f>
        <v>1413</v>
      </c>
      <c r="C42" s="99">
        <f>+W11</f>
        <v>1012.25</v>
      </c>
      <c r="D42" s="99">
        <f>+AA11</f>
        <v>71.749999999999957</v>
      </c>
      <c r="E42" s="95">
        <f>+D42/B42</f>
        <v>5.0778485491861258E-2</v>
      </c>
      <c r="F42" s="12">
        <f>+D42/C42</f>
        <v>7.088169918498391E-2</v>
      </c>
      <c r="O42" s="72">
        <f>+X11</f>
        <v>989.2</v>
      </c>
      <c r="P42" s="65">
        <f>+Z11</f>
        <v>49.699999999999996</v>
      </c>
    </row>
    <row r="43" spans="1:28" ht="25.5" customHeight="1" x14ac:dyDescent="0.35">
      <c r="A43" s="91" t="s">
        <v>48</v>
      </c>
      <c r="B43" s="92">
        <f>+B12</f>
        <v>1282</v>
      </c>
      <c r="C43" s="92">
        <f>+W21</f>
        <v>1374.1000000000001</v>
      </c>
      <c r="D43" s="99">
        <f>+AA21</f>
        <v>111.94000000000008</v>
      </c>
      <c r="E43" s="95">
        <f>+D43/B43</f>
        <v>8.7316692667706766E-2</v>
      </c>
      <c r="F43" s="12">
        <f t="shared" ref="F43:F45" si="39">+D43/C43</f>
        <v>8.1464231133105358E-2</v>
      </c>
      <c r="O43" s="72">
        <f>+X21</f>
        <v>1345.86</v>
      </c>
      <c r="P43" s="65">
        <f>+Z21</f>
        <v>213.7</v>
      </c>
      <c r="Q43" s="133"/>
      <c r="R43" s="134"/>
    </row>
    <row r="44" spans="1:28" ht="25.5" customHeight="1" x14ac:dyDescent="0.35">
      <c r="A44" s="91" t="s">
        <v>49</v>
      </c>
      <c r="B44" s="92">
        <f>+B22</f>
        <v>1390</v>
      </c>
      <c r="C44" s="92">
        <f>+W26</f>
        <v>410.20000000000005</v>
      </c>
      <c r="D44" s="99">
        <f>+AA26</f>
        <v>5.8</v>
      </c>
      <c r="E44" s="95">
        <f>+D44/B44</f>
        <v>4.1726618705035974E-3</v>
      </c>
      <c r="F44" s="12">
        <f t="shared" si="39"/>
        <v>1.4139444173573865E-2</v>
      </c>
      <c r="O44" s="72">
        <f>+X26</f>
        <v>403.1</v>
      </c>
      <c r="P44" s="65">
        <f>+Z26</f>
        <v>3.5</v>
      </c>
    </row>
    <row r="45" spans="1:28" ht="25.5" customHeight="1" x14ac:dyDescent="0.35">
      <c r="A45" s="91" t="s">
        <v>50</v>
      </c>
      <c r="B45" s="92">
        <f>+B27</f>
        <v>1042</v>
      </c>
      <c r="C45" s="99">
        <f>+W36</f>
        <v>1113.1200000000001</v>
      </c>
      <c r="D45" s="99">
        <f>+AA36</f>
        <v>79.759999999999962</v>
      </c>
      <c r="E45" s="95">
        <f>+D45/B45</f>
        <v>7.6545105566218768E-2</v>
      </c>
      <c r="F45" s="12">
        <f t="shared" si="39"/>
        <v>7.1654448756647934E-2</v>
      </c>
      <c r="O45" s="72">
        <f>+X36</f>
        <v>1094.26</v>
      </c>
      <c r="P45" s="65">
        <f>+Z36</f>
        <v>60.9</v>
      </c>
    </row>
    <row r="46" spans="1:28" ht="27" customHeight="1" thickBot="1" x14ac:dyDescent="0.4">
      <c r="A46" s="93" t="s">
        <v>51</v>
      </c>
      <c r="B46" s="96">
        <f>SUM(B42:B45)</f>
        <v>5127</v>
      </c>
      <c r="C46" s="96">
        <f>SUM(C42:C45)</f>
        <v>3909.67</v>
      </c>
      <c r="D46" s="100">
        <f>SUM(D42:D45)</f>
        <v>269.25</v>
      </c>
      <c r="E46" s="97">
        <f>+D46/B46</f>
        <v>5.2516091281451141E-2</v>
      </c>
      <c r="F46" s="101">
        <f>+D46/B46</f>
        <v>5.2516091281451141E-2</v>
      </c>
      <c r="G46" s="98"/>
      <c r="O46" s="131">
        <f>SUM(O42:O45)</f>
        <v>3832.42</v>
      </c>
      <c r="P46" s="132">
        <f>SUM(P42:P45)</f>
        <v>327.79999999999995</v>
      </c>
    </row>
    <row r="47" spans="1:28" x14ac:dyDescent="0.35">
      <c r="F47" s="59"/>
    </row>
    <row r="48" spans="1:28" x14ac:dyDescent="0.35">
      <c r="B48">
        <v>410</v>
      </c>
    </row>
    <row r="49" spans="2:2" x14ac:dyDescent="0.35">
      <c r="B49">
        <f>+B46+B48</f>
        <v>5537</v>
      </c>
    </row>
  </sheetData>
  <mergeCells count="16">
    <mergeCell ref="A27:A35"/>
    <mergeCell ref="B27:B35"/>
    <mergeCell ref="A40:F40"/>
    <mergeCell ref="W2:AA2"/>
    <mergeCell ref="A4:A10"/>
    <mergeCell ref="B4:B10"/>
    <mergeCell ref="A12:A20"/>
    <mergeCell ref="B12:B20"/>
    <mergeCell ref="A22:A25"/>
    <mergeCell ref="B22:B25"/>
    <mergeCell ref="P2:U2"/>
    <mergeCell ref="A1:F1"/>
    <mergeCell ref="A2:G2"/>
    <mergeCell ref="H2:J2"/>
    <mergeCell ref="K2:M2"/>
    <mergeCell ref="N2:O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15A1B-0CEA-458E-8D44-BDC5504ABF0D}">
  <dimension ref="A1:AB49"/>
  <sheetViews>
    <sheetView workbookViewId="0">
      <pane xSplit="7" ySplit="3" topLeftCell="I33" activePane="bottomRight" state="frozen"/>
      <selection pane="topRight" activeCell="H1" sqref="H1"/>
      <selection pane="bottomLeft" activeCell="A4" sqref="A4"/>
      <selection pane="bottomRight" activeCell="I46" sqref="I46"/>
    </sheetView>
  </sheetViews>
  <sheetFormatPr defaultRowHeight="14.5" x14ac:dyDescent="0.35"/>
  <cols>
    <col min="1" max="1" width="11" customWidth="1"/>
    <col min="2" max="2" width="7.81640625" customWidth="1"/>
    <col min="3" max="3" width="20" customWidth="1"/>
    <col min="4" max="4" width="9.1796875" customWidth="1"/>
    <col min="5" max="5" width="9.26953125" customWidth="1"/>
    <col min="6" max="6" width="10" customWidth="1"/>
    <col min="7" max="7" width="8.1796875" customWidth="1"/>
    <col min="8" max="8" width="12.54296875" customWidth="1"/>
    <col min="9" max="9" width="12.453125" customWidth="1"/>
    <col min="10" max="10" width="11" customWidth="1"/>
    <col min="11" max="11" width="9.453125" customWidth="1"/>
    <col min="12" max="12" width="11" customWidth="1"/>
    <col min="13" max="13" width="13.54296875" customWidth="1"/>
    <col min="14" max="14" width="14.81640625" customWidth="1"/>
    <col min="15" max="15" width="16" customWidth="1"/>
    <col min="16" max="16" width="11.26953125" customWidth="1"/>
    <col min="17" max="18" width="9.54296875" customWidth="1"/>
    <col min="19" max="20" width="10.81640625" customWidth="1"/>
    <col min="21" max="21" width="12.7265625" customWidth="1"/>
    <col min="22" max="22" width="8.7265625" customWidth="1"/>
    <col min="23" max="23" width="11.453125" customWidth="1"/>
    <col min="24" max="24" width="11" customWidth="1"/>
  </cols>
  <sheetData>
    <row r="1" spans="1:28" ht="22.5" customHeight="1" thickBot="1" x14ac:dyDescent="0.4">
      <c r="A1" s="308" t="s">
        <v>36</v>
      </c>
      <c r="B1" s="309"/>
      <c r="C1" s="309"/>
      <c r="D1" s="309"/>
      <c r="E1" s="309"/>
      <c r="F1" s="310"/>
    </row>
    <row r="2" spans="1:28" ht="22.5" customHeight="1" thickBot="1" x14ac:dyDescent="0.4">
      <c r="A2" s="311" t="s">
        <v>99</v>
      </c>
      <c r="B2" s="312"/>
      <c r="C2" s="312"/>
      <c r="D2" s="312"/>
      <c r="E2" s="312"/>
      <c r="F2" s="312"/>
      <c r="G2" s="313"/>
      <c r="H2" s="314" t="s">
        <v>22</v>
      </c>
      <c r="I2" s="315"/>
      <c r="J2" s="316"/>
      <c r="K2" s="317" t="s">
        <v>23</v>
      </c>
      <c r="L2" s="318"/>
      <c r="M2" s="319"/>
      <c r="N2" s="320" t="s">
        <v>24</v>
      </c>
      <c r="O2" s="321"/>
      <c r="P2" s="305" t="s">
        <v>25</v>
      </c>
      <c r="Q2" s="306"/>
      <c r="R2" s="306"/>
      <c r="S2" s="306"/>
      <c r="T2" s="306"/>
      <c r="U2" s="307"/>
      <c r="W2" s="325" t="s">
        <v>43</v>
      </c>
      <c r="X2" s="326"/>
      <c r="Y2" s="326"/>
      <c r="Z2" s="326"/>
      <c r="AA2" s="327"/>
    </row>
    <row r="3" spans="1:28" ht="58.5" thickBot="1" x14ac:dyDescent="0.4">
      <c r="A3" s="39" t="s">
        <v>6</v>
      </c>
      <c r="B3" s="38" t="s">
        <v>7</v>
      </c>
      <c r="C3" s="38" t="s">
        <v>0</v>
      </c>
      <c r="D3" s="37" t="s">
        <v>15</v>
      </c>
      <c r="E3" s="38" t="s">
        <v>1</v>
      </c>
      <c r="F3" s="36" t="s">
        <v>27</v>
      </c>
      <c r="G3" s="37" t="s">
        <v>19</v>
      </c>
      <c r="H3" s="25" t="s">
        <v>4</v>
      </c>
      <c r="I3" s="89" t="s">
        <v>44</v>
      </c>
      <c r="J3" s="26" t="s">
        <v>29</v>
      </c>
      <c r="K3" s="88" t="s">
        <v>3</v>
      </c>
      <c r="L3" s="1" t="s">
        <v>28</v>
      </c>
      <c r="M3" s="87" t="s">
        <v>5</v>
      </c>
      <c r="N3" s="25" t="s">
        <v>20</v>
      </c>
      <c r="O3" s="26" t="s">
        <v>21</v>
      </c>
      <c r="P3" s="24" t="s">
        <v>8</v>
      </c>
      <c r="Q3" s="86" t="s">
        <v>9</v>
      </c>
      <c r="R3" s="2" t="s">
        <v>10</v>
      </c>
      <c r="S3" s="1" t="s">
        <v>26</v>
      </c>
      <c r="T3" s="1" t="s">
        <v>11</v>
      </c>
      <c r="U3" s="1" t="s">
        <v>30</v>
      </c>
      <c r="W3" s="43" t="s">
        <v>2</v>
      </c>
      <c r="X3" s="60" t="s">
        <v>3</v>
      </c>
      <c r="Y3" s="60" t="s">
        <v>28</v>
      </c>
      <c r="Z3" s="60" t="s">
        <v>5</v>
      </c>
      <c r="AA3" s="61" t="s">
        <v>26</v>
      </c>
    </row>
    <row r="4" spans="1:28" ht="20.25" customHeight="1" x14ac:dyDescent="0.35">
      <c r="A4" s="301" t="s">
        <v>37</v>
      </c>
      <c r="B4" s="303">
        <v>1530</v>
      </c>
      <c r="C4" s="34" t="s">
        <v>55</v>
      </c>
      <c r="D4" s="4">
        <v>2</v>
      </c>
      <c r="E4" s="30" t="s">
        <v>16</v>
      </c>
      <c r="F4" s="47">
        <v>2</v>
      </c>
      <c r="G4" s="5">
        <v>0.05</v>
      </c>
      <c r="H4" s="71">
        <f>+F4*B4</f>
        <v>3060</v>
      </c>
      <c r="I4" s="67">
        <v>3070</v>
      </c>
      <c r="J4" s="22">
        <f t="shared" ref="J4:J10" si="0">I4-H4</f>
        <v>10</v>
      </c>
      <c r="K4" s="75">
        <v>3060</v>
      </c>
      <c r="L4" s="127">
        <f>+I4-K4</f>
        <v>10</v>
      </c>
      <c r="M4" s="78">
        <v>60</v>
      </c>
      <c r="N4" s="128">
        <f>+K4-M4</f>
        <v>3000</v>
      </c>
      <c r="O4" s="64">
        <f>+N4/B4</f>
        <v>1.9607843137254901</v>
      </c>
      <c r="P4" s="18">
        <f>+L4+M4</f>
        <v>70</v>
      </c>
      <c r="Q4" s="81">
        <v>0</v>
      </c>
      <c r="R4" s="3">
        <f t="shared" ref="R4:R10" si="1">+P4-Q4</f>
        <v>70</v>
      </c>
      <c r="S4" s="3">
        <f t="shared" ref="S4:S10" si="2">+R4*G4</f>
        <v>3.5</v>
      </c>
      <c r="T4" s="3">
        <f t="shared" ref="T4:T10" si="3">+R4*D4</f>
        <v>140</v>
      </c>
      <c r="U4" s="6">
        <f>+R4/I4</f>
        <v>2.2801302931596091E-2</v>
      </c>
      <c r="W4" s="102">
        <f>+I4*G4</f>
        <v>153.5</v>
      </c>
      <c r="X4" s="103">
        <f>+K4*G4</f>
        <v>153</v>
      </c>
      <c r="Y4" s="103">
        <f>+L4*G4</f>
        <v>0.5</v>
      </c>
      <c r="Z4" s="103">
        <f>+M4*G4</f>
        <v>3</v>
      </c>
      <c r="AA4" s="104">
        <f>+R4*G4</f>
        <v>3.5</v>
      </c>
    </row>
    <row r="5" spans="1:28" ht="20.25" customHeight="1" x14ac:dyDescent="0.35">
      <c r="A5" s="302"/>
      <c r="B5" s="304"/>
      <c r="C5" s="35" t="s">
        <v>100</v>
      </c>
      <c r="D5" s="10">
        <v>4</v>
      </c>
      <c r="E5" s="31" t="s">
        <v>16</v>
      </c>
      <c r="F5" s="48">
        <v>2</v>
      </c>
      <c r="G5" s="11">
        <v>0.05</v>
      </c>
      <c r="H5" s="70">
        <f>+F5*B4</f>
        <v>3060</v>
      </c>
      <c r="I5" s="68">
        <v>3065</v>
      </c>
      <c r="J5" s="13">
        <f t="shared" si="0"/>
        <v>5</v>
      </c>
      <c r="K5" s="76">
        <v>3060</v>
      </c>
      <c r="L5" s="9">
        <f t="shared" ref="L5:L10" si="4">+I5-K5</f>
        <v>5</v>
      </c>
      <c r="M5" s="79">
        <v>40</v>
      </c>
      <c r="N5" s="23">
        <f t="shared" ref="N5:N10" si="5">+K5-M5</f>
        <v>3020</v>
      </c>
      <c r="O5" s="65">
        <f>+N5/B4</f>
        <v>1.9738562091503269</v>
      </c>
      <c r="P5" s="19">
        <f>+L5+M5</f>
        <v>45</v>
      </c>
      <c r="Q5" s="82">
        <v>0</v>
      </c>
      <c r="R5" s="9">
        <f t="shared" si="1"/>
        <v>45</v>
      </c>
      <c r="S5" s="9">
        <f t="shared" si="2"/>
        <v>2.25</v>
      </c>
      <c r="T5" s="9">
        <f t="shared" si="3"/>
        <v>180</v>
      </c>
      <c r="U5" s="12">
        <f t="shared" ref="U5:U9" si="6">+R5/I5</f>
        <v>1.468189233278956E-2</v>
      </c>
      <c r="W5" s="102">
        <f t="shared" ref="W5:W35" si="7">+I5*G5</f>
        <v>153.25</v>
      </c>
      <c r="X5" s="103">
        <f t="shared" ref="X5:X35" si="8">+K5*G5</f>
        <v>153</v>
      </c>
      <c r="Y5" s="103">
        <f t="shared" ref="Y5:Y35" si="9">+L5*G5</f>
        <v>0.25</v>
      </c>
      <c r="Z5" s="103">
        <f t="shared" ref="Z5:Z35" si="10">+M5*G5</f>
        <v>2</v>
      </c>
      <c r="AA5" s="104">
        <f t="shared" ref="AA5:AA35" si="11">+R5*G5</f>
        <v>2.25</v>
      </c>
    </row>
    <row r="6" spans="1:28" ht="20.25" customHeight="1" x14ac:dyDescent="0.35">
      <c r="A6" s="302"/>
      <c r="B6" s="304"/>
      <c r="C6" s="35" t="s">
        <v>101</v>
      </c>
      <c r="D6" s="10">
        <v>40</v>
      </c>
      <c r="E6" s="31" t="s">
        <v>17</v>
      </c>
      <c r="F6" s="49">
        <v>0.15</v>
      </c>
      <c r="G6" s="11">
        <v>1</v>
      </c>
      <c r="H6" s="72">
        <f>+F6*B4</f>
        <v>229.5</v>
      </c>
      <c r="I6" s="68">
        <v>232</v>
      </c>
      <c r="J6" s="13">
        <f t="shared" si="0"/>
        <v>2.5</v>
      </c>
      <c r="K6" s="76">
        <f>1530*0.15</f>
        <v>229.5</v>
      </c>
      <c r="L6" s="9">
        <f t="shared" si="4"/>
        <v>2.5</v>
      </c>
      <c r="M6" s="79">
        <v>15</v>
      </c>
      <c r="N6" s="33">
        <f t="shared" si="5"/>
        <v>214.5</v>
      </c>
      <c r="O6" s="42">
        <f>+N6/B4</f>
        <v>0.14019607843137255</v>
      </c>
      <c r="P6" s="19">
        <f>+L6+M6</f>
        <v>17.5</v>
      </c>
      <c r="Q6" s="82">
        <v>0</v>
      </c>
      <c r="R6" s="9">
        <f t="shared" si="1"/>
        <v>17.5</v>
      </c>
      <c r="S6" s="9">
        <f t="shared" si="2"/>
        <v>17.5</v>
      </c>
      <c r="T6" s="9">
        <f t="shared" si="3"/>
        <v>700</v>
      </c>
      <c r="U6" s="12">
        <f t="shared" si="6"/>
        <v>7.5431034482758619E-2</v>
      </c>
      <c r="W6" s="102">
        <f t="shared" si="7"/>
        <v>232</v>
      </c>
      <c r="X6" s="103">
        <f t="shared" si="8"/>
        <v>229.5</v>
      </c>
      <c r="Y6" s="103">
        <f t="shared" si="9"/>
        <v>2.5</v>
      </c>
      <c r="Z6" s="103">
        <f t="shared" si="10"/>
        <v>15</v>
      </c>
      <c r="AA6" s="104">
        <f t="shared" si="11"/>
        <v>17.5</v>
      </c>
    </row>
    <row r="7" spans="1:28" ht="20.25" customHeight="1" x14ac:dyDescent="0.35">
      <c r="A7" s="302"/>
      <c r="B7" s="304"/>
      <c r="C7" s="35" t="s">
        <v>12</v>
      </c>
      <c r="D7" s="10">
        <v>45</v>
      </c>
      <c r="E7" s="31" t="s">
        <v>17</v>
      </c>
      <c r="F7" s="49">
        <v>0.1</v>
      </c>
      <c r="G7" s="11">
        <v>1</v>
      </c>
      <c r="H7" s="72">
        <f>+F7*B4</f>
        <v>153</v>
      </c>
      <c r="I7" s="68">
        <v>155</v>
      </c>
      <c r="J7" s="13">
        <f t="shared" si="0"/>
        <v>2</v>
      </c>
      <c r="K7" s="76">
        <v>153</v>
      </c>
      <c r="L7" s="9">
        <f t="shared" si="4"/>
        <v>2</v>
      </c>
      <c r="M7" s="79">
        <v>8</v>
      </c>
      <c r="N7" s="23">
        <f t="shared" si="5"/>
        <v>145</v>
      </c>
      <c r="O7" s="42">
        <f>+N7/B4</f>
        <v>9.4771241830065356E-2</v>
      </c>
      <c r="P7" s="19">
        <f t="shared" ref="P7:P10" si="12">+L7+M7</f>
        <v>10</v>
      </c>
      <c r="Q7" s="82">
        <v>0</v>
      </c>
      <c r="R7" s="9">
        <f t="shared" si="1"/>
        <v>10</v>
      </c>
      <c r="S7" s="9">
        <f t="shared" si="2"/>
        <v>10</v>
      </c>
      <c r="T7" s="9">
        <f t="shared" si="3"/>
        <v>450</v>
      </c>
      <c r="U7" s="12">
        <f t="shared" si="6"/>
        <v>6.4516129032258063E-2</v>
      </c>
      <c r="W7" s="102">
        <f t="shared" si="7"/>
        <v>155</v>
      </c>
      <c r="X7" s="103">
        <f t="shared" si="8"/>
        <v>153</v>
      </c>
      <c r="Y7" s="103">
        <f t="shared" si="9"/>
        <v>2</v>
      </c>
      <c r="Z7" s="103">
        <f t="shared" si="10"/>
        <v>8</v>
      </c>
      <c r="AA7" s="104">
        <f t="shared" si="11"/>
        <v>10</v>
      </c>
    </row>
    <row r="8" spans="1:28" ht="20.25" customHeight="1" x14ac:dyDescent="0.35">
      <c r="A8" s="302"/>
      <c r="B8" s="304"/>
      <c r="C8" s="35" t="s">
        <v>13</v>
      </c>
      <c r="D8" s="10">
        <v>52</v>
      </c>
      <c r="E8" s="31" t="s">
        <v>17</v>
      </c>
      <c r="F8" s="49">
        <v>0.1</v>
      </c>
      <c r="G8" s="11">
        <v>1</v>
      </c>
      <c r="H8" s="72">
        <f>+F8*B4</f>
        <v>153</v>
      </c>
      <c r="I8" s="68">
        <v>155</v>
      </c>
      <c r="J8" s="13">
        <f t="shared" si="0"/>
        <v>2</v>
      </c>
      <c r="K8" s="76">
        <v>153</v>
      </c>
      <c r="L8" s="9">
        <f>+I8-K8</f>
        <v>2</v>
      </c>
      <c r="M8" s="79">
        <v>15</v>
      </c>
      <c r="N8" s="33">
        <f t="shared" si="5"/>
        <v>138</v>
      </c>
      <c r="O8" s="42">
        <f>+N8/B4</f>
        <v>9.0196078431372548E-2</v>
      </c>
      <c r="P8" s="19">
        <f t="shared" si="12"/>
        <v>17</v>
      </c>
      <c r="Q8" s="82">
        <v>0</v>
      </c>
      <c r="R8" s="9">
        <f t="shared" si="1"/>
        <v>17</v>
      </c>
      <c r="S8" s="9">
        <f t="shared" si="2"/>
        <v>17</v>
      </c>
      <c r="T8" s="9">
        <f t="shared" si="3"/>
        <v>884</v>
      </c>
      <c r="U8" s="12">
        <f t="shared" si="6"/>
        <v>0.10967741935483871</v>
      </c>
      <c r="W8" s="102">
        <f t="shared" si="7"/>
        <v>155</v>
      </c>
      <c r="X8" s="103">
        <f t="shared" si="8"/>
        <v>153</v>
      </c>
      <c r="Y8" s="103">
        <f t="shared" si="9"/>
        <v>2</v>
      </c>
      <c r="Z8" s="103">
        <f t="shared" si="10"/>
        <v>15</v>
      </c>
      <c r="AA8" s="104">
        <f t="shared" si="11"/>
        <v>17</v>
      </c>
    </row>
    <row r="9" spans="1:28" ht="20.25" customHeight="1" x14ac:dyDescent="0.35">
      <c r="A9" s="302"/>
      <c r="B9" s="304"/>
      <c r="C9" s="35" t="s">
        <v>102</v>
      </c>
      <c r="D9" s="10">
        <v>60</v>
      </c>
      <c r="E9" s="31" t="s">
        <v>17</v>
      </c>
      <c r="F9" s="49">
        <v>0.05</v>
      </c>
      <c r="G9" s="11">
        <v>1</v>
      </c>
      <c r="H9" s="73">
        <f>+F9*B4</f>
        <v>76.5</v>
      </c>
      <c r="I9" s="68">
        <v>80</v>
      </c>
      <c r="J9" s="13">
        <f t="shared" si="0"/>
        <v>3.5</v>
      </c>
      <c r="K9" s="76">
        <f>1530*0.05</f>
        <v>76.5</v>
      </c>
      <c r="L9" s="54">
        <f>+I9-K9</f>
        <v>3.5</v>
      </c>
      <c r="M9" s="79">
        <v>4</v>
      </c>
      <c r="N9" s="23">
        <f t="shared" si="5"/>
        <v>72.5</v>
      </c>
      <c r="O9" s="42">
        <f>+N9/B4</f>
        <v>4.7385620915032678E-2</v>
      </c>
      <c r="P9" s="19">
        <f t="shared" si="12"/>
        <v>7.5</v>
      </c>
      <c r="Q9" s="82">
        <v>0</v>
      </c>
      <c r="R9" s="9">
        <f t="shared" si="1"/>
        <v>7.5</v>
      </c>
      <c r="S9" s="9">
        <f t="shared" si="2"/>
        <v>7.5</v>
      </c>
      <c r="T9" s="9">
        <f t="shared" si="3"/>
        <v>450</v>
      </c>
      <c r="U9" s="12">
        <f t="shared" si="6"/>
        <v>9.375E-2</v>
      </c>
      <c r="W9" s="102">
        <f t="shared" si="7"/>
        <v>80</v>
      </c>
      <c r="X9" s="103">
        <f t="shared" si="8"/>
        <v>76.5</v>
      </c>
      <c r="Y9" s="103">
        <f t="shared" si="9"/>
        <v>3.5</v>
      </c>
      <c r="Z9" s="103">
        <f t="shared" si="10"/>
        <v>4</v>
      </c>
      <c r="AA9" s="104">
        <f t="shared" si="11"/>
        <v>7.5</v>
      </c>
    </row>
    <row r="10" spans="1:28" ht="20.25" customHeight="1" x14ac:dyDescent="0.35">
      <c r="A10" s="302"/>
      <c r="B10" s="304"/>
      <c r="C10" s="35" t="s">
        <v>14</v>
      </c>
      <c r="D10" s="10">
        <v>60</v>
      </c>
      <c r="E10" s="31" t="s">
        <v>18</v>
      </c>
      <c r="F10" s="49">
        <v>0.1</v>
      </c>
      <c r="G10" s="11">
        <v>1</v>
      </c>
      <c r="H10" s="72">
        <f>+F10*B4</f>
        <v>153</v>
      </c>
      <c r="I10" s="68">
        <v>155</v>
      </c>
      <c r="J10" s="13">
        <f t="shared" si="0"/>
        <v>2</v>
      </c>
      <c r="K10" s="76">
        <v>153</v>
      </c>
      <c r="L10" s="9">
        <f t="shared" si="4"/>
        <v>2</v>
      </c>
      <c r="M10" s="79">
        <v>4</v>
      </c>
      <c r="N10" s="33">
        <f t="shared" si="5"/>
        <v>149</v>
      </c>
      <c r="O10" s="42">
        <f>+N10/B4</f>
        <v>9.7385620915032681E-2</v>
      </c>
      <c r="P10" s="19">
        <f t="shared" si="12"/>
        <v>6</v>
      </c>
      <c r="Q10" s="82">
        <v>0</v>
      </c>
      <c r="R10" s="9">
        <f t="shared" si="1"/>
        <v>6</v>
      </c>
      <c r="S10" s="9">
        <f t="shared" si="2"/>
        <v>6</v>
      </c>
      <c r="T10" s="9">
        <f t="shared" si="3"/>
        <v>360</v>
      </c>
      <c r="U10" s="12">
        <f>+R10/I10</f>
        <v>3.870967741935484E-2</v>
      </c>
      <c r="W10" s="115">
        <f t="shared" si="7"/>
        <v>155</v>
      </c>
      <c r="X10" s="116">
        <f t="shared" si="8"/>
        <v>153</v>
      </c>
      <c r="Y10" s="116">
        <f t="shared" si="9"/>
        <v>2</v>
      </c>
      <c r="Z10" s="116">
        <f t="shared" si="10"/>
        <v>4</v>
      </c>
      <c r="AA10" s="117">
        <f t="shared" si="11"/>
        <v>6</v>
      </c>
    </row>
    <row r="11" spans="1:28" ht="20.25" customHeight="1" thickBot="1" x14ac:dyDescent="0.4">
      <c r="A11" s="27"/>
      <c r="B11" s="51"/>
      <c r="C11" s="50"/>
      <c r="D11" s="15"/>
      <c r="E11" s="15"/>
      <c r="F11" s="15"/>
      <c r="G11" s="15"/>
      <c r="H11" s="74"/>
      <c r="I11" s="69"/>
      <c r="J11" s="16"/>
      <c r="K11" s="77"/>
      <c r="L11" s="15"/>
      <c r="M11" s="80"/>
      <c r="N11" s="14"/>
      <c r="O11" s="16"/>
      <c r="P11" s="20"/>
      <c r="Q11" s="83"/>
      <c r="R11" s="15"/>
      <c r="S11" s="84">
        <f>SUM(S4:S10)</f>
        <v>63.75</v>
      </c>
      <c r="T11" s="56">
        <f>SUM(T4:T10)</f>
        <v>3164</v>
      </c>
      <c r="U11" s="16"/>
      <c r="W11" s="118">
        <f>SUM(W4:W10)</f>
        <v>1083.75</v>
      </c>
      <c r="X11" s="109">
        <f t="shared" ref="X11:AA11" si="13">SUM(X4:X10)</f>
        <v>1071</v>
      </c>
      <c r="Y11" s="109">
        <f t="shared" si="13"/>
        <v>12.75</v>
      </c>
      <c r="Z11" s="110">
        <f t="shared" si="13"/>
        <v>51</v>
      </c>
      <c r="AA11" s="114">
        <f t="shared" si="13"/>
        <v>63.75</v>
      </c>
      <c r="AB11" s="94"/>
    </row>
    <row r="12" spans="1:28" ht="20.25" customHeight="1" x14ac:dyDescent="0.35">
      <c r="A12" s="292" t="s">
        <v>38</v>
      </c>
      <c r="B12" s="295">
        <v>1541</v>
      </c>
      <c r="C12" s="34" t="s">
        <v>31</v>
      </c>
      <c r="D12" s="4">
        <v>20</v>
      </c>
      <c r="E12" s="30" t="s">
        <v>17</v>
      </c>
      <c r="F12" s="52">
        <v>0.4</v>
      </c>
      <c r="G12" s="5">
        <v>1</v>
      </c>
      <c r="H12" s="71">
        <f>+F12*B12</f>
        <v>616.40000000000009</v>
      </c>
      <c r="I12" s="67">
        <v>635</v>
      </c>
      <c r="J12" s="22">
        <f t="shared" ref="J12:J20" si="14">I12-H12</f>
        <v>18.599999999999909</v>
      </c>
      <c r="K12" s="75">
        <f>1541*0.4</f>
        <v>616.40000000000009</v>
      </c>
      <c r="L12" s="3">
        <f>+I12-K12</f>
        <v>18.599999999999909</v>
      </c>
      <c r="M12" s="78">
        <v>60</v>
      </c>
      <c r="N12" s="21">
        <f>+K12-M12</f>
        <v>556.40000000000009</v>
      </c>
      <c r="O12" s="41">
        <f>+N12/B12</f>
        <v>0.36106424399740433</v>
      </c>
      <c r="P12" s="18">
        <f>+L12+M12</f>
        <v>78.599999999999909</v>
      </c>
      <c r="Q12" s="81">
        <v>60</v>
      </c>
      <c r="R12" s="3">
        <f>+P12-Q12</f>
        <v>18.599999999999909</v>
      </c>
      <c r="S12" s="3">
        <f>+R12*G12</f>
        <v>18.599999999999909</v>
      </c>
      <c r="T12" s="3">
        <f t="shared" ref="T12:T20" si="15">+R12*D12</f>
        <v>371.99999999999818</v>
      </c>
      <c r="U12" s="6">
        <f>+R12/I12</f>
        <v>2.9291338582677021E-2</v>
      </c>
      <c r="W12" s="111">
        <f t="shared" si="7"/>
        <v>635</v>
      </c>
      <c r="X12" s="112">
        <f t="shared" si="8"/>
        <v>616.40000000000009</v>
      </c>
      <c r="Y12" s="112">
        <f t="shared" si="9"/>
        <v>18.599999999999909</v>
      </c>
      <c r="Z12" s="112">
        <f t="shared" si="10"/>
        <v>60</v>
      </c>
      <c r="AA12" s="113">
        <f t="shared" si="11"/>
        <v>18.599999999999909</v>
      </c>
    </row>
    <row r="13" spans="1:28" ht="20.25" customHeight="1" x14ac:dyDescent="0.35">
      <c r="A13" s="293"/>
      <c r="B13" s="296"/>
      <c r="C13" s="35" t="s">
        <v>103</v>
      </c>
      <c r="D13" s="10">
        <v>65</v>
      </c>
      <c r="E13" s="31" t="s">
        <v>17</v>
      </c>
      <c r="F13" s="49">
        <v>0.1</v>
      </c>
      <c r="G13" s="11">
        <v>1</v>
      </c>
      <c r="H13" s="70">
        <f>+F13*B12</f>
        <v>154.10000000000002</v>
      </c>
      <c r="I13" s="68">
        <v>158</v>
      </c>
      <c r="J13" s="13">
        <f t="shared" si="14"/>
        <v>3.8999999999999773</v>
      </c>
      <c r="K13" s="76">
        <v>154.1</v>
      </c>
      <c r="L13" s="9">
        <f t="shared" ref="L13:L20" si="16">+I13-K13</f>
        <v>3.9000000000000057</v>
      </c>
      <c r="M13" s="79">
        <v>25</v>
      </c>
      <c r="N13" s="23">
        <f>+K13-M13</f>
        <v>129.1</v>
      </c>
      <c r="O13" s="42">
        <f>+N13/B12</f>
        <v>8.3776768332251783E-2</v>
      </c>
      <c r="P13" s="19">
        <f>+L13+M13</f>
        <v>28.900000000000006</v>
      </c>
      <c r="Q13" s="82">
        <v>0</v>
      </c>
      <c r="R13" s="9">
        <f t="shared" ref="R13:R20" si="17">+P13-Q13</f>
        <v>28.900000000000006</v>
      </c>
      <c r="S13" s="9">
        <f>+R13*G13</f>
        <v>28.900000000000006</v>
      </c>
      <c r="T13" s="9">
        <f t="shared" si="15"/>
        <v>1878.5000000000005</v>
      </c>
      <c r="U13" s="12">
        <f t="shared" ref="U13:U20" si="18">+R13/I13</f>
        <v>0.18291139240506332</v>
      </c>
      <c r="W13" s="102">
        <f t="shared" si="7"/>
        <v>158</v>
      </c>
      <c r="X13" s="103">
        <f t="shared" si="8"/>
        <v>154.1</v>
      </c>
      <c r="Y13" s="103">
        <f t="shared" si="9"/>
        <v>3.9000000000000057</v>
      </c>
      <c r="Z13" s="103">
        <f>+M13*G13</f>
        <v>25</v>
      </c>
      <c r="AA13" s="104">
        <f t="shared" si="11"/>
        <v>28.900000000000006</v>
      </c>
    </row>
    <row r="14" spans="1:28" ht="20.25" customHeight="1" x14ac:dyDescent="0.35">
      <c r="A14" s="293"/>
      <c r="B14" s="296"/>
      <c r="C14" s="35" t="s">
        <v>104</v>
      </c>
      <c r="D14" s="10">
        <v>80</v>
      </c>
      <c r="E14" s="31" t="s">
        <v>17</v>
      </c>
      <c r="F14" s="49">
        <v>0.08</v>
      </c>
      <c r="G14" s="11">
        <v>1</v>
      </c>
      <c r="H14" s="72">
        <f>+F14*B12</f>
        <v>123.28</v>
      </c>
      <c r="I14" s="68">
        <v>80</v>
      </c>
      <c r="J14" s="13">
        <f t="shared" si="14"/>
        <v>-43.28</v>
      </c>
      <c r="K14" s="76">
        <v>77</v>
      </c>
      <c r="L14" s="9">
        <f t="shared" si="16"/>
        <v>3</v>
      </c>
      <c r="M14" s="79">
        <v>12</v>
      </c>
      <c r="N14" s="33">
        <f>+K14-M14</f>
        <v>65</v>
      </c>
      <c r="O14" s="42">
        <f>+N14/B12</f>
        <v>4.218040233614536E-2</v>
      </c>
      <c r="P14" s="19">
        <f>+L14+M14</f>
        <v>15</v>
      </c>
      <c r="Q14" s="82">
        <v>0</v>
      </c>
      <c r="R14" s="9">
        <f t="shared" si="17"/>
        <v>15</v>
      </c>
      <c r="S14" s="9">
        <f t="shared" ref="S14:S20" si="19">+R14*G14</f>
        <v>15</v>
      </c>
      <c r="T14" s="9">
        <f t="shared" si="15"/>
        <v>1200</v>
      </c>
      <c r="U14" s="12">
        <f t="shared" si="18"/>
        <v>0.1875</v>
      </c>
      <c r="W14" s="102">
        <f t="shared" si="7"/>
        <v>80</v>
      </c>
      <c r="X14" s="103">
        <f t="shared" si="8"/>
        <v>77</v>
      </c>
      <c r="Y14" s="103">
        <f t="shared" si="9"/>
        <v>3</v>
      </c>
      <c r="Z14" s="103">
        <f>+M14*G14</f>
        <v>12</v>
      </c>
      <c r="AA14" s="104">
        <f t="shared" si="11"/>
        <v>15</v>
      </c>
    </row>
    <row r="15" spans="1:28" ht="20.25" customHeight="1" x14ac:dyDescent="0.35">
      <c r="A15" s="293"/>
      <c r="B15" s="296"/>
      <c r="C15" s="35" t="s">
        <v>105</v>
      </c>
      <c r="D15" s="10">
        <v>55</v>
      </c>
      <c r="E15" s="31" t="s">
        <v>17</v>
      </c>
      <c r="F15" s="49">
        <v>0.1</v>
      </c>
      <c r="G15" s="11">
        <v>1</v>
      </c>
      <c r="H15" s="72">
        <f>+F15*B12</f>
        <v>154.10000000000002</v>
      </c>
      <c r="I15" s="68">
        <v>160</v>
      </c>
      <c r="J15" s="13">
        <f t="shared" si="14"/>
        <v>5.8999999999999773</v>
      </c>
      <c r="K15" s="76">
        <v>154</v>
      </c>
      <c r="L15" s="9">
        <f t="shared" si="16"/>
        <v>6</v>
      </c>
      <c r="M15" s="79">
        <v>20</v>
      </c>
      <c r="N15" s="23">
        <f t="shared" ref="N15:N20" si="20">+K15-M15</f>
        <v>134</v>
      </c>
      <c r="O15" s="42">
        <f>+N15/B12</f>
        <v>8.6956521739130432E-2</v>
      </c>
      <c r="P15" s="19">
        <f t="shared" ref="P15:P20" si="21">+L15+M15</f>
        <v>26</v>
      </c>
      <c r="Q15" s="82">
        <v>0</v>
      </c>
      <c r="R15" s="9">
        <f t="shared" si="17"/>
        <v>26</v>
      </c>
      <c r="S15" s="9">
        <f t="shared" si="19"/>
        <v>26</v>
      </c>
      <c r="T15" s="9">
        <f t="shared" si="15"/>
        <v>1430</v>
      </c>
      <c r="U15" s="12">
        <f t="shared" si="18"/>
        <v>0.16250000000000001</v>
      </c>
      <c r="W15" s="102">
        <f t="shared" si="7"/>
        <v>160</v>
      </c>
      <c r="X15" s="103">
        <f t="shared" si="8"/>
        <v>154</v>
      </c>
      <c r="Y15" s="103">
        <f t="shared" si="9"/>
        <v>6</v>
      </c>
      <c r="Z15" s="103">
        <f t="shared" si="10"/>
        <v>20</v>
      </c>
      <c r="AA15" s="104">
        <f t="shared" si="11"/>
        <v>26</v>
      </c>
    </row>
    <row r="16" spans="1:28" ht="20.25" customHeight="1" x14ac:dyDescent="0.35">
      <c r="A16" s="293"/>
      <c r="B16" s="296"/>
      <c r="C16" s="35" t="s">
        <v>32</v>
      </c>
      <c r="D16" s="10">
        <v>48</v>
      </c>
      <c r="E16" s="31" t="s">
        <v>18</v>
      </c>
      <c r="F16" s="49">
        <v>0.08</v>
      </c>
      <c r="G16" s="11">
        <v>1</v>
      </c>
      <c r="H16" s="72">
        <f>+F16*B12</f>
        <v>123.28</v>
      </c>
      <c r="I16" s="68">
        <v>125</v>
      </c>
      <c r="J16" s="13">
        <f t="shared" si="14"/>
        <v>1.7199999999999989</v>
      </c>
      <c r="K16" s="76">
        <v>123.3</v>
      </c>
      <c r="L16" s="9">
        <f t="shared" si="16"/>
        <v>1.7000000000000028</v>
      </c>
      <c r="M16" s="79">
        <v>15</v>
      </c>
      <c r="N16" s="33">
        <f t="shared" si="20"/>
        <v>108.3</v>
      </c>
      <c r="O16" s="42">
        <f>+N16/B12</f>
        <v>7.0279039584685274E-2</v>
      </c>
      <c r="P16" s="19">
        <f t="shared" si="21"/>
        <v>16.700000000000003</v>
      </c>
      <c r="Q16" s="82">
        <v>0</v>
      </c>
      <c r="R16" s="9">
        <f t="shared" si="17"/>
        <v>16.700000000000003</v>
      </c>
      <c r="S16" s="9">
        <f t="shared" si="19"/>
        <v>16.700000000000003</v>
      </c>
      <c r="T16" s="9">
        <f t="shared" si="15"/>
        <v>801.60000000000014</v>
      </c>
      <c r="U16" s="12">
        <f t="shared" si="18"/>
        <v>0.13360000000000002</v>
      </c>
      <c r="W16" s="102">
        <f t="shared" si="7"/>
        <v>125</v>
      </c>
      <c r="X16" s="103">
        <f t="shared" si="8"/>
        <v>123.3</v>
      </c>
      <c r="Y16" s="103">
        <f t="shared" si="9"/>
        <v>1.7000000000000028</v>
      </c>
      <c r="Z16" s="103">
        <f t="shared" si="10"/>
        <v>15</v>
      </c>
      <c r="AA16" s="104">
        <f t="shared" si="11"/>
        <v>16.700000000000003</v>
      </c>
    </row>
    <row r="17" spans="1:28" ht="20.25" customHeight="1" x14ac:dyDescent="0.35">
      <c r="A17" s="293"/>
      <c r="B17" s="296"/>
      <c r="C17" s="35" t="s">
        <v>54</v>
      </c>
      <c r="D17" s="10">
        <v>35</v>
      </c>
      <c r="E17" s="31" t="s">
        <v>18</v>
      </c>
      <c r="F17" s="49">
        <v>0.08</v>
      </c>
      <c r="G17" s="11">
        <v>1</v>
      </c>
      <c r="H17" s="73">
        <f>+F17*B12</f>
        <v>123.28</v>
      </c>
      <c r="I17" s="68">
        <v>126</v>
      </c>
      <c r="J17" s="66">
        <f t="shared" si="14"/>
        <v>2.7199999999999989</v>
      </c>
      <c r="K17" s="76">
        <v>123.3</v>
      </c>
      <c r="L17" s="9">
        <f t="shared" si="16"/>
        <v>2.7000000000000028</v>
      </c>
      <c r="M17" s="79">
        <v>14</v>
      </c>
      <c r="N17" s="23">
        <f t="shared" si="20"/>
        <v>109.3</v>
      </c>
      <c r="O17" s="42">
        <f>+N17/B12</f>
        <v>7.0927968851395198E-2</v>
      </c>
      <c r="P17" s="19">
        <f t="shared" si="21"/>
        <v>16.700000000000003</v>
      </c>
      <c r="Q17" s="82">
        <v>0</v>
      </c>
      <c r="R17" s="9">
        <f t="shared" si="17"/>
        <v>16.700000000000003</v>
      </c>
      <c r="S17" s="9">
        <f t="shared" si="19"/>
        <v>16.700000000000003</v>
      </c>
      <c r="T17" s="9">
        <f t="shared" si="15"/>
        <v>584.50000000000011</v>
      </c>
      <c r="U17" s="12">
        <f t="shared" si="18"/>
        <v>0.13253968253968257</v>
      </c>
      <c r="W17" s="102">
        <f t="shared" si="7"/>
        <v>126</v>
      </c>
      <c r="X17" s="103">
        <f t="shared" si="8"/>
        <v>123.3</v>
      </c>
      <c r="Y17" s="103">
        <f t="shared" si="9"/>
        <v>2.7000000000000028</v>
      </c>
      <c r="Z17" s="103">
        <f t="shared" si="10"/>
        <v>14</v>
      </c>
      <c r="AA17" s="104">
        <f t="shared" si="11"/>
        <v>16.700000000000003</v>
      </c>
    </row>
    <row r="18" spans="1:28" ht="20.25" customHeight="1" x14ac:dyDescent="0.35">
      <c r="A18" s="293"/>
      <c r="B18" s="296"/>
      <c r="C18" s="35" t="s">
        <v>33</v>
      </c>
      <c r="D18" s="10">
        <v>50</v>
      </c>
      <c r="E18" s="31" t="s">
        <v>17</v>
      </c>
      <c r="F18" s="49">
        <v>0.03</v>
      </c>
      <c r="G18" s="11">
        <v>1</v>
      </c>
      <c r="H18" s="72">
        <f>+F18*B12</f>
        <v>46.23</v>
      </c>
      <c r="I18" s="68">
        <v>46</v>
      </c>
      <c r="J18" s="13">
        <f t="shared" si="14"/>
        <v>-0.22999999999999687</v>
      </c>
      <c r="K18" s="76">
        <v>46</v>
      </c>
      <c r="L18" s="9">
        <f t="shared" si="16"/>
        <v>0</v>
      </c>
      <c r="M18" s="79">
        <v>8</v>
      </c>
      <c r="N18" s="23">
        <f t="shared" si="20"/>
        <v>38</v>
      </c>
      <c r="O18" s="42">
        <f>+N18/B12</f>
        <v>2.4659312134977289E-2</v>
      </c>
      <c r="P18" s="19">
        <f t="shared" si="21"/>
        <v>8</v>
      </c>
      <c r="Q18" s="82">
        <v>0</v>
      </c>
      <c r="R18" s="9">
        <f t="shared" si="17"/>
        <v>8</v>
      </c>
      <c r="S18" s="9">
        <f t="shared" si="19"/>
        <v>8</v>
      </c>
      <c r="T18" s="9">
        <f t="shared" si="15"/>
        <v>400</v>
      </c>
      <c r="U18" s="12">
        <f t="shared" si="18"/>
        <v>0.17391304347826086</v>
      </c>
      <c r="W18" s="102">
        <f t="shared" si="7"/>
        <v>46</v>
      </c>
      <c r="X18" s="103">
        <f t="shared" si="8"/>
        <v>46</v>
      </c>
      <c r="Y18" s="103">
        <f t="shared" si="9"/>
        <v>0</v>
      </c>
      <c r="Z18" s="103">
        <f t="shared" si="10"/>
        <v>8</v>
      </c>
      <c r="AA18" s="104">
        <f t="shared" si="11"/>
        <v>8</v>
      </c>
    </row>
    <row r="19" spans="1:28" ht="20.25" customHeight="1" x14ac:dyDescent="0.35">
      <c r="A19" s="293"/>
      <c r="B19" s="296"/>
      <c r="C19" s="35" t="s">
        <v>34</v>
      </c>
      <c r="D19" s="31">
        <v>70</v>
      </c>
      <c r="E19" s="31" t="s">
        <v>17</v>
      </c>
      <c r="F19" s="11">
        <v>0.1</v>
      </c>
      <c r="G19" s="11">
        <v>1</v>
      </c>
      <c r="H19" s="72">
        <f>+F19*B12</f>
        <v>154.10000000000002</v>
      </c>
      <c r="I19" s="68">
        <v>154</v>
      </c>
      <c r="J19" s="13">
        <f t="shared" si="14"/>
        <v>-0.10000000000002274</v>
      </c>
      <c r="K19" s="76">
        <v>154</v>
      </c>
      <c r="L19" s="9">
        <f t="shared" si="16"/>
        <v>0</v>
      </c>
      <c r="M19" s="79">
        <v>5</v>
      </c>
      <c r="N19" s="23">
        <f t="shared" si="20"/>
        <v>149</v>
      </c>
      <c r="O19" s="42">
        <f>+N19/B12</f>
        <v>9.6690460739779369E-2</v>
      </c>
      <c r="P19" s="19">
        <f t="shared" si="21"/>
        <v>5</v>
      </c>
      <c r="Q19" s="82">
        <v>5</v>
      </c>
      <c r="R19" s="9">
        <f t="shared" si="17"/>
        <v>0</v>
      </c>
      <c r="S19" s="9">
        <f t="shared" si="19"/>
        <v>0</v>
      </c>
      <c r="T19" s="9">
        <f t="shared" si="15"/>
        <v>0</v>
      </c>
      <c r="U19" s="12">
        <f t="shared" si="18"/>
        <v>0</v>
      </c>
      <c r="W19" s="102">
        <f t="shared" si="7"/>
        <v>154</v>
      </c>
      <c r="X19" s="103">
        <f t="shared" si="8"/>
        <v>154</v>
      </c>
      <c r="Y19" s="103">
        <f t="shared" si="9"/>
        <v>0</v>
      </c>
      <c r="Z19" s="103">
        <f t="shared" si="10"/>
        <v>5</v>
      </c>
      <c r="AA19" s="104">
        <f t="shared" si="11"/>
        <v>0</v>
      </c>
    </row>
    <row r="20" spans="1:28" ht="20.25" customHeight="1" x14ac:dyDescent="0.35">
      <c r="A20" s="294"/>
      <c r="B20" s="297"/>
      <c r="C20" s="40" t="s">
        <v>35</v>
      </c>
      <c r="D20" s="44">
        <v>2</v>
      </c>
      <c r="E20" s="44" t="s">
        <v>16</v>
      </c>
      <c r="F20" s="53">
        <v>2</v>
      </c>
      <c r="G20" s="45">
        <v>0.04</v>
      </c>
      <c r="H20" s="72">
        <f>+F20*B12</f>
        <v>3082</v>
      </c>
      <c r="I20" s="68">
        <v>1400</v>
      </c>
      <c r="J20" s="13">
        <f t="shared" si="14"/>
        <v>-1682</v>
      </c>
      <c r="K20" s="76">
        <f>1541*2</f>
        <v>3082</v>
      </c>
      <c r="L20" s="9">
        <f t="shared" si="16"/>
        <v>-1682</v>
      </c>
      <c r="M20" s="79">
        <v>60</v>
      </c>
      <c r="N20" s="33">
        <f t="shared" si="20"/>
        <v>3022</v>
      </c>
      <c r="O20" s="42">
        <f>+N20/B12</f>
        <v>1.9610642439974042</v>
      </c>
      <c r="P20" s="19">
        <f t="shared" si="21"/>
        <v>-1622</v>
      </c>
      <c r="Q20" s="82">
        <v>0</v>
      </c>
      <c r="R20" s="9">
        <f t="shared" si="17"/>
        <v>-1622</v>
      </c>
      <c r="S20" s="9">
        <f t="shared" si="19"/>
        <v>-64.88</v>
      </c>
      <c r="T20" s="9">
        <f t="shared" si="15"/>
        <v>-3244</v>
      </c>
      <c r="U20" s="12">
        <f t="shared" si="18"/>
        <v>-1.1585714285714286</v>
      </c>
      <c r="W20" s="115">
        <f t="shared" si="7"/>
        <v>56</v>
      </c>
      <c r="X20" s="116">
        <f t="shared" si="8"/>
        <v>123.28</v>
      </c>
      <c r="Y20" s="116">
        <f t="shared" si="9"/>
        <v>-67.28</v>
      </c>
      <c r="Z20" s="116">
        <f t="shared" si="10"/>
        <v>2.4</v>
      </c>
      <c r="AA20" s="117">
        <f t="shared" si="11"/>
        <v>-64.88</v>
      </c>
    </row>
    <row r="21" spans="1:28" ht="20.25" customHeight="1" thickBot="1" x14ac:dyDescent="0.4">
      <c r="A21" s="27"/>
      <c r="B21" s="28"/>
      <c r="C21" s="29"/>
      <c r="D21" s="15"/>
      <c r="E21" s="15"/>
      <c r="F21" s="15"/>
      <c r="G21" s="15"/>
      <c r="H21" s="74"/>
      <c r="I21" s="69"/>
      <c r="J21" s="16"/>
      <c r="K21" s="77"/>
      <c r="L21" s="15"/>
      <c r="M21" s="80"/>
      <c r="N21" s="14"/>
      <c r="O21" s="16"/>
      <c r="P21" s="20"/>
      <c r="Q21" s="83"/>
      <c r="R21" s="15"/>
      <c r="S21" s="56">
        <f>SUM(S12:S20)</f>
        <v>65.019999999999925</v>
      </c>
      <c r="T21" s="56">
        <f>SUM(T12:T20)</f>
        <v>3422.5999999999985</v>
      </c>
      <c r="U21" s="16"/>
      <c r="W21" s="118">
        <f>SUM(W12:W20)</f>
        <v>1540</v>
      </c>
      <c r="X21" s="110">
        <f t="shared" ref="X21:AA21" si="22">SUM(X12:X20)</f>
        <v>1571.38</v>
      </c>
      <c r="Y21" s="114">
        <f t="shared" si="22"/>
        <v>-31.380000000000081</v>
      </c>
      <c r="Z21" s="109">
        <f t="shared" si="22"/>
        <v>161.4</v>
      </c>
      <c r="AA21" s="109">
        <f t="shared" si="22"/>
        <v>65.019999999999925</v>
      </c>
      <c r="AB21" s="94"/>
    </row>
    <row r="22" spans="1:28" ht="20.25" customHeight="1" x14ac:dyDescent="0.35">
      <c r="A22" s="292" t="s">
        <v>39</v>
      </c>
      <c r="B22" s="295">
        <v>1320</v>
      </c>
      <c r="C22" s="34" t="s">
        <v>106</v>
      </c>
      <c r="D22" s="4">
        <v>2</v>
      </c>
      <c r="E22" s="4" t="s">
        <v>58</v>
      </c>
      <c r="F22" s="46">
        <v>6</v>
      </c>
      <c r="G22" s="5">
        <v>0.06</v>
      </c>
      <c r="H22" s="71">
        <f>+F22*B22</f>
        <v>7920</v>
      </c>
      <c r="I22" s="67">
        <v>7920</v>
      </c>
      <c r="J22" s="22">
        <f>I22-H22</f>
        <v>0</v>
      </c>
      <c r="K22" s="75">
        <f>1320*6</f>
        <v>7920</v>
      </c>
      <c r="L22" s="3">
        <f>+I22-K22</f>
        <v>0</v>
      </c>
      <c r="M22" s="78">
        <v>0</v>
      </c>
      <c r="N22" s="21">
        <f>+K22-M22</f>
        <v>7920</v>
      </c>
      <c r="O22" s="41">
        <f>+N22/B22</f>
        <v>6</v>
      </c>
      <c r="P22" s="18">
        <f>+L22+M22</f>
        <v>0</v>
      </c>
      <c r="Q22" s="81">
        <v>0</v>
      </c>
      <c r="R22" s="3">
        <f>+P22-Q22</f>
        <v>0</v>
      </c>
      <c r="S22" s="3">
        <f>+R22*G22</f>
        <v>0</v>
      </c>
      <c r="T22" s="3">
        <f>+R22*D22</f>
        <v>0</v>
      </c>
      <c r="U22" s="6">
        <f>+R22/I22</f>
        <v>0</v>
      </c>
      <c r="W22" s="111">
        <f t="shared" si="7"/>
        <v>475.2</v>
      </c>
      <c r="X22" s="112">
        <f t="shared" si="8"/>
        <v>475.2</v>
      </c>
      <c r="Y22" s="112">
        <f t="shared" si="9"/>
        <v>0</v>
      </c>
      <c r="Z22" s="112">
        <f t="shared" si="10"/>
        <v>0</v>
      </c>
      <c r="AA22" s="113">
        <f t="shared" si="11"/>
        <v>0</v>
      </c>
    </row>
    <row r="23" spans="1:28" ht="20.25" customHeight="1" x14ac:dyDescent="0.35">
      <c r="A23" s="293"/>
      <c r="B23" s="296"/>
      <c r="C23" s="35" t="s">
        <v>56</v>
      </c>
      <c r="D23" s="10">
        <v>60</v>
      </c>
      <c r="E23" s="10" t="s">
        <v>61</v>
      </c>
      <c r="F23" s="49">
        <v>0.1</v>
      </c>
      <c r="G23" s="11">
        <v>0.01</v>
      </c>
      <c r="H23" s="70">
        <f>+F23*B22</f>
        <v>132</v>
      </c>
      <c r="I23" s="68">
        <v>132</v>
      </c>
      <c r="J23" s="13">
        <f>I23-H23</f>
        <v>0</v>
      </c>
      <c r="K23" s="76">
        <v>132</v>
      </c>
      <c r="L23" s="9">
        <f t="shared" ref="L23:L25" si="23">+I23-K23</f>
        <v>0</v>
      </c>
      <c r="M23" s="79">
        <v>12</v>
      </c>
      <c r="N23" s="23">
        <f t="shared" ref="N23:N25" si="24">+K23-M23</f>
        <v>120</v>
      </c>
      <c r="O23" s="42">
        <f>+N23/B22</f>
        <v>9.0909090909090912E-2</v>
      </c>
      <c r="P23" s="19">
        <f>+L23+M23</f>
        <v>12</v>
      </c>
      <c r="Q23" s="82">
        <v>0</v>
      </c>
      <c r="R23" s="9">
        <f t="shared" ref="R23:R25" si="25">+P23-Q23</f>
        <v>12</v>
      </c>
      <c r="S23" s="9">
        <f>+R23*G23</f>
        <v>0.12</v>
      </c>
      <c r="T23" s="9">
        <f>+R23*D23</f>
        <v>720</v>
      </c>
      <c r="U23" s="12">
        <f t="shared" ref="U23:U25" si="26">+R23/I23</f>
        <v>9.0909090909090912E-2</v>
      </c>
      <c r="W23" s="102">
        <f t="shared" si="7"/>
        <v>1.32</v>
      </c>
      <c r="X23" s="103">
        <f t="shared" si="8"/>
        <v>1.32</v>
      </c>
      <c r="Y23" s="103">
        <f t="shared" si="9"/>
        <v>0</v>
      </c>
      <c r="Z23" s="103">
        <f t="shared" si="10"/>
        <v>0.12</v>
      </c>
      <c r="AA23" s="104">
        <f t="shared" si="11"/>
        <v>0.12</v>
      </c>
    </row>
    <row r="24" spans="1:28" ht="20.25" customHeight="1" x14ac:dyDescent="0.35">
      <c r="A24" s="293"/>
      <c r="B24" s="296"/>
      <c r="C24" s="35" t="s">
        <v>95</v>
      </c>
      <c r="D24" s="10">
        <v>6</v>
      </c>
      <c r="E24" s="10" t="s">
        <v>16</v>
      </c>
      <c r="F24" s="126">
        <v>1</v>
      </c>
      <c r="G24" s="11">
        <v>0.05</v>
      </c>
      <c r="H24" s="72">
        <f>+F24*B22</f>
        <v>1320</v>
      </c>
      <c r="I24" s="68">
        <v>1070</v>
      </c>
      <c r="J24" s="13">
        <f>I24-H24</f>
        <v>-250</v>
      </c>
      <c r="K24" s="76">
        <v>1070</v>
      </c>
      <c r="L24" s="9">
        <f t="shared" si="23"/>
        <v>0</v>
      </c>
      <c r="M24" s="79">
        <v>0</v>
      </c>
      <c r="N24" s="33">
        <f t="shared" si="24"/>
        <v>1070</v>
      </c>
      <c r="O24" s="42">
        <f>+N24/B22</f>
        <v>0.81060606060606055</v>
      </c>
      <c r="P24" s="19">
        <f>+L24+M24</f>
        <v>0</v>
      </c>
      <c r="Q24" s="82">
        <v>0</v>
      </c>
      <c r="R24" s="9">
        <f t="shared" si="25"/>
        <v>0</v>
      </c>
      <c r="S24" s="9">
        <f>+R24*G24</f>
        <v>0</v>
      </c>
      <c r="T24" s="9">
        <f>+R24*D24</f>
        <v>0</v>
      </c>
      <c r="U24" s="12">
        <f t="shared" si="26"/>
        <v>0</v>
      </c>
      <c r="W24" s="102">
        <f t="shared" si="7"/>
        <v>53.5</v>
      </c>
      <c r="X24" s="103">
        <f t="shared" si="8"/>
        <v>53.5</v>
      </c>
      <c r="Y24" s="103">
        <f t="shared" si="9"/>
        <v>0</v>
      </c>
      <c r="Z24" s="103">
        <f t="shared" si="10"/>
        <v>0</v>
      </c>
      <c r="AA24" s="104">
        <f t="shared" si="11"/>
        <v>0</v>
      </c>
    </row>
    <row r="25" spans="1:28" ht="20.25" customHeight="1" x14ac:dyDescent="0.35">
      <c r="A25" s="293"/>
      <c r="B25" s="296"/>
      <c r="C25" s="35" t="s">
        <v>63</v>
      </c>
      <c r="D25" s="10">
        <v>60</v>
      </c>
      <c r="E25" s="10" t="s">
        <v>18</v>
      </c>
      <c r="F25" s="49">
        <v>0.1</v>
      </c>
      <c r="G25" s="11">
        <v>1</v>
      </c>
      <c r="H25" s="72">
        <f>+F25*B22</f>
        <v>132</v>
      </c>
      <c r="I25" s="68">
        <v>132</v>
      </c>
      <c r="J25" s="13">
        <f>I25-H25</f>
        <v>0</v>
      </c>
      <c r="K25" s="76">
        <v>132</v>
      </c>
      <c r="L25" s="9">
        <f t="shared" si="23"/>
        <v>0</v>
      </c>
      <c r="M25" s="79">
        <v>0</v>
      </c>
      <c r="N25" s="23">
        <f t="shared" si="24"/>
        <v>132</v>
      </c>
      <c r="O25" s="42">
        <f>+N25/B22</f>
        <v>0.1</v>
      </c>
      <c r="P25" s="19">
        <f t="shared" ref="P25" si="27">+L25+M25</f>
        <v>0</v>
      </c>
      <c r="Q25" s="82">
        <v>0</v>
      </c>
      <c r="R25" s="9">
        <f t="shared" si="25"/>
        <v>0</v>
      </c>
      <c r="S25" s="9">
        <f>+R25*G25</f>
        <v>0</v>
      </c>
      <c r="T25" s="9">
        <f>+R25*D25</f>
        <v>0</v>
      </c>
      <c r="U25" s="12">
        <f t="shared" si="26"/>
        <v>0</v>
      </c>
      <c r="W25" s="105">
        <f t="shared" si="7"/>
        <v>132</v>
      </c>
      <c r="X25" s="106">
        <f t="shared" si="8"/>
        <v>132</v>
      </c>
      <c r="Y25" s="106">
        <f t="shared" si="9"/>
        <v>0</v>
      </c>
      <c r="Z25" s="106">
        <f t="shared" si="10"/>
        <v>0</v>
      </c>
      <c r="AA25" s="107">
        <f t="shared" si="11"/>
        <v>0</v>
      </c>
    </row>
    <row r="26" spans="1:28" ht="21.75" customHeight="1" thickBot="1" x14ac:dyDescent="0.4">
      <c r="A26" s="27"/>
      <c r="B26" s="55"/>
      <c r="C26" s="29"/>
      <c r="D26" s="15"/>
      <c r="E26" s="15"/>
      <c r="F26" s="15"/>
      <c r="G26" s="15"/>
      <c r="H26" s="74"/>
      <c r="I26" s="69"/>
      <c r="J26" s="16"/>
      <c r="K26" s="77"/>
      <c r="L26" s="15"/>
      <c r="M26" s="80"/>
      <c r="N26" s="14"/>
      <c r="O26" s="16"/>
      <c r="P26" s="20"/>
      <c r="Q26" s="83"/>
      <c r="R26" s="15"/>
      <c r="S26" s="56">
        <f>SUM(S22:S25)</f>
        <v>0.12</v>
      </c>
      <c r="T26" s="56">
        <f>SUM(T22:T25)</f>
        <v>720</v>
      </c>
      <c r="U26" s="16"/>
      <c r="W26" s="123">
        <f>SUM(W22:W25)</f>
        <v>662.02</v>
      </c>
      <c r="X26" s="124">
        <f t="shared" ref="X26:AA26" si="28">SUM(X22:X25)</f>
        <v>662.02</v>
      </c>
      <c r="Y26" s="124">
        <f t="shared" si="28"/>
        <v>0</v>
      </c>
      <c r="Z26" s="124">
        <f t="shared" si="28"/>
        <v>0.12</v>
      </c>
      <c r="AA26" s="125">
        <f t="shared" si="28"/>
        <v>0.12</v>
      </c>
    </row>
    <row r="27" spans="1:28" ht="20.25" customHeight="1" x14ac:dyDescent="0.35">
      <c r="A27" s="292" t="s">
        <v>40</v>
      </c>
      <c r="B27" s="295">
        <v>1088</v>
      </c>
      <c r="C27" s="34" t="s">
        <v>31</v>
      </c>
      <c r="D27" s="4">
        <v>20</v>
      </c>
      <c r="E27" s="30" t="s">
        <v>17</v>
      </c>
      <c r="F27" s="52">
        <v>0.4</v>
      </c>
      <c r="G27" s="5">
        <v>1</v>
      </c>
      <c r="H27" s="71">
        <f>+F27*B27</f>
        <v>435.20000000000005</v>
      </c>
      <c r="I27" s="67">
        <v>435</v>
      </c>
      <c r="J27" s="22">
        <f t="shared" ref="J27:J35" si="29">I27-H27</f>
        <v>-0.20000000000004547</v>
      </c>
      <c r="K27" s="75">
        <f>1088*0.4</f>
        <v>435.20000000000005</v>
      </c>
      <c r="L27" s="3">
        <f>+I27-K27</f>
        <v>-0.20000000000004547</v>
      </c>
      <c r="M27" s="22">
        <v>10</v>
      </c>
      <c r="N27" s="21">
        <f>+K27-M27</f>
        <v>425.20000000000005</v>
      </c>
      <c r="O27" s="41">
        <f>+N27/B27</f>
        <v>0.39080882352941182</v>
      </c>
      <c r="P27" s="18">
        <f>+L27+M27</f>
        <v>9.7999999999999545</v>
      </c>
      <c r="Q27" s="81">
        <v>0</v>
      </c>
      <c r="R27" s="3">
        <f>+P27-Q27</f>
        <v>9.7999999999999545</v>
      </c>
      <c r="S27" s="3">
        <f t="shared" ref="S27:S35" si="30">+R27*G27</f>
        <v>9.7999999999999545</v>
      </c>
      <c r="T27" s="3">
        <f t="shared" ref="T27:T35" si="31">+R27*D27</f>
        <v>195.99999999999909</v>
      </c>
      <c r="U27" s="6">
        <f>+R27/I27</f>
        <v>2.2528735632183803E-2</v>
      </c>
      <c r="W27" s="111">
        <f t="shared" si="7"/>
        <v>435</v>
      </c>
      <c r="X27" s="112">
        <f t="shared" si="8"/>
        <v>435.20000000000005</v>
      </c>
      <c r="Y27" s="112">
        <f t="shared" si="9"/>
        <v>-0.20000000000004547</v>
      </c>
      <c r="Z27" s="112">
        <f t="shared" si="10"/>
        <v>10</v>
      </c>
      <c r="AA27" s="113">
        <f t="shared" si="11"/>
        <v>9.7999999999999545</v>
      </c>
    </row>
    <row r="28" spans="1:28" ht="20.25" customHeight="1" x14ac:dyDescent="0.35">
      <c r="A28" s="293"/>
      <c r="B28" s="296"/>
      <c r="C28" s="35" t="s">
        <v>109</v>
      </c>
      <c r="D28" s="10">
        <v>65</v>
      </c>
      <c r="E28" s="31" t="s">
        <v>17</v>
      </c>
      <c r="F28" s="49">
        <v>0.1</v>
      </c>
      <c r="G28" s="11">
        <v>1</v>
      </c>
      <c r="H28" s="70">
        <f>+F28*B27</f>
        <v>108.80000000000001</v>
      </c>
      <c r="I28" s="68">
        <v>115</v>
      </c>
      <c r="J28" s="13">
        <f t="shared" si="29"/>
        <v>6.1999999999999886</v>
      </c>
      <c r="K28" s="76">
        <v>108.8</v>
      </c>
      <c r="L28" s="9">
        <f t="shared" ref="L28:L35" si="32">+I28-K28</f>
        <v>6.2000000000000028</v>
      </c>
      <c r="M28" s="13">
        <v>4</v>
      </c>
      <c r="N28" s="23">
        <f t="shared" ref="N28:N35" si="33">+K28-M28</f>
        <v>104.8</v>
      </c>
      <c r="O28" s="42">
        <f>+N28/B27</f>
        <v>9.6323529411764697E-2</v>
      </c>
      <c r="P28" s="19">
        <f>+L28+M28</f>
        <v>10.200000000000003</v>
      </c>
      <c r="Q28" s="82">
        <v>0</v>
      </c>
      <c r="R28" s="9">
        <f t="shared" ref="R28:R35" si="34">+P28-Q28</f>
        <v>10.200000000000003</v>
      </c>
      <c r="S28" s="9">
        <f t="shared" si="30"/>
        <v>10.200000000000003</v>
      </c>
      <c r="T28" s="9">
        <f t="shared" si="31"/>
        <v>663.00000000000023</v>
      </c>
      <c r="U28" s="12">
        <f t="shared" ref="U28:U35" si="35">+R28/I28</f>
        <v>8.8695652173913064E-2</v>
      </c>
      <c r="W28" s="102">
        <f t="shared" si="7"/>
        <v>115</v>
      </c>
      <c r="X28" s="103">
        <f t="shared" si="8"/>
        <v>108.8</v>
      </c>
      <c r="Y28" s="103">
        <f t="shared" si="9"/>
        <v>6.2000000000000028</v>
      </c>
      <c r="Z28" s="103">
        <f t="shared" si="10"/>
        <v>4</v>
      </c>
      <c r="AA28" s="104">
        <f t="shared" si="11"/>
        <v>10.200000000000003</v>
      </c>
    </row>
    <row r="29" spans="1:28" ht="20.25" customHeight="1" x14ac:dyDescent="0.35">
      <c r="A29" s="293"/>
      <c r="B29" s="296"/>
      <c r="C29" s="35" t="s">
        <v>107</v>
      </c>
      <c r="D29" s="10">
        <v>130</v>
      </c>
      <c r="E29" s="31" t="s">
        <v>17</v>
      </c>
      <c r="F29" s="49">
        <v>0.08</v>
      </c>
      <c r="G29" s="11">
        <v>1</v>
      </c>
      <c r="H29" s="72">
        <f>+F29*B27</f>
        <v>87.04</v>
      </c>
      <c r="I29" s="68">
        <v>90</v>
      </c>
      <c r="J29" s="13">
        <f t="shared" si="29"/>
        <v>2.9599999999999937</v>
      </c>
      <c r="K29" s="76">
        <v>87</v>
      </c>
      <c r="L29" s="9">
        <f t="shared" si="32"/>
        <v>3</v>
      </c>
      <c r="M29" s="13">
        <v>4</v>
      </c>
      <c r="N29" s="33">
        <f t="shared" si="33"/>
        <v>83</v>
      </c>
      <c r="O29" s="42">
        <f>+N29/B27</f>
        <v>7.6286764705882359E-2</v>
      </c>
      <c r="P29" s="19">
        <f>+L29+M29</f>
        <v>7</v>
      </c>
      <c r="Q29" s="82">
        <v>0</v>
      </c>
      <c r="R29" s="9">
        <f t="shared" si="34"/>
        <v>7</v>
      </c>
      <c r="S29" s="9">
        <f t="shared" si="30"/>
        <v>7</v>
      </c>
      <c r="T29" s="9">
        <f t="shared" si="31"/>
        <v>910</v>
      </c>
      <c r="U29" s="12">
        <f t="shared" si="35"/>
        <v>7.7777777777777779E-2</v>
      </c>
      <c r="W29" s="102">
        <f t="shared" si="7"/>
        <v>90</v>
      </c>
      <c r="X29" s="103">
        <f t="shared" si="8"/>
        <v>87</v>
      </c>
      <c r="Y29" s="103">
        <f t="shared" si="9"/>
        <v>3</v>
      </c>
      <c r="Z29" s="103">
        <f t="shared" si="10"/>
        <v>4</v>
      </c>
      <c r="AA29" s="104">
        <f t="shared" si="11"/>
        <v>7</v>
      </c>
    </row>
    <row r="30" spans="1:28" ht="20.25" customHeight="1" x14ac:dyDescent="0.35">
      <c r="A30" s="293"/>
      <c r="B30" s="296"/>
      <c r="C30" s="35" t="s">
        <v>108</v>
      </c>
      <c r="D30" s="10">
        <v>55</v>
      </c>
      <c r="E30" s="31" t="s">
        <v>17</v>
      </c>
      <c r="F30" s="49">
        <v>0.1</v>
      </c>
      <c r="G30" s="11">
        <v>1</v>
      </c>
      <c r="H30" s="72">
        <f>+F30*B27</f>
        <v>108.80000000000001</v>
      </c>
      <c r="I30" s="68">
        <v>109</v>
      </c>
      <c r="J30" s="13">
        <f t="shared" si="29"/>
        <v>0.19999999999998863</v>
      </c>
      <c r="K30" s="76">
        <v>109</v>
      </c>
      <c r="L30" s="9">
        <f t="shared" si="32"/>
        <v>0</v>
      </c>
      <c r="M30" s="13">
        <v>4</v>
      </c>
      <c r="N30" s="23">
        <f t="shared" si="33"/>
        <v>105</v>
      </c>
      <c r="O30" s="42">
        <f>+N30/B27</f>
        <v>9.6507352941176475E-2</v>
      </c>
      <c r="P30" s="19">
        <f t="shared" ref="P30:P35" si="36">+L30+M30</f>
        <v>4</v>
      </c>
      <c r="Q30" s="82">
        <v>0</v>
      </c>
      <c r="R30" s="9">
        <f t="shared" si="34"/>
        <v>4</v>
      </c>
      <c r="S30" s="9">
        <f t="shared" si="30"/>
        <v>4</v>
      </c>
      <c r="T30" s="9">
        <f t="shared" si="31"/>
        <v>220</v>
      </c>
      <c r="U30" s="12">
        <f t="shared" si="35"/>
        <v>3.669724770642202E-2</v>
      </c>
      <c r="W30" s="102">
        <f t="shared" si="7"/>
        <v>109</v>
      </c>
      <c r="X30" s="103">
        <f t="shared" si="8"/>
        <v>109</v>
      </c>
      <c r="Y30" s="103">
        <f t="shared" si="9"/>
        <v>0</v>
      </c>
      <c r="Z30" s="103">
        <f t="shared" si="10"/>
        <v>4</v>
      </c>
      <c r="AA30" s="104">
        <f t="shared" si="11"/>
        <v>4</v>
      </c>
    </row>
    <row r="31" spans="1:28" ht="20.25" customHeight="1" x14ac:dyDescent="0.35">
      <c r="A31" s="293"/>
      <c r="B31" s="296"/>
      <c r="C31" s="35" t="s">
        <v>32</v>
      </c>
      <c r="D31" s="10">
        <v>48</v>
      </c>
      <c r="E31" s="31" t="s">
        <v>18</v>
      </c>
      <c r="F31" s="49">
        <v>0.08</v>
      </c>
      <c r="G31" s="11">
        <v>1</v>
      </c>
      <c r="H31" s="72">
        <f>+F31*B27</f>
        <v>87.04</v>
      </c>
      <c r="I31" s="68">
        <v>95</v>
      </c>
      <c r="J31" s="13">
        <f t="shared" si="29"/>
        <v>7.9599999999999937</v>
      </c>
      <c r="K31" s="76">
        <v>87</v>
      </c>
      <c r="L31" s="9">
        <f t="shared" si="32"/>
        <v>8</v>
      </c>
      <c r="M31" s="13">
        <v>1</v>
      </c>
      <c r="N31" s="33">
        <f t="shared" si="33"/>
        <v>86</v>
      </c>
      <c r="O31" s="42">
        <f>+N31/B27</f>
        <v>7.904411764705882E-2</v>
      </c>
      <c r="P31" s="19">
        <f t="shared" si="36"/>
        <v>9</v>
      </c>
      <c r="Q31" s="82">
        <v>0</v>
      </c>
      <c r="R31" s="9">
        <f t="shared" si="34"/>
        <v>9</v>
      </c>
      <c r="S31" s="9">
        <f t="shared" si="30"/>
        <v>9</v>
      </c>
      <c r="T31" s="9">
        <f t="shared" si="31"/>
        <v>432</v>
      </c>
      <c r="U31" s="12">
        <f t="shared" si="35"/>
        <v>9.4736842105263161E-2</v>
      </c>
      <c r="W31" s="102">
        <f t="shared" si="7"/>
        <v>95</v>
      </c>
      <c r="X31" s="103">
        <f t="shared" si="8"/>
        <v>87</v>
      </c>
      <c r="Y31" s="103">
        <f t="shared" si="9"/>
        <v>8</v>
      </c>
      <c r="Z31" s="103">
        <f t="shared" si="10"/>
        <v>1</v>
      </c>
      <c r="AA31" s="104">
        <f t="shared" si="11"/>
        <v>9</v>
      </c>
    </row>
    <row r="32" spans="1:28" ht="20.25" customHeight="1" x14ac:dyDescent="0.35">
      <c r="A32" s="293"/>
      <c r="B32" s="296"/>
      <c r="C32" s="35" t="s">
        <v>54</v>
      </c>
      <c r="D32" s="10">
        <v>35</v>
      </c>
      <c r="E32" s="31" t="s">
        <v>18</v>
      </c>
      <c r="F32" s="49">
        <v>0.08</v>
      </c>
      <c r="G32" s="11">
        <v>1</v>
      </c>
      <c r="H32" s="73">
        <f>+F32*B27</f>
        <v>87.04</v>
      </c>
      <c r="I32" s="68">
        <v>95</v>
      </c>
      <c r="J32" s="13">
        <f t="shared" si="29"/>
        <v>7.9599999999999937</v>
      </c>
      <c r="K32" s="76">
        <v>87</v>
      </c>
      <c r="L32" s="9">
        <f t="shared" si="32"/>
        <v>8</v>
      </c>
      <c r="M32" s="13">
        <v>2</v>
      </c>
      <c r="N32" s="23">
        <f t="shared" si="33"/>
        <v>85</v>
      </c>
      <c r="O32" s="42">
        <f>+N32/B27</f>
        <v>7.8125E-2</v>
      </c>
      <c r="P32" s="19">
        <f t="shared" si="36"/>
        <v>10</v>
      </c>
      <c r="Q32" s="82">
        <v>0</v>
      </c>
      <c r="R32" s="9">
        <f t="shared" si="34"/>
        <v>10</v>
      </c>
      <c r="S32" s="9">
        <f t="shared" si="30"/>
        <v>10</v>
      </c>
      <c r="T32" s="9">
        <f t="shared" si="31"/>
        <v>350</v>
      </c>
      <c r="U32" s="12">
        <f t="shared" si="35"/>
        <v>0.10526315789473684</v>
      </c>
      <c r="W32" s="102">
        <f t="shared" si="7"/>
        <v>95</v>
      </c>
      <c r="X32" s="103">
        <f t="shared" si="8"/>
        <v>87</v>
      </c>
      <c r="Y32" s="103">
        <f t="shared" si="9"/>
        <v>8</v>
      </c>
      <c r="Z32" s="103">
        <f t="shared" si="10"/>
        <v>2</v>
      </c>
      <c r="AA32" s="104">
        <f t="shared" si="11"/>
        <v>10</v>
      </c>
    </row>
    <row r="33" spans="1:28" ht="20.25" customHeight="1" x14ac:dyDescent="0.35">
      <c r="A33" s="293"/>
      <c r="B33" s="296"/>
      <c r="C33" s="35" t="s">
        <v>33</v>
      </c>
      <c r="D33" s="10">
        <v>50</v>
      </c>
      <c r="E33" s="31" t="s">
        <v>17</v>
      </c>
      <c r="F33" s="49">
        <v>0.03</v>
      </c>
      <c r="G33" s="11">
        <v>1</v>
      </c>
      <c r="H33" s="72">
        <f>+F33*B27</f>
        <v>32.64</v>
      </c>
      <c r="I33" s="68">
        <v>32</v>
      </c>
      <c r="J33" s="13">
        <f t="shared" si="29"/>
        <v>-0.64000000000000057</v>
      </c>
      <c r="K33" s="76">
        <v>32</v>
      </c>
      <c r="L33" s="9">
        <f t="shared" si="32"/>
        <v>0</v>
      </c>
      <c r="M33" s="13">
        <v>0.5</v>
      </c>
      <c r="N33" s="23">
        <f t="shared" si="33"/>
        <v>31.5</v>
      </c>
      <c r="O33" s="42">
        <f>+N33/B27</f>
        <v>2.8952205882352942E-2</v>
      </c>
      <c r="P33" s="19">
        <f t="shared" si="36"/>
        <v>0.5</v>
      </c>
      <c r="Q33" s="82">
        <v>0</v>
      </c>
      <c r="R33" s="9">
        <f t="shared" si="34"/>
        <v>0.5</v>
      </c>
      <c r="S33" s="9">
        <f t="shared" si="30"/>
        <v>0.5</v>
      </c>
      <c r="T33" s="9">
        <f t="shared" si="31"/>
        <v>25</v>
      </c>
      <c r="U33" s="12">
        <f t="shared" si="35"/>
        <v>1.5625E-2</v>
      </c>
      <c r="W33" s="102">
        <f t="shared" si="7"/>
        <v>32</v>
      </c>
      <c r="X33" s="103">
        <f t="shared" si="8"/>
        <v>32</v>
      </c>
      <c r="Y33" s="103">
        <f t="shared" si="9"/>
        <v>0</v>
      </c>
      <c r="Z33" s="103">
        <f t="shared" si="10"/>
        <v>0.5</v>
      </c>
      <c r="AA33" s="104">
        <f t="shared" si="11"/>
        <v>0.5</v>
      </c>
    </row>
    <row r="34" spans="1:28" ht="20.25" customHeight="1" x14ac:dyDescent="0.35">
      <c r="A34" s="293"/>
      <c r="B34" s="296"/>
      <c r="C34" s="35" t="s">
        <v>34</v>
      </c>
      <c r="D34" s="31">
        <v>70</v>
      </c>
      <c r="E34" s="31" t="s">
        <v>17</v>
      </c>
      <c r="F34" s="11">
        <v>0.1</v>
      </c>
      <c r="G34" s="11">
        <v>1</v>
      </c>
      <c r="H34" s="72">
        <f>+F34*B27</f>
        <v>108.80000000000001</v>
      </c>
      <c r="I34" s="68">
        <v>109</v>
      </c>
      <c r="J34" s="13">
        <f t="shared" si="29"/>
        <v>0.19999999999998863</v>
      </c>
      <c r="K34" s="76">
        <v>109</v>
      </c>
      <c r="L34" s="9">
        <f t="shared" si="32"/>
        <v>0</v>
      </c>
      <c r="M34" s="13">
        <v>0</v>
      </c>
      <c r="N34" s="23">
        <f t="shared" si="33"/>
        <v>109</v>
      </c>
      <c r="O34" s="42">
        <f>+N34/B27</f>
        <v>0.10018382352941177</v>
      </c>
      <c r="P34" s="19">
        <f t="shared" si="36"/>
        <v>0</v>
      </c>
      <c r="Q34" s="82">
        <v>0</v>
      </c>
      <c r="R34" s="9">
        <f t="shared" si="34"/>
        <v>0</v>
      </c>
      <c r="S34" s="9">
        <f t="shared" si="30"/>
        <v>0</v>
      </c>
      <c r="T34" s="9">
        <f t="shared" si="31"/>
        <v>0</v>
      </c>
      <c r="U34" s="12">
        <f t="shared" si="35"/>
        <v>0</v>
      </c>
      <c r="W34" s="102">
        <f t="shared" si="7"/>
        <v>109</v>
      </c>
      <c r="X34" s="103">
        <f t="shared" si="8"/>
        <v>109</v>
      </c>
      <c r="Y34" s="103">
        <f t="shared" si="9"/>
        <v>0</v>
      </c>
      <c r="Z34" s="103">
        <f t="shared" si="10"/>
        <v>0</v>
      </c>
      <c r="AA34" s="104">
        <f t="shared" si="11"/>
        <v>0</v>
      </c>
    </row>
    <row r="35" spans="1:28" ht="20.25" customHeight="1" x14ac:dyDescent="0.35">
      <c r="A35" s="294"/>
      <c r="B35" s="297"/>
      <c r="C35" s="40" t="s">
        <v>35</v>
      </c>
      <c r="D35" s="44">
        <v>2</v>
      </c>
      <c r="E35" s="44" t="s">
        <v>16</v>
      </c>
      <c r="F35" s="53">
        <v>2</v>
      </c>
      <c r="G35" s="45">
        <v>0.04</v>
      </c>
      <c r="H35" s="72">
        <f>+F35*B27</f>
        <v>2176</v>
      </c>
      <c r="I35" s="68">
        <v>2180</v>
      </c>
      <c r="J35" s="13">
        <f t="shared" si="29"/>
        <v>4</v>
      </c>
      <c r="K35" s="76">
        <f>1088*2</f>
        <v>2176</v>
      </c>
      <c r="L35" s="9">
        <f t="shared" si="32"/>
        <v>4</v>
      </c>
      <c r="M35" s="13">
        <v>10</v>
      </c>
      <c r="N35" s="33">
        <f t="shared" si="33"/>
        <v>2166</v>
      </c>
      <c r="O35" s="42">
        <f>+N35/B27</f>
        <v>1.9908088235294117</v>
      </c>
      <c r="P35" s="19">
        <f t="shared" si="36"/>
        <v>14</v>
      </c>
      <c r="Q35" s="82">
        <v>0</v>
      </c>
      <c r="R35" s="9">
        <f t="shared" si="34"/>
        <v>14</v>
      </c>
      <c r="S35" s="9">
        <f t="shared" si="30"/>
        <v>0.56000000000000005</v>
      </c>
      <c r="T35" s="9">
        <f t="shared" si="31"/>
        <v>28</v>
      </c>
      <c r="U35" s="12">
        <f t="shared" si="35"/>
        <v>6.4220183486238536E-3</v>
      </c>
      <c r="W35" s="105">
        <f t="shared" si="7"/>
        <v>87.2</v>
      </c>
      <c r="X35" s="106">
        <f t="shared" si="8"/>
        <v>87.04</v>
      </c>
      <c r="Y35" s="106">
        <f t="shared" si="9"/>
        <v>0.16</v>
      </c>
      <c r="Z35" s="106">
        <f t="shared" si="10"/>
        <v>0.4</v>
      </c>
      <c r="AA35" s="107">
        <f t="shared" si="11"/>
        <v>0.56000000000000005</v>
      </c>
    </row>
    <row r="36" spans="1:28" ht="23.25" customHeight="1" thickBot="1" x14ac:dyDescent="0.4">
      <c r="A36" s="27"/>
      <c r="B36" s="57"/>
      <c r="C36" s="29"/>
      <c r="D36" s="15"/>
      <c r="E36" s="15"/>
      <c r="F36" s="15"/>
      <c r="G36" s="15"/>
      <c r="H36" s="14"/>
      <c r="I36" s="15"/>
      <c r="J36" s="16"/>
      <c r="K36" s="14"/>
      <c r="L36" s="15"/>
      <c r="M36" s="16"/>
      <c r="N36" s="14"/>
      <c r="O36" s="16"/>
      <c r="P36" s="20"/>
      <c r="Q36" s="15"/>
      <c r="R36" s="15"/>
      <c r="S36" s="56">
        <f>SUM(S27:S35)</f>
        <v>51.05999999999996</v>
      </c>
      <c r="T36" s="56">
        <f>SUM(T27:T35)</f>
        <v>2823.9999999999991</v>
      </c>
      <c r="U36" s="16"/>
      <c r="W36" s="122">
        <f>SUM(W27:W35)</f>
        <v>1167.2</v>
      </c>
      <c r="X36" s="109">
        <f t="shared" ref="X36:AA36" si="37">SUM(X27:X35)</f>
        <v>1142.04</v>
      </c>
      <c r="Y36" s="109">
        <f t="shared" si="37"/>
        <v>25.159999999999958</v>
      </c>
      <c r="Z36" s="110">
        <f t="shared" si="37"/>
        <v>25.9</v>
      </c>
      <c r="AA36" s="114">
        <f t="shared" si="37"/>
        <v>51.05999999999996</v>
      </c>
      <c r="AB36" s="94"/>
    </row>
    <row r="37" spans="1:28" ht="31.5" customHeight="1" thickBot="1" x14ac:dyDescent="0.4">
      <c r="A37" s="58" t="s">
        <v>42</v>
      </c>
      <c r="B37" s="32">
        <f>+B4+B12+B22+B27</f>
        <v>5479</v>
      </c>
      <c r="C37" s="29"/>
      <c r="D37" s="15"/>
      <c r="E37" s="15"/>
      <c r="F37" s="15"/>
      <c r="G37" s="15"/>
      <c r="H37" s="14"/>
      <c r="I37" s="15"/>
      <c r="J37" s="16"/>
      <c r="K37" s="14"/>
      <c r="L37" s="15"/>
      <c r="M37" s="16"/>
      <c r="N37" s="14"/>
      <c r="O37" s="16"/>
      <c r="P37" s="20"/>
      <c r="Q37" s="15"/>
      <c r="R37" s="17"/>
      <c r="S37" s="85">
        <f>+S36+S26+S21+S11</f>
        <v>179.94999999999987</v>
      </c>
      <c r="T37" s="85">
        <f>+T36+T26+T21+T11</f>
        <v>10130.599999999999</v>
      </c>
      <c r="U37" s="62"/>
      <c r="W37" s="108">
        <f>+W11+W21+W26+W36</f>
        <v>4452.97</v>
      </c>
      <c r="X37" s="119">
        <f t="shared" ref="X37:AA37" si="38">+X11+X21+X26+X36</f>
        <v>4446.4400000000005</v>
      </c>
      <c r="Y37" s="119">
        <f t="shared" si="38"/>
        <v>6.5299999999998768</v>
      </c>
      <c r="Z37" s="121">
        <f t="shared" si="38"/>
        <v>238.42000000000002</v>
      </c>
      <c r="AA37" s="120">
        <f t="shared" si="38"/>
        <v>179.94999999999987</v>
      </c>
      <c r="AB37" s="94"/>
    </row>
    <row r="38" spans="1:28" x14ac:dyDescent="0.35">
      <c r="B38" s="59"/>
      <c r="Y38" s="63"/>
    </row>
    <row r="39" spans="1:28" ht="15" thickBot="1" x14ac:dyDescent="0.4">
      <c r="W39" s="63"/>
      <c r="X39" s="63"/>
      <c r="Y39" s="63"/>
      <c r="Z39" s="63"/>
      <c r="AA39" s="63"/>
    </row>
    <row r="40" spans="1:28" ht="16" thickBot="1" x14ac:dyDescent="0.4">
      <c r="A40" s="322" t="s">
        <v>45</v>
      </c>
      <c r="B40" s="323"/>
      <c r="C40" s="323"/>
      <c r="D40" s="323"/>
      <c r="E40" s="323"/>
      <c r="F40" s="324"/>
    </row>
    <row r="41" spans="1:28" ht="30.75" customHeight="1" x14ac:dyDescent="0.35">
      <c r="A41" s="7" t="s">
        <v>6</v>
      </c>
      <c r="B41" s="8" t="s">
        <v>7</v>
      </c>
      <c r="C41" s="8" t="s">
        <v>53</v>
      </c>
      <c r="D41" s="60" t="s">
        <v>52</v>
      </c>
      <c r="E41" s="60" t="s">
        <v>57</v>
      </c>
      <c r="F41" s="90" t="s">
        <v>46</v>
      </c>
      <c r="O41" s="129" t="s">
        <v>60</v>
      </c>
      <c r="P41" s="130" t="s">
        <v>59</v>
      </c>
      <c r="X41" s="63"/>
    </row>
    <row r="42" spans="1:28" ht="25.5" customHeight="1" x14ac:dyDescent="0.35">
      <c r="A42" s="91" t="s">
        <v>47</v>
      </c>
      <c r="B42" s="92">
        <f>+B4</f>
        <v>1530</v>
      </c>
      <c r="C42" s="99">
        <f>+W11</f>
        <v>1083.75</v>
      </c>
      <c r="D42" s="99">
        <f>+AA11</f>
        <v>63.75</v>
      </c>
      <c r="E42" s="95">
        <f>+D42/B42</f>
        <v>4.1666666666666664E-2</v>
      </c>
      <c r="F42" s="12">
        <f>+D42/C42</f>
        <v>5.8823529411764705E-2</v>
      </c>
      <c r="O42" s="72">
        <f>+X11</f>
        <v>1071</v>
      </c>
      <c r="P42" s="65">
        <f>+Z11</f>
        <v>51</v>
      </c>
    </row>
    <row r="43" spans="1:28" ht="25.5" customHeight="1" x14ac:dyDescent="0.35">
      <c r="A43" s="91" t="s">
        <v>48</v>
      </c>
      <c r="B43" s="92">
        <f>+B12</f>
        <v>1541</v>
      </c>
      <c r="C43" s="92">
        <f>+W21</f>
        <v>1540</v>
      </c>
      <c r="D43" s="99">
        <f>+AA21</f>
        <v>65.019999999999925</v>
      </c>
      <c r="E43" s="95">
        <f>+D43/B43</f>
        <v>4.2193380921479513E-2</v>
      </c>
      <c r="F43" s="12">
        <f t="shared" ref="F43:F45" si="39">+D43/C43</f>
        <v>4.2220779220779173E-2</v>
      </c>
      <c r="O43" s="72">
        <f>+X21</f>
        <v>1571.38</v>
      </c>
      <c r="P43" s="65">
        <f>+Z21</f>
        <v>161.4</v>
      </c>
      <c r="Q43" s="133"/>
      <c r="R43" s="134"/>
    </row>
    <row r="44" spans="1:28" ht="25.5" customHeight="1" x14ac:dyDescent="0.35">
      <c r="A44" s="91" t="s">
        <v>49</v>
      </c>
      <c r="B44" s="92">
        <f>+B22</f>
        <v>1320</v>
      </c>
      <c r="C44" s="92">
        <f>+W26</f>
        <v>662.02</v>
      </c>
      <c r="D44" s="99">
        <f>+AA26</f>
        <v>0.12</v>
      </c>
      <c r="E44" s="95">
        <f>+D44/B44</f>
        <v>9.0909090909090904E-5</v>
      </c>
      <c r="F44" s="12">
        <f t="shared" si="39"/>
        <v>1.812634059393976E-4</v>
      </c>
      <c r="O44" s="72">
        <f>+X26</f>
        <v>662.02</v>
      </c>
      <c r="P44" s="65">
        <f>+Z26</f>
        <v>0.12</v>
      </c>
    </row>
    <row r="45" spans="1:28" ht="25.5" customHeight="1" x14ac:dyDescent="0.35">
      <c r="A45" s="91" t="s">
        <v>50</v>
      </c>
      <c r="B45" s="92">
        <f>+B27</f>
        <v>1088</v>
      </c>
      <c r="C45" s="99">
        <f>+W36</f>
        <v>1167.2</v>
      </c>
      <c r="D45" s="99">
        <f>+AA36</f>
        <v>51.05999999999996</v>
      </c>
      <c r="E45" s="95">
        <f>+D45/B45</f>
        <v>4.6930147058823493E-2</v>
      </c>
      <c r="F45" s="12">
        <f t="shared" si="39"/>
        <v>4.3745716244002704E-2</v>
      </c>
      <c r="O45" s="72">
        <f>+X36</f>
        <v>1142.04</v>
      </c>
      <c r="P45" s="65">
        <f>+Z36</f>
        <v>25.9</v>
      </c>
    </row>
    <row r="46" spans="1:28" ht="27" customHeight="1" thickBot="1" x14ac:dyDescent="0.4">
      <c r="A46" s="93" t="s">
        <v>51</v>
      </c>
      <c r="B46" s="96">
        <f>SUM(B42:B45)</f>
        <v>5479</v>
      </c>
      <c r="C46" s="96">
        <f>SUM(C42:C45)</f>
        <v>4452.97</v>
      </c>
      <c r="D46" s="100">
        <f>SUM(D42:D45)</f>
        <v>179.94999999999987</v>
      </c>
      <c r="E46" s="97">
        <f>+D46/B46</f>
        <v>3.2843584595729128E-2</v>
      </c>
      <c r="F46" s="101">
        <f>+D46/B46</f>
        <v>3.2843584595729128E-2</v>
      </c>
      <c r="G46" s="98"/>
      <c r="O46" s="131">
        <f>SUM(O42:O45)</f>
        <v>4446.4400000000005</v>
      </c>
      <c r="P46" s="132">
        <f>SUM(P42:P45)</f>
        <v>238.42000000000002</v>
      </c>
    </row>
    <row r="47" spans="1:28" x14ac:dyDescent="0.35">
      <c r="F47" s="59"/>
    </row>
    <row r="48" spans="1:28" x14ac:dyDescent="0.35">
      <c r="B48">
        <v>410</v>
      </c>
    </row>
    <row r="49" spans="2:2" x14ac:dyDescent="0.35">
      <c r="B49">
        <f>+B46+B48</f>
        <v>5889</v>
      </c>
    </row>
  </sheetData>
  <mergeCells count="16">
    <mergeCell ref="A1:F1"/>
    <mergeCell ref="A2:G2"/>
    <mergeCell ref="H2:J2"/>
    <mergeCell ref="K2:M2"/>
    <mergeCell ref="N2:O2"/>
    <mergeCell ref="A27:A35"/>
    <mergeCell ref="B27:B35"/>
    <mergeCell ref="A40:F40"/>
    <mergeCell ref="W2:AA2"/>
    <mergeCell ref="A4:A10"/>
    <mergeCell ref="B4:B10"/>
    <mergeCell ref="A12:A20"/>
    <mergeCell ref="B12:B20"/>
    <mergeCell ref="A22:A25"/>
    <mergeCell ref="B22:B25"/>
    <mergeCell ref="P2:U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B03D3-974B-459C-A744-37CAB6F5298C}">
  <dimension ref="A1:AB49"/>
  <sheetViews>
    <sheetView workbookViewId="0">
      <pane xSplit="7" ySplit="3" topLeftCell="I37" activePane="bottomRight" state="frozen"/>
      <selection pane="topRight" activeCell="H1" sqref="H1"/>
      <selection pane="bottomLeft" activeCell="A4" sqref="A4"/>
      <selection pane="bottomRight" activeCell="D43" sqref="D43"/>
    </sheetView>
  </sheetViews>
  <sheetFormatPr defaultRowHeight="14.5" x14ac:dyDescent="0.35"/>
  <cols>
    <col min="1" max="1" width="11" customWidth="1"/>
    <col min="2" max="2" width="7.81640625" customWidth="1"/>
    <col min="3" max="3" width="20" customWidth="1"/>
    <col min="4" max="4" width="9.1796875" customWidth="1"/>
    <col min="5" max="5" width="9.26953125" customWidth="1"/>
    <col min="6" max="6" width="10" customWidth="1"/>
    <col min="7" max="7" width="8.1796875" customWidth="1"/>
    <col min="8" max="8" width="12.54296875" customWidth="1"/>
    <col min="9" max="9" width="12.453125" customWidth="1"/>
    <col min="10" max="10" width="11" customWidth="1"/>
    <col min="11" max="11" width="9.453125" customWidth="1"/>
    <col min="12" max="12" width="11" customWidth="1"/>
    <col min="13" max="13" width="13.54296875" customWidth="1"/>
    <col min="14" max="14" width="14.81640625" customWidth="1"/>
    <col min="15" max="15" width="16" customWidth="1"/>
    <col min="16" max="16" width="11.26953125" customWidth="1"/>
    <col min="17" max="18" width="9.54296875" customWidth="1"/>
    <col min="19" max="20" width="10.81640625" customWidth="1"/>
    <col min="21" max="21" width="12.7265625" customWidth="1"/>
    <col min="22" max="22" width="8.7265625" customWidth="1"/>
    <col min="23" max="23" width="11.453125" customWidth="1"/>
    <col min="24" max="24" width="11" customWidth="1"/>
  </cols>
  <sheetData>
    <row r="1" spans="1:28" ht="22.5" customHeight="1" thickBot="1" x14ac:dyDescent="0.4">
      <c r="A1" s="308" t="s">
        <v>36</v>
      </c>
      <c r="B1" s="309"/>
      <c r="C1" s="309"/>
      <c r="D1" s="309"/>
      <c r="E1" s="309"/>
      <c r="F1" s="310"/>
    </row>
    <row r="2" spans="1:28" ht="22.5" customHeight="1" thickBot="1" x14ac:dyDescent="0.4">
      <c r="A2" s="311" t="s">
        <v>110</v>
      </c>
      <c r="B2" s="312"/>
      <c r="C2" s="312"/>
      <c r="D2" s="312"/>
      <c r="E2" s="312"/>
      <c r="F2" s="312"/>
      <c r="G2" s="313"/>
      <c r="H2" s="314" t="s">
        <v>22</v>
      </c>
      <c r="I2" s="315"/>
      <c r="J2" s="316"/>
      <c r="K2" s="317" t="s">
        <v>23</v>
      </c>
      <c r="L2" s="318"/>
      <c r="M2" s="319"/>
      <c r="N2" s="320" t="s">
        <v>24</v>
      </c>
      <c r="O2" s="321"/>
      <c r="P2" s="305" t="s">
        <v>25</v>
      </c>
      <c r="Q2" s="306"/>
      <c r="R2" s="306"/>
      <c r="S2" s="306"/>
      <c r="T2" s="306"/>
      <c r="U2" s="307"/>
      <c r="W2" s="325" t="s">
        <v>43</v>
      </c>
      <c r="X2" s="326"/>
      <c r="Y2" s="326"/>
      <c r="Z2" s="326"/>
      <c r="AA2" s="327"/>
    </row>
    <row r="3" spans="1:28" ht="58.5" thickBot="1" x14ac:dyDescent="0.4">
      <c r="A3" s="39" t="s">
        <v>6</v>
      </c>
      <c r="B3" s="38" t="s">
        <v>7</v>
      </c>
      <c r="C3" s="38" t="s">
        <v>0</v>
      </c>
      <c r="D3" s="37" t="s">
        <v>15</v>
      </c>
      <c r="E3" s="38" t="s">
        <v>1</v>
      </c>
      <c r="F3" s="36" t="s">
        <v>27</v>
      </c>
      <c r="G3" s="37" t="s">
        <v>19</v>
      </c>
      <c r="H3" s="25" t="s">
        <v>4</v>
      </c>
      <c r="I3" s="89" t="s">
        <v>44</v>
      </c>
      <c r="J3" s="26" t="s">
        <v>29</v>
      </c>
      <c r="K3" s="88" t="s">
        <v>3</v>
      </c>
      <c r="L3" s="1" t="s">
        <v>28</v>
      </c>
      <c r="M3" s="87" t="s">
        <v>5</v>
      </c>
      <c r="N3" s="25" t="s">
        <v>20</v>
      </c>
      <c r="O3" s="26" t="s">
        <v>21</v>
      </c>
      <c r="P3" s="24" t="s">
        <v>8</v>
      </c>
      <c r="Q3" s="86" t="s">
        <v>9</v>
      </c>
      <c r="R3" s="2" t="s">
        <v>10</v>
      </c>
      <c r="S3" s="1" t="s">
        <v>26</v>
      </c>
      <c r="T3" s="1" t="s">
        <v>11</v>
      </c>
      <c r="U3" s="1" t="s">
        <v>30</v>
      </c>
      <c r="W3" s="43" t="s">
        <v>2</v>
      </c>
      <c r="X3" s="60" t="s">
        <v>3</v>
      </c>
      <c r="Y3" s="60" t="s">
        <v>28</v>
      </c>
      <c r="Z3" s="60" t="s">
        <v>5</v>
      </c>
      <c r="AA3" s="61" t="s">
        <v>26</v>
      </c>
    </row>
    <row r="4" spans="1:28" ht="20.25" customHeight="1" x14ac:dyDescent="0.35">
      <c r="A4" s="301" t="s">
        <v>37</v>
      </c>
      <c r="B4" s="303">
        <v>1340</v>
      </c>
      <c r="C4" s="34" t="s">
        <v>55</v>
      </c>
      <c r="D4" s="4">
        <v>2</v>
      </c>
      <c r="E4" s="30" t="s">
        <v>16</v>
      </c>
      <c r="F4" s="47">
        <v>2</v>
      </c>
      <c r="G4" s="5">
        <v>0.05</v>
      </c>
      <c r="H4" s="71">
        <f>+F4*B4</f>
        <v>2680</v>
      </c>
      <c r="I4" s="67">
        <v>2695</v>
      </c>
      <c r="J4" s="22">
        <f t="shared" ref="J4:J10" si="0">I4-H4</f>
        <v>15</v>
      </c>
      <c r="K4" s="75">
        <v>2680</v>
      </c>
      <c r="L4" s="127">
        <f>+I4-K4</f>
        <v>15</v>
      </c>
      <c r="M4" s="78">
        <v>65</v>
      </c>
      <c r="N4" s="128">
        <f>+K4-M4</f>
        <v>2615</v>
      </c>
      <c r="O4" s="64">
        <f>+N4/B4</f>
        <v>1.9514925373134329</v>
      </c>
      <c r="P4" s="18">
        <f>+L4+M4</f>
        <v>80</v>
      </c>
      <c r="Q4" s="81">
        <v>30</v>
      </c>
      <c r="R4" s="3">
        <f t="shared" ref="R4:R10" si="1">+P4-Q4</f>
        <v>50</v>
      </c>
      <c r="S4" s="3">
        <f t="shared" ref="S4:S10" si="2">+R4*G4</f>
        <v>2.5</v>
      </c>
      <c r="T4" s="3">
        <f t="shared" ref="T4:T10" si="3">+R4*D4</f>
        <v>100</v>
      </c>
      <c r="U4" s="6">
        <f>+R4/I4</f>
        <v>1.8552875695732839E-2</v>
      </c>
      <c r="W4" s="102">
        <f>+I4*G4</f>
        <v>134.75</v>
      </c>
      <c r="X4" s="103">
        <f>+K4*G4</f>
        <v>134</v>
      </c>
      <c r="Y4" s="103">
        <f>+L4*G4</f>
        <v>0.75</v>
      </c>
      <c r="Z4" s="103">
        <f>+M4*G4</f>
        <v>3.25</v>
      </c>
      <c r="AA4" s="104">
        <f>+R4*G4</f>
        <v>2.5</v>
      </c>
    </row>
    <row r="5" spans="1:28" ht="20.25" customHeight="1" x14ac:dyDescent="0.35">
      <c r="A5" s="302"/>
      <c r="B5" s="304"/>
      <c r="C5" s="35" t="s">
        <v>111</v>
      </c>
      <c r="D5" s="10">
        <v>4</v>
      </c>
      <c r="E5" s="31" t="s">
        <v>16</v>
      </c>
      <c r="F5" s="48">
        <v>2</v>
      </c>
      <c r="G5" s="11">
        <v>0.05</v>
      </c>
      <c r="H5" s="70">
        <f>+F5*B4</f>
        <v>2680</v>
      </c>
      <c r="I5" s="68">
        <v>2690</v>
      </c>
      <c r="J5" s="13">
        <f t="shared" si="0"/>
        <v>10</v>
      </c>
      <c r="K5" s="76">
        <v>2680</v>
      </c>
      <c r="L5" s="9">
        <f t="shared" ref="L5:L10" si="4">+I5-K5</f>
        <v>10</v>
      </c>
      <c r="M5" s="79">
        <v>20</v>
      </c>
      <c r="N5" s="23">
        <f t="shared" ref="N5:N10" si="5">+K5-M5</f>
        <v>2660</v>
      </c>
      <c r="O5" s="65">
        <f>+N5/B4</f>
        <v>1.9850746268656716</v>
      </c>
      <c r="P5" s="19">
        <f>+L5+M5</f>
        <v>30</v>
      </c>
      <c r="Q5" s="82">
        <v>0</v>
      </c>
      <c r="R5" s="9">
        <f t="shared" si="1"/>
        <v>30</v>
      </c>
      <c r="S5" s="9">
        <f t="shared" si="2"/>
        <v>1.5</v>
      </c>
      <c r="T5" s="9">
        <f t="shared" si="3"/>
        <v>120</v>
      </c>
      <c r="U5" s="12">
        <f t="shared" ref="U5:U9" si="6">+R5/I5</f>
        <v>1.1152416356877323E-2</v>
      </c>
      <c r="W5" s="102">
        <f t="shared" ref="W5:W35" si="7">+I5*G5</f>
        <v>134.5</v>
      </c>
      <c r="X5" s="103">
        <f t="shared" ref="X5:X35" si="8">+K5*G5</f>
        <v>134</v>
      </c>
      <c r="Y5" s="103">
        <f t="shared" ref="Y5:Y35" si="9">+L5*G5</f>
        <v>0.5</v>
      </c>
      <c r="Z5" s="103">
        <f t="shared" ref="Z5:Z35" si="10">+M5*G5</f>
        <v>1</v>
      </c>
      <c r="AA5" s="104">
        <f t="shared" ref="AA5:AA35" si="11">+R5*G5</f>
        <v>1.5</v>
      </c>
    </row>
    <row r="6" spans="1:28" ht="20.25" customHeight="1" x14ac:dyDescent="0.35">
      <c r="A6" s="302"/>
      <c r="B6" s="304"/>
      <c r="C6" s="35" t="s">
        <v>88</v>
      </c>
      <c r="D6" s="10">
        <v>40</v>
      </c>
      <c r="E6" s="31" t="s">
        <v>17</v>
      </c>
      <c r="F6" s="49">
        <v>0.15</v>
      </c>
      <c r="G6" s="11">
        <v>1</v>
      </c>
      <c r="H6" s="72">
        <f>+F6*B4</f>
        <v>201</v>
      </c>
      <c r="I6" s="68">
        <v>209</v>
      </c>
      <c r="J6" s="13">
        <f t="shared" si="0"/>
        <v>8</v>
      </c>
      <c r="K6" s="76">
        <v>201</v>
      </c>
      <c r="L6" s="9">
        <f t="shared" si="4"/>
        <v>8</v>
      </c>
      <c r="M6" s="79">
        <v>14.5</v>
      </c>
      <c r="N6" s="33">
        <f t="shared" si="5"/>
        <v>186.5</v>
      </c>
      <c r="O6" s="42">
        <f>+N6/B4</f>
        <v>0.13917910447761195</v>
      </c>
      <c r="P6" s="19">
        <f>+L6+M6</f>
        <v>22.5</v>
      </c>
      <c r="Q6" s="82">
        <v>0</v>
      </c>
      <c r="R6" s="9">
        <f t="shared" si="1"/>
        <v>22.5</v>
      </c>
      <c r="S6" s="9">
        <f t="shared" si="2"/>
        <v>22.5</v>
      </c>
      <c r="T6" s="9">
        <f t="shared" si="3"/>
        <v>900</v>
      </c>
      <c r="U6" s="12">
        <f t="shared" si="6"/>
        <v>0.1076555023923445</v>
      </c>
      <c r="W6" s="102">
        <f t="shared" si="7"/>
        <v>209</v>
      </c>
      <c r="X6" s="103">
        <f t="shared" si="8"/>
        <v>201</v>
      </c>
      <c r="Y6" s="103">
        <f t="shared" si="9"/>
        <v>8</v>
      </c>
      <c r="Z6" s="103">
        <f t="shared" si="10"/>
        <v>14.5</v>
      </c>
      <c r="AA6" s="104">
        <f t="shared" si="11"/>
        <v>22.5</v>
      </c>
    </row>
    <row r="7" spans="1:28" ht="20.25" customHeight="1" x14ac:dyDescent="0.35">
      <c r="A7" s="302"/>
      <c r="B7" s="304"/>
      <c r="C7" s="35" t="s">
        <v>12</v>
      </c>
      <c r="D7" s="10">
        <v>45</v>
      </c>
      <c r="E7" s="31" t="s">
        <v>17</v>
      </c>
      <c r="F7" s="49">
        <v>0.1</v>
      </c>
      <c r="G7" s="11">
        <v>1</v>
      </c>
      <c r="H7" s="72">
        <f>+F7*B4</f>
        <v>134</v>
      </c>
      <c r="I7" s="68">
        <v>140</v>
      </c>
      <c r="J7" s="13">
        <f t="shared" si="0"/>
        <v>6</v>
      </c>
      <c r="K7" s="76">
        <v>134</v>
      </c>
      <c r="L7" s="9">
        <f t="shared" si="4"/>
        <v>6</v>
      </c>
      <c r="M7" s="79">
        <v>16</v>
      </c>
      <c r="N7" s="23">
        <f t="shared" si="5"/>
        <v>118</v>
      </c>
      <c r="O7" s="42">
        <f>+N7/B4</f>
        <v>8.8059701492537307E-2</v>
      </c>
      <c r="P7" s="19">
        <f t="shared" ref="P7:P10" si="12">+L7+M7</f>
        <v>22</v>
      </c>
      <c r="Q7" s="82">
        <v>0</v>
      </c>
      <c r="R7" s="9">
        <f t="shared" si="1"/>
        <v>22</v>
      </c>
      <c r="S7" s="9">
        <f t="shared" si="2"/>
        <v>22</v>
      </c>
      <c r="T7" s="9">
        <f t="shared" si="3"/>
        <v>990</v>
      </c>
      <c r="U7" s="12">
        <f t="shared" si="6"/>
        <v>0.15714285714285714</v>
      </c>
      <c r="W7" s="102">
        <f t="shared" si="7"/>
        <v>140</v>
      </c>
      <c r="X7" s="103">
        <f t="shared" si="8"/>
        <v>134</v>
      </c>
      <c r="Y7" s="103">
        <f t="shared" si="9"/>
        <v>6</v>
      </c>
      <c r="Z7" s="103">
        <f t="shared" si="10"/>
        <v>16</v>
      </c>
      <c r="AA7" s="104">
        <f t="shared" si="11"/>
        <v>22</v>
      </c>
    </row>
    <row r="8" spans="1:28" ht="20.25" customHeight="1" x14ac:dyDescent="0.35">
      <c r="A8" s="302"/>
      <c r="B8" s="304"/>
      <c r="C8" s="35" t="s">
        <v>13</v>
      </c>
      <c r="D8" s="10">
        <v>52</v>
      </c>
      <c r="E8" s="31" t="s">
        <v>17</v>
      </c>
      <c r="F8" s="49">
        <v>0.1</v>
      </c>
      <c r="G8" s="11">
        <v>1</v>
      </c>
      <c r="H8" s="72">
        <f>+F8*B4</f>
        <v>134</v>
      </c>
      <c r="I8" s="68">
        <v>139.5</v>
      </c>
      <c r="J8" s="13">
        <f t="shared" si="0"/>
        <v>5.5</v>
      </c>
      <c r="K8" s="76">
        <v>134</v>
      </c>
      <c r="L8" s="9">
        <f>+I8-K8</f>
        <v>5.5</v>
      </c>
      <c r="M8" s="79">
        <v>13.5</v>
      </c>
      <c r="N8" s="33">
        <f t="shared" si="5"/>
        <v>120.5</v>
      </c>
      <c r="O8" s="42">
        <f>+N8/B4</f>
        <v>8.9925373134328357E-2</v>
      </c>
      <c r="P8" s="19">
        <f t="shared" si="12"/>
        <v>19</v>
      </c>
      <c r="Q8" s="82">
        <v>0</v>
      </c>
      <c r="R8" s="9">
        <f t="shared" si="1"/>
        <v>19</v>
      </c>
      <c r="S8" s="9">
        <f t="shared" si="2"/>
        <v>19</v>
      </c>
      <c r="T8" s="9">
        <f t="shared" si="3"/>
        <v>988</v>
      </c>
      <c r="U8" s="12">
        <f t="shared" si="6"/>
        <v>0.13620071684587814</v>
      </c>
      <c r="W8" s="102">
        <f t="shared" si="7"/>
        <v>139.5</v>
      </c>
      <c r="X8" s="103">
        <f t="shared" si="8"/>
        <v>134</v>
      </c>
      <c r="Y8" s="103">
        <f t="shared" si="9"/>
        <v>5.5</v>
      </c>
      <c r="Z8" s="103">
        <f t="shared" si="10"/>
        <v>13.5</v>
      </c>
      <c r="AA8" s="104">
        <f t="shared" si="11"/>
        <v>19</v>
      </c>
    </row>
    <row r="9" spans="1:28" ht="20.25" customHeight="1" x14ac:dyDescent="0.35">
      <c r="A9" s="302"/>
      <c r="B9" s="304"/>
      <c r="C9" s="35" t="s">
        <v>112</v>
      </c>
      <c r="D9" s="10">
        <v>60</v>
      </c>
      <c r="E9" s="31" t="s">
        <v>17</v>
      </c>
      <c r="F9" s="49">
        <v>0.1</v>
      </c>
      <c r="G9" s="11">
        <v>1</v>
      </c>
      <c r="H9" s="73">
        <f>+F9*B4</f>
        <v>134</v>
      </c>
      <c r="I9" s="68">
        <v>137.5</v>
      </c>
      <c r="J9" s="13">
        <f t="shared" si="0"/>
        <v>3.5</v>
      </c>
      <c r="K9" s="76">
        <v>134</v>
      </c>
      <c r="L9" s="54">
        <f>+I9-K9</f>
        <v>3.5</v>
      </c>
      <c r="M9" s="79">
        <v>7.5</v>
      </c>
      <c r="N9" s="23">
        <f t="shared" si="5"/>
        <v>126.5</v>
      </c>
      <c r="O9" s="42">
        <f>+N9/B4</f>
        <v>9.4402985074626869E-2</v>
      </c>
      <c r="P9" s="19">
        <f t="shared" si="12"/>
        <v>11</v>
      </c>
      <c r="Q9" s="82">
        <v>0</v>
      </c>
      <c r="R9" s="9">
        <f t="shared" si="1"/>
        <v>11</v>
      </c>
      <c r="S9" s="9">
        <f t="shared" si="2"/>
        <v>11</v>
      </c>
      <c r="T9" s="9">
        <f t="shared" si="3"/>
        <v>660</v>
      </c>
      <c r="U9" s="12">
        <f t="shared" si="6"/>
        <v>0.08</v>
      </c>
      <c r="W9" s="102">
        <f t="shared" si="7"/>
        <v>137.5</v>
      </c>
      <c r="X9" s="103">
        <f t="shared" si="8"/>
        <v>134</v>
      </c>
      <c r="Y9" s="103">
        <f t="shared" si="9"/>
        <v>3.5</v>
      </c>
      <c r="Z9" s="103">
        <f t="shared" si="10"/>
        <v>7.5</v>
      </c>
      <c r="AA9" s="104">
        <f t="shared" si="11"/>
        <v>11</v>
      </c>
    </row>
    <row r="10" spans="1:28" ht="20.25" customHeight="1" x14ac:dyDescent="0.35">
      <c r="A10" s="302"/>
      <c r="B10" s="304"/>
      <c r="C10" s="35" t="s">
        <v>14</v>
      </c>
      <c r="D10" s="10">
        <v>60</v>
      </c>
      <c r="E10" s="31" t="s">
        <v>18</v>
      </c>
      <c r="F10" s="49">
        <v>0.1</v>
      </c>
      <c r="G10" s="11">
        <v>1</v>
      </c>
      <c r="H10" s="72">
        <f>+F10*B4</f>
        <v>134</v>
      </c>
      <c r="I10" s="68">
        <v>136</v>
      </c>
      <c r="J10" s="13">
        <f t="shared" si="0"/>
        <v>2</v>
      </c>
      <c r="K10" s="76">
        <v>134</v>
      </c>
      <c r="L10" s="9">
        <f t="shared" si="4"/>
        <v>2</v>
      </c>
      <c r="M10" s="79">
        <v>4</v>
      </c>
      <c r="N10" s="33">
        <f t="shared" si="5"/>
        <v>130</v>
      </c>
      <c r="O10" s="42">
        <f>+N10/B4</f>
        <v>9.7014925373134331E-2</v>
      </c>
      <c r="P10" s="19">
        <f t="shared" si="12"/>
        <v>6</v>
      </c>
      <c r="Q10" s="82">
        <v>0</v>
      </c>
      <c r="R10" s="9">
        <f t="shared" si="1"/>
        <v>6</v>
      </c>
      <c r="S10" s="9">
        <f t="shared" si="2"/>
        <v>6</v>
      </c>
      <c r="T10" s="9">
        <f t="shared" si="3"/>
        <v>360</v>
      </c>
      <c r="U10" s="12">
        <f>+R10/I10</f>
        <v>4.4117647058823532E-2</v>
      </c>
      <c r="W10" s="115">
        <f t="shared" si="7"/>
        <v>136</v>
      </c>
      <c r="X10" s="116">
        <f t="shared" si="8"/>
        <v>134</v>
      </c>
      <c r="Y10" s="116">
        <f t="shared" si="9"/>
        <v>2</v>
      </c>
      <c r="Z10" s="116">
        <f t="shared" si="10"/>
        <v>4</v>
      </c>
      <c r="AA10" s="117">
        <f t="shared" si="11"/>
        <v>6</v>
      </c>
    </row>
    <row r="11" spans="1:28" ht="20.25" customHeight="1" thickBot="1" x14ac:dyDescent="0.4">
      <c r="A11" s="27"/>
      <c r="B11" s="51"/>
      <c r="C11" s="50"/>
      <c r="D11" s="15"/>
      <c r="E11" s="15"/>
      <c r="F11" s="15"/>
      <c r="G11" s="15"/>
      <c r="H11" s="74"/>
      <c r="I11" s="69"/>
      <c r="J11" s="16"/>
      <c r="K11" s="77"/>
      <c r="L11" s="15"/>
      <c r="M11" s="80"/>
      <c r="N11" s="14"/>
      <c r="O11" s="16"/>
      <c r="P11" s="20"/>
      <c r="Q11" s="83"/>
      <c r="R11" s="15"/>
      <c r="S11" s="84">
        <f>SUM(S4:S10)</f>
        <v>84.5</v>
      </c>
      <c r="T11" s="56">
        <f>SUM(T4:T10)</f>
        <v>4118</v>
      </c>
      <c r="U11" s="16"/>
      <c r="W11" s="118">
        <f>SUM(W4:W10)</f>
        <v>1031.25</v>
      </c>
      <c r="X11" s="109">
        <f t="shared" ref="X11:AA11" si="13">SUM(X4:X10)</f>
        <v>1005</v>
      </c>
      <c r="Y11" s="109">
        <f t="shared" si="13"/>
        <v>26.25</v>
      </c>
      <c r="Z11" s="110">
        <f t="shared" si="13"/>
        <v>59.75</v>
      </c>
      <c r="AA11" s="114">
        <f t="shared" si="13"/>
        <v>84.5</v>
      </c>
      <c r="AB11" s="94"/>
    </row>
    <row r="12" spans="1:28" ht="20.25" customHeight="1" x14ac:dyDescent="0.35">
      <c r="A12" s="292" t="s">
        <v>38</v>
      </c>
      <c r="B12" s="295">
        <v>1400</v>
      </c>
      <c r="C12" s="34" t="s">
        <v>31</v>
      </c>
      <c r="D12" s="4">
        <v>20</v>
      </c>
      <c r="E12" s="30" t="s">
        <v>17</v>
      </c>
      <c r="F12" s="52">
        <v>0.4</v>
      </c>
      <c r="G12" s="5">
        <v>1</v>
      </c>
      <c r="H12" s="71">
        <f>+F12*B12</f>
        <v>560</v>
      </c>
      <c r="I12" s="67">
        <v>575</v>
      </c>
      <c r="J12" s="22">
        <f t="shared" ref="J12:J20" si="14">I12-H12</f>
        <v>15</v>
      </c>
      <c r="K12" s="75">
        <v>560</v>
      </c>
      <c r="L12" s="3">
        <f>+I12-K12</f>
        <v>15</v>
      </c>
      <c r="M12" s="78">
        <v>65</v>
      </c>
      <c r="N12" s="21">
        <f>+K12-M12</f>
        <v>495</v>
      </c>
      <c r="O12" s="41">
        <f>+N12/B12</f>
        <v>0.35357142857142859</v>
      </c>
      <c r="P12" s="18">
        <f>+L12+M12</f>
        <v>80</v>
      </c>
      <c r="Q12" s="81">
        <v>50</v>
      </c>
      <c r="R12" s="3">
        <f>+P12-Q12</f>
        <v>30</v>
      </c>
      <c r="S12" s="3">
        <f>+R12*G12</f>
        <v>30</v>
      </c>
      <c r="T12" s="3">
        <f t="shared" ref="T12:T20" si="15">+R12*D12</f>
        <v>600</v>
      </c>
      <c r="U12" s="6">
        <f>+R12/I12</f>
        <v>5.2173913043478258E-2</v>
      </c>
      <c r="W12" s="111">
        <f t="shared" si="7"/>
        <v>575</v>
      </c>
      <c r="X12" s="112">
        <f t="shared" si="8"/>
        <v>560</v>
      </c>
      <c r="Y12" s="112">
        <f t="shared" si="9"/>
        <v>15</v>
      </c>
      <c r="Z12" s="112">
        <f t="shared" si="10"/>
        <v>65</v>
      </c>
      <c r="AA12" s="113">
        <f t="shared" si="11"/>
        <v>30</v>
      </c>
    </row>
    <row r="13" spans="1:28" ht="20.25" customHeight="1" x14ac:dyDescent="0.35">
      <c r="A13" s="293"/>
      <c r="B13" s="296"/>
      <c r="C13" s="35" t="s">
        <v>113</v>
      </c>
      <c r="D13" s="10">
        <v>65</v>
      </c>
      <c r="E13" s="31" t="s">
        <v>17</v>
      </c>
      <c r="F13" s="49">
        <v>0.1</v>
      </c>
      <c r="G13" s="11">
        <v>1</v>
      </c>
      <c r="H13" s="70">
        <f>+F13*B12</f>
        <v>140</v>
      </c>
      <c r="I13" s="68">
        <v>143</v>
      </c>
      <c r="J13" s="13">
        <f t="shared" si="14"/>
        <v>3</v>
      </c>
      <c r="K13" s="76">
        <v>140</v>
      </c>
      <c r="L13" s="9">
        <f t="shared" ref="L13:L20" si="16">+I13-K13</f>
        <v>3</v>
      </c>
      <c r="M13" s="79">
        <v>11.5</v>
      </c>
      <c r="N13" s="23">
        <f>+K13-M13</f>
        <v>128.5</v>
      </c>
      <c r="O13" s="42">
        <f>+N13/B12</f>
        <v>9.178571428571429E-2</v>
      </c>
      <c r="P13" s="19">
        <f>+L13+M13</f>
        <v>14.5</v>
      </c>
      <c r="Q13" s="82">
        <v>0</v>
      </c>
      <c r="R13" s="9">
        <f t="shared" ref="R13:R20" si="17">+P13-Q13</f>
        <v>14.5</v>
      </c>
      <c r="S13" s="9">
        <f>+R13*G13</f>
        <v>14.5</v>
      </c>
      <c r="T13" s="9">
        <f t="shared" si="15"/>
        <v>942.5</v>
      </c>
      <c r="U13" s="12">
        <f t="shared" ref="U13:U20" si="18">+R13/I13</f>
        <v>0.10139860139860139</v>
      </c>
      <c r="W13" s="102">
        <f t="shared" si="7"/>
        <v>143</v>
      </c>
      <c r="X13" s="103">
        <f t="shared" si="8"/>
        <v>140</v>
      </c>
      <c r="Y13" s="103">
        <f t="shared" si="9"/>
        <v>3</v>
      </c>
      <c r="Z13" s="103">
        <f>+M13*G13</f>
        <v>11.5</v>
      </c>
      <c r="AA13" s="104">
        <f t="shared" si="11"/>
        <v>14.5</v>
      </c>
    </row>
    <row r="14" spans="1:28" ht="20.25" customHeight="1" x14ac:dyDescent="0.35">
      <c r="A14" s="293"/>
      <c r="B14" s="296"/>
      <c r="C14" s="35" t="s">
        <v>114</v>
      </c>
      <c r="D14" s="10">
        <v>80</v>
      </c>
      <c r="E14" s="31" t="s">
        <v>17</v>
      </c>
      <c r="F14" s="49">
        <v>0.08</v>
      </c>
      <c r="G14" s="11">
        <v>1</v>
      </c>
      <c r="H14" s="72">
        <f>+F14*B12</f>
        <v>112</v>
      </c>
      <c r="I14" s="68">
        <v>114</v>
      </c>
      <c r="J14" s="13">
        <f t="shared" si="14"/>
        <v>2</v>
      </c>
      <c r="K14" s="76">
        <v>112</v>
      </c>
      <c r="L14" s="9">
        <f t="shared" si="16"/>
        <v>2</v>
      </c>
      <c r="M14" s="79">
        <v>7.5</v>
      </c>
      <c r="N14" s="33">
        <f>+K14-M14</f>
        <v>104.5</v>
      </c>
      <c r="O14" s="42">
        <f>+N14/B12</f>
        <v>7.464285714285715E-2</v>
      </c>
      <c r="P14" s="19">
        <f>+L14+M14</f>
        <v>9.5</v>
      </c>
      <c r="Q14" s="82">
        <v>0</v>
      </c>
      <c r="R14" s="9">
        <f t="shared" si="17"/>
        <v>9.5</v>
      </c>
      <c r="S14" s="9">
        <f t="shared" ref="S14:S20" si="19">+R14*G14</f>
        <v>9.5</v>
      </c>
      <c r="T14" s="9">
        <f t="shared" si="15"/>
        <v>760</v>
      </c>
      <c r="U14" s="12">
        <f t="shared" si="18"/>
        <v>8.3333333333333329E-2</v>
      </c>
      <c r="W14" s="102">
        <f t="shared" si="7"/>
        <v>114</v>
      </c>
      <c r="X14" s="103">
        <f t="shared" si="8"/>
        <v>112</v>
      </c>
      <c r="Y14" s="103">
        <f t="shared" si="9"/>
        <v>2</v>
      </c>
      <c r="Z14" s="103">
        <f>+M14*G14</f>
        <v>7.5</v>
      </c>
      <c r="AA14" s="104">
        <f t="shared" si="11"/>
        <v>9.5</v>
      </c>
    </row>
    <row r="15" spans="1:28" ht="20.25" customHeight="1" x14ac:dyDescent="0.35">
      <c r="A15" s="293"/>
      <c r="B15" s="296"/>
      <c r="C15" s="35" t="s">
        <v>115</v>
      </c>
      <c r="D15" s="10">
        <v>55</v>
      </c>
      <c r="E15" s="31" t="s">
        <v>17</v>
      </c>
      <c r="F15" s="49">
        <v>0.1</v>
      </c>
      <c r="G15" s="11">
        <v>1</v>
      </c>
      <c r="H15" s="72">
        <f>+F15*B12</f>
        <v>140</v>
      </c>
      <c r="I15" s="68">
        <v>146</v>
      </c>
      <c r="J15" s="13">
        <f t="shared" si="14"/>
        <v>6</v>
      </c>
      <c r="K15" s="76">
        <v>140</v>
      </c>
      <c r="L15" s="9">
        <f t="shared" si="16"/>
        <v>6</v>
      </c>
      <c r="M15" s="79">
        <v>9.5</v>
      </c>
      <c r="N15" s="23">
        <f t="shared" ref="N15:N20" si="20">+K15-M15</f>
        <v>130.5</v>
      </c>
      <c r="O15" s="42">
        <f>+N15/B12</f>
        <v>9.3214285714285708E-2</v>
      </c>
      <c r="P15" s="19">
        <f t="shared" ref="P15:P20" si="21">+L15+M15</f>
        <v>15.5</v>
      </c>
      <c r="Q15" s="82">
        <v>0</v>
      </c>
      <c r="R15" s="9">
        <f t="shared" si="17"/>
        <v>15.5</v>
      </c>
      <c r="S15" s="9">
        <f t="shared" si="19"/>
        <v>15.5</v>
      </c>
      <c r="T15" s="9">
        <f t="shared" si="15"/>
        <v>852.5</v>
      </c>
      <c r="U15" s="12">
        <f t="shared" si="18"/>
        <v>0.10616438356164383</v>
      </c>
      <c r="W15" s="102">
        <f t="shared" si="7"/>
        <v>146</v>
      </c>
      <c r="X15" s="103">
        <f t="shared" si="8"/>
        <v>140</v>
      </c>
      <c r="Y15" s="103">
        <f t="shared" si="9"/>
        <v>6</v>
      </c>
      <c r="Z15" s="103">
        <f t="shared" si="10"/>
        <v>9.5</v>
      </c>
      <c r="AA15" s="104">
        <f t="shared" si="11"/>
        <v>15.5</v>
      </c>
    </row>
    <row r="16" spans="1:28" ht="20.25" customHeight="1" x14ac:dyDescent="0.35">
      <c r="A16" s="293"/>
      <c r="B16" s="296"/>
      <c r="C16" s="35" t="s">
        <v>32</v>
      </c>
      <c r="D16" s="10">
        <v>48</v>
      </c>
      <c r="E16" s="31" t="s">
        <v>18</v>
      </c>
      <c r="F16" s="49">
        <v>0.08</v>
      </c>
      <c r="G16" s="11">
        <v>1</v>
      </c>
      <c r="H16" s="72">
        <f>+F16*B12</f>
        <v>112</v>
      </c>
      <c r="I16" s="68">
        <v>117</v>
      </c>
      <c r="J16" s="13">
        <f t="shared" si="14"/>
        <v>5</v>
      </c>
      <c r="K16" s="76">
        <v>112</v>
      </c>
      <c r="L16" s="9">
        <f t="shared" si="16"/>
        <v>5</v>
      </c>
      <c r="M16" s="79">
        <v>14</v>
      </c>
      <c r="N16" s="33">
        <f t="shared" si="20"/>
        <v>98</v>
      </c>
      <c r="O16" s="42">
        <f>+N16/B12</f>
        <v>7.0000000000000007E-2</v>
      </c>
      <c r="P16" s="19">
        <f t="shared" si="21"/>
        <v>19</v>
      </c>
      <c r="Q16" s="82">
        <v>0</v>
      </c>
      <c r="R16" s="9">
        <f t="shared" si="17"/>
        <v>19</v>
      </c>
      <c r="S16" s="9">
        <f t="shared" si="19"/>
        <v>19</v>
      </c>
      <c r="T16" s="9">
        <f t="shared" si="15"/>
        <v>912</v>
      </c>
      <c r="U16" s="12">
        <f t="shared" si="18"/>
        <v>0.1623931623931624</v>
      </c>
      <c r="W16" s="102">
        <f t="shared" si="7"/>
        <v>117</v>
      </c>
      <c r="X16" s="103">
        <f t="shared" si="8"/>
        <v>112</v>
      </c>
      <c r="Y16" s="103">
        <f t="shared" si="9"/>
        <v>5</v>
      </c>
      <c r="Z16" s="103">
        <f t="shared" si="10"/>
        <v>14</v>
      </c>
      <c r="AA16" s="104">
        <f t="shared" si="11"/>
        <v>19</v>
      </c>
    </row>
    <row r="17" spans="1:28" ht="20.25" customHeight="1" x14ac:dyDescent="0.35">
      <c r="A17" s="293"/>
      <c r="B17" s="296"/>
      <c r="C17" s="35" t="s">
        <v>54</v>
      </c>
      <c r="D17" s="10">
        <v>35</v>
      </c>
      <c r="E17" s="31" t="s">
        <v>18</v>
      </c>
      <c r="F17" s="49">
        <v>0.08</v>
      </c>
      <c r="G17" s="11">
        <v>1</v>
      </c>
      <c r="H17" s="73">
        <f>+F17*B12</f>
        <v>112</v>
      </c>
      <c r="I17" s="68">
        <v>117.5</v>
      </c>
      <c r="J17" s="66">
        <f t="shared" si="14"/>
        <v>5.5</v>
      </c>
      <c r="K17" s="76">
        <v>112</v>
      </c>
      <c r="L17" s="9">
        <f t="shared" si="16"/>
        <v>5.5</v>
      </c>
      <c r="M17" s="79">
        <v>13.3</v>
      </c>
      <c r="N17" s="23">
        <f t="shared" si="20"/>
        <v>98.7</v>
      </c>
      <c r="O17" s="42">
        <f>+N17/B12</f>
        <v>7.0500000000000007E-2</v>
      </c>
      <c r="P17" s="19">
        <f t="shared" si="21"/>
        <v>18.8</v>
      </c>
      <c r="Q17" s="82">
        <v>0</v>
      </c>
      <c r="R17" s="9">
        <f t="shared" si="17"/>
        <v>18.8</v>
      </c>
      <c r="S17" s="9">
        <f t="shared" si="19"/>
        <v>18.8</v>
      </c>
      <c r="T17" s="9">
        <f t="shared" si="15"/>
        <v>658</v>
      </c>
      <c r="U17" s="12">
        <f t="shared" si="18"/>
        <v>0.16</v>
      </c>
      <c r="W17" s="102">
        <f t="shared" si="7"/>
        <v>117.5</v>
      </c>
      <c r="X17" s="103">
        <f t="shared" si="8"/>
        <v>112</v>
      </c>
      <c r="Y17" s="103">
        <f t="shared" si="9"/>
        <v>5.5</v>
      </c>
      <c r="Z17" s="103">
        <f t="shared" si="10"/>
        <v>13.3</v>
      </c>
      <c r="AA17" s="104">
        <f t="shared" si="11"/>
        <v>18.8</v>
      </c>
    </row>
    <row r="18" spans="1:28" ht="20.25" customHeight="1" x14ac:dyDescent="0.35">
      <c r="A18" s="293"/>
      <c r="B18" s="296"/>
      <c r="C18" s="35" t="s">
        <v>33</v>
      </c>
      <c r="D18" s="10">
        <v>50</v>
      </c>
      <c r="E18" s="31" t="s">
        <v>17</v>
      </c>
      <c r="F18" s="49">
        <v>0.03</v>
      </c>
      <c r="G18" s="11">
        <v>1</v>
      </c>
      <c r="H18" s="72">
        <f>+F18*B12</f>
        <v>42</v>
      </c>
      <c r="I18" s="68">
        <v>42</v>
      </c>
      <c r="J18" s="13">
        <f t="shared" si="14"/>
        <v>0</v>
      </c>
      <c r="K18" s="76">
        <v>42</v>
      </c>
      <c r="L18" s="9">
        <f t="shared" si="16"/>
        <v>0</v>
      </c>
      <c r="M18" s="79">
        <v>4</v>
      </c>
      <c r="N18" s="23">
        <f t="shared" si="20"/>
        <v>38</v>
      </c>
      <c r="O18" s="42">
        <f>+N18/B12</f>
        <v>2.7142857142857142E-2</v>
      </c>
      <c r="P18" s="19">
        <f t="shared" si="21"/>
        <v>4</v>
      </c>
      <c r="Q18" s="82">
        <v>0</v>
      </c>
      <c r="R18" s="9">
        <f t="shared" si="17"/>
        <v>4</v>
      </c>
      <c r="S18" s="9">
        <f t="shared" si="19"/>
        <v>4</v>
      </c>
      <c r="T18" s="9">
        <f t="shared" si="15"/>
        <v>200</v>
      </c>
      <c r="U18" s="12">
        <f t="shared" si="18"/>
        <v>9.5238095238095233E-2</v>
      </c>
      <c r="W18" s="102">
        <f t="shared" si="7"/>
        <v>42</v>
      </c>
      <c r="X18" s="103">
        <f t="shared" si="8"/>
        <v>42</v>
      </c>
      <c r="Y18" s="103">
        <f t="shared" si="9"/>
        <v>0</v>
      </c>
      <c r="Z18" s="103">
        <f t="shared" si="10"/>
        <v>4</v>
      </c>
      <c r="AA18" s="104">
        <f t="shared" si="11"/>
        <v>4</v>
      </c>
    </row>
    <row r="19" spans="1:28" ht="20.25" customHeight="1" x14ac:dyDescent="0.35">
      <c r="A19" s="293"/>
      <c r="B19" s="296"/>
      <c r="C19" s="35" t="s">
        <v>34</v>
      </c>
      <c r="D19" s="31">
        <v>70</v>
      </c>
      <c r="E19" s="31" t="s">
        <v>17</v>
      </c>
      <c r="F19" s="11">
        <v>0.1</v>
      </c>
      <c r="G19" s="11">
        <v>1</v>
      </c>
      <c r="H19" s="72">
        <f>+F19*B12</f>
        <v>140</v>
      </c>
      <c r="I19" s="68">
        <v>140</v>
      </c>
      <c r="J19" s="13">
        <f t="shared" si="14"/>
        <v>0</v>
      </c>
      <c r="K19" s="76">
        <v>140</v>
      </c>
      <c r="L19" s="9">
        <f t="shared" si="16"/>
        <v>0</v>
      </c>
      <c r="M19" s="79">
        <v>2</v>
      </c>
      <c r="N19" s="23">
        <f t="shared" si="20"/>
        <v>138</v>
      </c>
      <c r="O19" s="42">
        <f>+N19/B12</f>
        <v>9.8571428571428574E-2</v>
      </c>
      <c r="P19" s="19">
        <f t="shared" si="21"/>
        <v>2</v>
      </c>
      <c r="Q19" s="82"/>
      <c r="R19" s="9">
        <f t="shared" si="17"/>
        <v>2</v>
      </c>
      <c r="S19" s="9">
        <f t="shared" si="19"/>
        <v>2</v>
      </c>
      <c r="T19" s="9">
        <f t="shared" si="15"/>
        <v>140</v>
      </c>
      <c r="U19" s="12">
        <f t="shared" si="18"/>
        <v>1.4285714285714285E-2</v>
      </c>
      <c r="W19" s="102">
        <f t="shared" si="7"/>
        <v>140</v>
      </c>
      <c r="X19" s="103">
        <f t="shared" si="8"/>
        <v>140</v>
      </c>
      <c r="Y19" s="103">
        <f t="shared" si="9"/>
        <v>0</v>
      </c>
      <c r="Z19" s="103">
        <f t="shared" si="10"/>
        <v>2</v>
      </c>
      <c r="AA19" s="104">
        <f t="shared" si="11"/>
        <v>2</v>
      </c>
    </row>
    <row r="20" spans="1:28" ht="20.25" customHeight="1" x14ac:dyDescent="0.35">
      <c r="A20" s="294"/>
      <c r="B20" s="297"/>
      <c r="C20" s="40" t="s">
        <v>35</v>
      </c>
      <c r="D20" s="44">
        <v>2</v>
      </c>
      <c r="E20" s="44" t="s">
        <v>16</v>
      </c>
      <c r="F20" s="53">
        <v>2</v>
      </c>
      <c r="G20" s="45">
        <v>0.04</v>
      </c>
      <c r="H20" s="72">
        <f>+F20*B12</f>
        <v>2800</v>
      </c>
      <c r="I20" s="68">
        <v>2826</v>
      </c>
      <c r="J20" s="13">
        <f t="shared" si="14"/>
        <v>26</v>
      </c>
      <c r="K20" s="76">
        <v>2800</v>
      </c>
      <c r="L20" s="9">
        <f t="shared" si="16"/>
        <v>26</v>
      </c>
      <c r="M20" s="79">
        <v>40</v>
      </c>
      <c r="N20" s="33">
        <f t="shared" si="20"/>
        <v>2760</v>
      </c>
      <c r="O20" s="42">
        <f>+N20/B12</f>
        <v>1.9714285714285715</v>
      </c>
      <c r="P20" s="19">
        <f t="shared" si="21"/>
        <v>66</v>
      </c>
      <c r="Q20" s="82">
        <v>20</v>
      </c>
      <c r="R20" s="9">
        <f t="shared" si="17"/>
        <v>46</v>
      </c>
      <c r="S20" s="9">
        <f t="shared" si="19"/>
        <v>1.84</v>
      </c>
      <c r="T20" s="9">
        <f t="shared" si="15"/>
        <v>92</v>
      </c>
      <c r="U20" s="12">
        <f t="shared" si="18"/>
        <v>1.6277423920736021E-2</v>
      </c>
      <c r="W20" s="115">
        <f t="shared" si="7"/>
        <v>113.04</v>
      </c>
      <c r="X20" s="116">
        <f t="shared" si="8"/>
        <v>112</v>
      </c>
      <c r="Y20" s="116">
        <f t="shared" si="9"/>
        <v>1.04</v>
      </c>
      <c r="Z20" s="116">
        <f t="shared" si="10"/>
        <v>1.6</v>
      </c>
      <c r="AA20" s="117">
        <f t="shared" si="11"/>
        <v>1.84</v>
      </c>
    </row>
    <row r="21" spans="1:28" ht="20.25" customHeight="1" thickBot="1" x14ac:dyDescent="0.4">
      <c r="A21" s="27"/>
      <c r="B21" s="28"/>
      <c r="C21" s="29"/>
      <c r="D21" s="15"/>
      <c r="E21" s="15"/>
      <c r="F21" s="15"/>
      <c r="G21" s="15"/>
      <c r="H21" s="74"/>
      <c r="I21" s="69"/>
      <c r="J21" s="16"/>
      <c r="K21" s="77"/>
      <c r="L21" s="15"/>
      <c r="M21" s="80"/>
      <c r="N21" s="14"/>
      <c r="O21" s="16"/>
      <c r="P21" s="20"/>
      <c r="Q21" s="83"/>
      <c r="R21" s="15"/>
      <c r="S21" s="56">
        <f>SUM(S12:S20)</f>
        <v>115.14</v>
      </c>
      <c r="T21" s="56">
        <f>SUM(T12:T20)</f>
        <v>5157</v>
      </c>
      <c r="U21" s="16"/>
      <c r="W21" s="118">
        <f>SUM(W12:W20)</f>
        <v>1507.54</v>
      </c>
      <c r="X21" s="110">
        <f t="shared" ref="X21:AA21" si="22">SUM(X12:X20)</f>
        <v>1470</v>
      </c>
      <c r="Y21" s="114">
        <f t="shared" si="22"/>
        <v>37.54</v>
      </c>
      <c r="Z21" s="109">
        <f t="shared" si="22"/>
        <v>128.4</v>
      </c>
      <c r="AA21" s="109">
        <f t="shared" si="22"/>
        <v>115.14</v>
      </c>
      <c r="AB21" s="94"/>
    </row>
    <row r="22" spans="1:28" ht="20.25" customHeight="1" x14ac:dyDescent="0.35">
      <c r="A22" s="292" t="s">
        <v>39</v>
      </c>
      <c r="B22" s="295">
        <v>1410</v>
      </c>
      <c r="C22" s="34" t="s">
        <v>118</v>
      </c>
      <c r="D22" s="4">
        <v>2</v>
      </c>
      <c r="E22" s="4" t="s">
        <v>58</v>
      </c>
      <c r="F22" s="135">
        <v>0.2</v>
      </c>
      <c r="G22" s="5">
        <v>0.1</v>
      </c>
      <c r="H22" s="71">
        <f>+F22*B22</f>
        <v>282</v>
      </c>
      <c r="I22" s="67">
        <v>285</v>
      </c>
      <c r="J22" s="22">
        <f>I22-H22</f>
        <v>3</v>
      </c>
      <c r="K22" s="75">
        <v>282</v>
      </c>
      <c r="L22" s="3">
        <f>+I22-K22</f>
        <v>3</v>
      </c>
      <c r="M22" s="78">
        <v>0</v>
      </c>
      <c r="N22" s="21">
        <f>+K22-M22</f>
        <v>282</v>
      </c>
      <c r="O22" s="41">
        <f>+N22/B22</f>
        <v>0.2</v>
      </c>
      <c r="P22" s="18">
        <f>+L22+M22</f>
        <v>3</v>
      </c>
      <c r="Q22" s="81">
        <v>1</v>
      </c>
      <c r="R22" s="3">
        <f>+P22-Q22</f>
        <v>2</v>
      </c>
      <c r="S22" s="3">
        <f>+R22*G22</f>
        <v>0.2</v>
      </c>
      <c r="T22" s="3">
        <f>+R22*D22</f>
        <v>4</v>
      </c>
      <c r="U22" s="6">
        <f>+R22/I22</f>
        <v>7.0175438596491229E-3</v>
      </c>
      <c r="W22" s="111">
        <f t="shared" si="7"/>
        <v>28.5</v>
      </c>
      <c r="X22" s="112">
        <f t="shared" si="8"/>
        <v>28.200000000000003</v>
      </c>
      <c r="Y22" s="112">
        <f t="shared" si="9"/>
        <v>0.30000000000000004</v>
      </c>
      <c r="Z22" s="112">
        <f t="shared" si="10"/>
        <v>0</v>
      </c>
      <c r="AA22" s="113">
        <f t="shared" si="11"/>
        <v>0.2</v>
      </c>
    </row>
    <row r="23" spans="1:28" ht="20.25" customHeight="1" x14ac:dyDescent="0.35">
      <c r="A23" s="293"/>
      <c r="B23" s="296"/>
      <c r="C23" s="35" t="s">
        <v>56</v>
      </c>
      <c r="D23" s="10">
        <v>60</v>
      </c>
      <c r="E23" s="10" t="s">
        <v>61</v>
      </c>
      <c r="F23" s="49">
        <v>0.1</v>
      </c>
      <c r="G23" s="11">
        <v>0.01</v>
      </c>
      <c r="H23" s="70">
        <f>+F23*B22</f>
        <v>141</v>
      </c>
      <c r="I23" s="68">
        <v>143.5</v>
      </c>
      <c r="J23" s="13">
        <f>I23-H23</f>
        <v>2.5</v>
      </c>
      <c r="K23" s="76">
        <v>141</v>
      </c>
      <c r="L23" s="9">
        <f t="shared" ref="L23:L25" si="23">+I23-K23</f>
        <v>2.5</v>
      </c>
      <c r="M23" s="79">
        <v>0</v>
      </c>
      <c r="N23" s="23">
        <f t="shared" ref="N23:N25" si="24">+K23-M23</f>
        <v>141</v>
      </c>
      <c r="O23" s="42">
        <f>+N23/B22</f>
        <v>0.1</v>
      </c>
      <c r="P23" s="19">
        <f>+L23+M23</f>
        <v>2.5</v>
      </c>
      <c r="Q23" s="82">
        <v>2.5</v>
      </c>
      <c r="R23" s="9">
        <f t="shared" ref="R23:R25" si="25">+P23-Q23</f>
        <v>0</v>
      </c>
      <c r="S23" s="9">
        <f>+R23*G23</f>
        <v>0</v>
      </c>
      <c r="T23" s="9">
        <f>+R23*D23</f>
        <v>0</v>
      </c>
      <c r="U23" s="12">
        <f t="shared" ref="U23:U25" si="26">+R23/I23</f>
        <v>0</v>
      </c>
      <c r="W23" s="102">
        <f t="shared" si="7"/>
        <v>1.4350000000000001</v>
      </c>
      <c r="X23" s="103">
        <f t="shared" si="8"/>
        <v>1.41</v>
      </c>
      <c r="Y23" s="103">
        <f t="shared" si="9"/>
        <v>2.5000000000000001E-2</v>
      </c>
      <c r="Z23" s="103">
        <f t="shared" si="10"/>
        <v>0</v>
      </c>
      <c r="AA23" s="104">
        <f t="shared" si="11"/>
        <v>0</v>
      </c>
    </row>
    <row r="24" spans="1:28" ht="20.25" customHeight="1" x14ac:dyDescent="0.35">
      <c r="A24" s="293"/>
      <c r="B24" s="296"/>
      <c r="C24" s="35" t="s">
        <v>119</v>
      </c>
      <c r="D24" s="10">
        <v>6</v>
      </c>
      <c r="E24" s="10" t="s">
        <v>16</v>
      </c>
      <c r="F24" s="126">
        <v>1</v>
      </c>
      <c r="G24" s="11">
        <v>0.05</v>
      </c>
      <c r="H24" s="72">
        <f>+F24*B22</f>
        <v>1410</v>
      </c>
      <c r="I24" s="68">
        <v>1450</v>
      </c>
      <c r="J24" s="13">
        <f>I24-H24</f>
        <v>40</v>
      </c>
      <c r="K24" s="76">
        <v>1410</v>
      </c>
      <c r="L24" s="9">
        <f t="shared" si="23"/>
        <v>40</v>
      </c>
      <c r="M24" s="79">
        <v>0</v>
      </c>
      <c r="N24" s="33">
        <f t="shared" si="24"/>
        <v>1410</v>
      </c>
      <c r="O24" s="42">
        <f>+N24/B22</f>
        <v>1</v>
      </c>
      <c r="P24" s="19">
        <f>+L24+M24</f>
        <v>40</v>
      </c>
      <c r="Q24" s="82">
        <v>40</v>
      </c>
      <c r="R24" s="9">
        <f t="shared" si="25"/>
        <v>0</v>
      </c>
      <c r="S24" s="9">
        <f>+R24*G24</f>
        <v>0</v>
      </c>
      <c r="T24" s="9">
        <f>+R24*D24</f>
        <v>0</v>
      </c>
      <c r="U24" s="12">
        <f t="shared" si="26"/>
        <v>0</v>
      </c>
      <c r="W24" s="102">
        <f t="shared" si="7"/>
        <v>72.5</v>
      </c>
      <c r="X24" s="103">
        <f t="shared" si="8"/>
        <v>70.5</v>
      </c>
      <c r="Y24" s="103">
        <f t="shared" si="9"/>
        <v>2</v>
      </c>
      <c r="Z24" s="103">
        <f t="shared" si="10"/>
        <v>0</v>
      </c>
      <c r="AA24" s="104">
        <f t="shared" si="11"/>
        <v>0</v>
      </c>
    </row>
    <row r="25" spans="1:28" ht="20.25" customHeight="1" x14ac:dyDescent="0.35">
      <c r="A25" s="293"/>
      <c r="B25" s="296"/>
      <c r="C25" s="35" t="s">
        <v>63</v>
      </c>
      <c r="D25" s="10">
        <v>60</v>
      </c>
      <c r="E25" s="10" t="s">
        <v>18</v>
      </c>
      <c r="F25" s="49">
        <v>0.1</v>
      </c>
      <c r="G25" s="11">
        <v>1</v>
      </c>
      <c r="H25" s="72">
        <f>+F25*B22</f>
        <v>141</v>
      </c>
      <c r="I25" s="68">
        <v>144</v>
      </c>
      <c r="J25" s="13">
        <f>I25-H25</f>
        <v>3</v>
      </c>
      <c r="K25" s="76">
        <v>141</v>
      </c>
      <c r="L25" s="9">
        <f t="shared" si="23"/>
        <v>3</v>
      </c>
      <c r="M25" s="79">
        <v>0</v>
      </c>
      <c r="N25" s="23">
        <f t="shared" si="24"/>
        <v>141</v>
      </c>
      <c r="O25" s="42">
        <f>+N25/B22</f>
        <v>0.1</v>
      </c>
      <c r="P25" s="19">
        <f t="shared" ref="P25" si="27">+L25+M25</f>
        <v>3</v>
      </c>
      <c r="Q25" s="82">
        <v>1</v>
      </c>
      <c r="R25" s="9">
        <f t="shared" si="25"/>
        <v>2</v>
      </c>
      <c r="S25" s="9">
        <f>+R25*G25</f>
        <v>2</v>
      </c>
      <c r="T25" s="9">
        <f>+R25*D25</f>
        <v>120</v>
      </c>
      <c r="U25" s="12">
        <f t="shared" si="26"/>
        <v>1.3888888888888888E-2</v>
      </c>
      <c r="W25" s="105">
        <f t="shared" si="7"/>
        <v>144</v>
      </c>
      <c r="X25" s="106">
        <f t="shared" si="8"/>
        <v>141</v>
      </c>
      <c r="Y25" s="106">
        <f t="shared" si="9"/>
        <v>3</v>
      </c>
      <c r="Z25" s="106">
        <f t="shared" si="10"/>
        <v>0</v>
      </c>
      <c r="AA25" s="107">
        <f t="shared" si="11"/>
        <v>2</v>
      </c>
    </row>
    <row r="26" spans="1:28" ht="21.75" customHeight="1" thickBot="1" x14ac:dyDescent="0.4">
      <c r="A26" s="27"/>
      <c r="B26" s="55"/>
      <c r="C26" s="29"/>
      <c r="D26" s="15"/>
      <c r="E26" s="15"/>
      <c r="F26" s="15"/>
      <c r="G26" s="15"/>
      <c r="H26" s="74"/>
      <c r="I26" s="69"/>
      <c r="J26" s="16"/>
      <c r="K26" s="77"/>
      <c r="L26" s="15"/>
      <c r="M26" s="80"/>
      <c r="N26" s="14"/>
      <c r="O26" s="16"/>
      <c r="P26" s="20"/>
      <c r="Q26" s="83"/>
      <c r="R26" s="15"/>
      <c r="S26" s="56">
        <f>SUM(S22:S25)</f>
        <v>2.2000000000000002</v>
      </c>
      <c r="T26" s="56">
        <f>SUM(T22:T25)</f>
        <v>124</v>
      </c>
      <c r="U26" s="16"/>
      <c r="W26" s="123">
        <f>SUM(W22:W25)</f>
        <v>246.435</v>
      </c>
      <c r="X26" s="124">
        <f t="shared" ref="X26:AA26" si="28">SUM(X22:X25)</f>
        <v>241.11</v>
      </c>
      <c r="Y26" s="124">
        <f t="shared" si="28"/>
        <v>5.3250000000000002</v>
      </c>
      <c r="Z26" s="124">
        <f t="shared" si="28"/>
        <v>0</v>
      </c>
      <c r="AA26" s="125">
        <f t="shared" si="28"/>
        <v>2.2000000000000002</v>
      </c>
    </row>
    <row r="27" spans="1:28" ht="20.25" customHeight="1" x14ac:dyDescent="0.35">
      <c r="A27" s="292" t="s">
        <v>40</v>
      </c>
      <c r="B27" s="295">
        <v>563</v>
      </c>
      <c r="C27" s="34" t="s">
        <v>31</v>
      </c>
      <c r="D27" s="4">
        <v>20</v>
      </c>
      <c r="E27" s="30" t="s">
        <v>17</v>
      </c>
      <c r="F27" s="52">
        <v>0.4</v>
      </c>
      <c r="G27" s="5">
        <v>1</v>
      </c>
      <c r="H27" s="71">
        <f>+F27*B27</f>
        <v>225.20000000000002</v>
      </c>
      <c r="I27" s="67">
        <v>236</v>
      </c>
      <c r="J27" s="22">
        <f t="shared" ref="J27:J35" si="29">I27-H27</f>
        <v>10.799999999999983</v>
      </c>
      <c r="K27" s="75">
        <v>225.2</v>
      </c>
      <c r="L27" s="3">
        <f>+I27-K27</f>
        <v>10.800000000000011</v>
      </c>
      <c r="M27" s="22">
        <v>23</v>
      </c>
      <c r="N27" s="21">
        <f>+K27-M27</f>
        <v>202.2</v>
      </c>
      <c r="O27" s="41">
        <f>+N27/B27</f>
        <v>0.3591474245115453</v>
      </c>
      <c r="P27" s="18">
        <f>+L27+M27</f>
        <v>33.800000000000011</v>
      </c>
      <c r="Q27" s="81">
        <v>20</v>
      </c>
      <c r="R27" s="3">
        <f>+P27-Q27</f>
        <v>13.800000000000011</v>
      </c>
      <c r="S27" s="3">
        <f t="shared" ref="S27:S35" si="30">+R27*G27</f>
        <v>13.800000000000011</v>
      </c>
      <c r="T27" s="3">
        <f t="shared" ref="T27:T35" si="31">+R27*D27</f>
        <v>276.00000000000023</v>
      </c>
      <c r="U27" s="6">
        <f>+R27/I27</f>
        <v>5.847457627118649E-2</v>
      </c>
      <c r="W27" s="111">
        <f t="shared" si="7"/>
        <v>236</v>
      </c>
      <c r="X27" s="112">
        <f t="shared" si="8"/>
        <v>225.2</v>
      </c>
      <c r="Y27" s="112">
        <f t="shared" si="9"/>
        <v>10.800000000000011</v>
      </c>
      <c r="Z27" s="112">
        <f t="shared" si="10"/>
        <v>23</v>
      </c>
      <c r="AA27" s="113">
        <f t="shared" si="11"/>
        <v>13.800000000000011</v>
      </c>
    </row>
    <row r="28" spans="1:28" ht="20.25" customHeight="1" x14ac:dyDescent="0.35">
      <c r="A28" s="293"/>
      <c r="B28" s="296"/>
      <c r="C28" s="35" t="s">
        <v>116</v>
      </c>
      <c r="D28" s="10">
        <v>65</v>
      </c>
      <c r="E28" s="31" t="s">
        <v>17</v>
      </c>
      <c r="F28" s="49">
        <v>0.1</v>
      </c>
      <c r="G28" s="11">
        <v>1</v>
      </c>
      <c r="H28" s="70">
        <f>+F28*B27</f>
        <v>56.300000000000004</v>
      </c>
      <c r="I28" s="68">
        <v>62.5</v>
      </c>
      <c r="J28" s="13">
        <f t="shared" si="29"/>
        <v>6.1999999999999957</v>
      </c>
      <c r="K28" s="76">
        <v>56</v>
      </c>
      <c r="L28" s="9">
        <f t="shared" ref="L28:L35" si="32">+I28-K28</f>
        <v>6.5</v>
      </c>
      <c r="M28" s="13">
        <v>7.5</v>
      </c>
      <c r="N28" s="23">
        <f t="shared" ref="N28:N35" si="33">+K28-M28</f>
        <v>48.5</v>
      </c>
      <c r="O28" s="42">
        <f>+N28/B27</f>
        <v>8.6145648312611012E-2</v>
      </c>
      <c r="P28" s="19">
        <f>+L28+M28</f>
        <v>14</v>
      </c>
      <c r="Q28" s="82">
        <v>5</v>
      </c>
      <c r="R28" s="9">
        <f t="shared" ref="R28:R35" si="34">+P28-Q28</f>
        <v>9</v>
      </c>
      <c r="S28" s="9">
        <f t="shared" si="30"/>
        <v>9</v>
      </c>
      <c r="T28" s="9">
        <f t="shared" si="31"/>
        <v>585</v>
      </c>
      <c r="U28" s="12">
        <f t="shared" ref="U28:U35" si="35">+R28/I28</f>
        <v>0.14399999999999999</v>
      </c>
      <c r="W28" s="102">
        <f t="shared" si="7"/>
        <v>62.5</v>
      </c>
      <c r="X28" s="103">
        <f t="shared" si="8"/>
        <v>56</v>
      </c>
      <c r="Y28" s="103">
        <f t="shared" si="9"/>
        <v>6.5</v>
      </c>
      <c r="Z28" s="103">
        <f t="shared" si="10"/>
        <v>7.5</v>
      </c>
      <c r="AA28" s="104">
        <f t="shared" si="11"/>
        <v>9</v>
      </c>
    </row>
    <row r="29" spans="1:28" ht="20.25" customHeight="1" x14ac:dyDescent="0.35">
      <c r="A29" s="293"/>
      <c r="B29" s="296"/>
      <c r="C29" s="35" t="s">
        <v>117</v>
      </c>
      <c r="D29" s="10">
        <v>130</v>
      </c>
      <c r="E29" s="31" t="s">
        <v>17</v>
      </c>
      <c r="F29" s="49">
        <v>0.08</v>
      </c>
      <c r="G29" s="11">
        <v>1</v>
      </c>
      <c r="H29" s="72">
        <f>+F29*B27</f>
        <v>45.04</v>
      </c>
      <c r="I29" s="68">
        <v>52</v>
      </c>
      <c r="J29" s="13">
        <f t="shared" si="29"/>
        <v>6.9600000000000009</v>
      </c>
      <c r="K29" s="76">
        <v>45</v>
      </c>
      <c r="L29" s="9">
        <f t="shared" si="32"/>
        <v>7</v>
      </c>
      <c r="M29" s="13">
        <v>3.5</v>
      </c>
      <c r="N29" s="33">
        <f t="shared" si="33"/>
        <v>41.5</v>
      </c>
      <c r="O29" s="42">
        <f>+N29/B27</f>
        <v>7.3712255772646534E-2</v>
      </c>
      <c r="P29" s="19">
        <f>+L29+M29</f>
        <v>10.5</v>
      </c>
      <c r="Q29" s="82">
        <v>4</v>
      </c>
      <c r="R29" s="9">
        <f t="shared" si="34"/>
        <v>6.5</v>
      </c>
      <c r="S29" s="9">
        <f t="shared" si="30"/>
        <v>6.5</v>
      </c>
      <c r="T29" s="9">
        <f t="shared" si="31"/>
        <v>845</v>
      </c>
      <c r="U29" s="12">
        <f t="shared" si="35"/>
        <v>0.125</v>
      </c>
      <c r="W29" s="102">
        <f t="shared" si="7"/>
        <v>52</v>
      </c>
      <c r="X29" s="103">
        <f t="shared" si="8"/>
        <v>45</v>
      </c>
      <c r="Y29" s="103">
        <f t="shared" si="9"/>
        <v>7</v>
      </c>
      <c r="Z29" s="103">
        <f t="shared" si="10"/>
        <v>3.5</v>
      </c>
      <c r="AA29" s="104">
        <f t="shared" si="11"/>
        <v>6.5</v>
      </c>
    </row>
    <row r="30" spans="1:28" ht="20.25" customHeight="1" x14ac:dyDescent="0.35">
      <c r="A30" s="293"/>
      <c r="B30" s="296"/>
      <c r="C30" s="35" t="s">
        <v>92</v>
      </c>
      <c r="D30" s="10">
        <v>55</v>
      </c>
      <c r="E30" s="31" t="s">
        <v>17</v>
      </c>
      <c r="F30" s="49">
        <v>0.1</v>
      </c>
      <c r="G30" s="11">
        <v>1</v>
      </c>
      <c r="H30" s="72">
        <f>+F30*B27</f>
        <v>56.300000000000004</v>
      </c>
      <c r="I30" s="68">
        <v>63.5</v>
      </c>
      <c r="J30" s="13">
        <f t="shared" si="29"/>
        <v>7.1999999999999957</v>
      </c>
      <c r="K30" s="76">
        <v>56.3</v>
      </c>
      <c r="L30" s="9">
        <f t="shared" si="32"/>
        <v>7.2000000000000028</v>
      </c>
      <c r="M30" s="13">
        <v>2.5</v>
      </c>
      <c r="N30" s="23">
        <f t="shared" si="33"/>
        <v>53.8</v>
      </c>
      <c r="O30" s="42">
        <f>+N30/B27</f>
        <v>9.5559502664298399E-2</v>
      </c>
      <c r="P30" s="19">
        <f t="shared" ref="P30:P35" si="36">+L30+M30</f>
        <v>9.7000000000000028</v>
      </c>
      <c r="Q30" s="82">
        <v>0</v>
      </c>
      <c r="R30" s="9">
        <f t="shared" si="34"/>
        <v>9.7000000000000028</v>
      </c>
      <c r="S30" s="9">
        <f t="shared" si="30"/>
        <v>9.7000000000000028</v>
      </c>
      <c r="T30" s="9">
        <f t="shared" si="31"/>
        <v>533.50000000000011</v>
      </c>
      <c r="U30" s="12">
        <f t="shared" si="35"/>
        <v>0.15275590551181106</v>
      </c>
      <c r="W30" s="102">
        <f t="shared" si="7"/>
        <v>63.5</v>
      </c>
      <c r="X30" s="103">
        <f t="shared" si="8"/>
        <v>56.3</v>
      </c>
      <c r="Y30" s="103">
        <f t="shared" si="9"/>
        <v>7.2000000000000028</v>
      </c>
      <c r="Z30" s="103">
        <f t="shared" si="10"/>
        <v>2.5</v>
      </c>
      <c r="AA30" s="104">
        <f t="shared" si="11"/>
        <v>9.7000000000000028</v>
      </c>
    </row>
    <row r="31" spans="1:28" ht="20.25" customHeight="1" x14ac:dyDescent="0.35">
      <c r="A31" s="293"/>
      <c r="B31" s="296"/>
      <c r="C31" s="35" t="s">
        <v>32</v>
      </c>
      <c r="D31" s="10">
        <v>48</v>
      </c>
      <c r="E31" s="31" t="s">
        <v>18</v>
      </c>
      <c r="F31" s="49">
        <v>0.08</v>
      </c>
      <c r="G31" s="11">
        <v>1</v>
      </c>
      <c r="H31" s="72">
        <f>+F31*B27</f>
        <v>45.04</v>
      </c>
      <c r="I31" s="68">
        <v>54</v>
      </c>
      <c r="J31" s="13">
        <f t="shared" si="29"/>
        <v>8.9600000000000009</v>
      </c>
      <c r="K31" s="76">
        <v>45</v>
      </c>
      <c r="L31" s="9">
        <f t="shared" si="32"/>
        <v>9</v>
      </c>
      <c r="M31" s="13">
        <v>4</v>
      </c>
      <c r="N31" s="33">
        <f t="shared" si="33"/>
        <v>41</v>
      </c>
      <c r="O31" s="42">
        <f>+N31/B27</f>
        <v>7.2824156305506219E-2</v>
      </c>
      <c r="P31" s="19">
        <f t="shared" si="36"/>
        <v>13</v>
      </c>
      <c r="Q31" s="82">
        <v>0</v>
      </c>
      <c r="R31" s="9">
        <f t="shared" si="34"/>
        <v>13</v>
      </c>
      <c r="S31" s="9">
        <f t="shared" si="30"/>
        <v>13</v>
      </c>
      <c r="T31" s="9">
        <f t="shared" si="31"/>
        <v>624</v>
      </c>
      <c r="U31" s="12">
        <f t="shared" si="35"/>
        <v>0.24074074074074073</v>
      </c>
      <c r="W31" s="102">
        <f t="shared" si="7"/>
        <v>54</v>
      </c>
      <c r="X31" s="103">
        <f t="shared" si="8"/>
        <v>45</v>
      </c>
      <c r="Y31" s="103">
        <f t="shared" si="9"/>
        <v>9</v>
      </c>
      <c r="Z31" s="103">
        <f t="shared" si="10"/>
        <v>4</v>
      </c>
      <c r="AA31" s="104">
        <f t="shared" si="11"/>
        <v>13</v>
      </c>
    </row>
    <row r="32" spans="1:28" ht="20.25" customHeight="1" x14ac:dyDescent="0.35">
      <c r="A32" s="293"/>
      <c r="B32" s="296"/>
      <c r="C32" s="35" t="s">
        <v>54</v>
      </c>
      <c r="D32" s="10">
        <v>35</v>
      </c>
      <c r="E32" s="31" t="s">
        <v>18</v>
      </c>
      <c r="F32" s="49">
        <v>0.08</v>
      </c>
      <c r="G32" s="11">
        <v>1</v>
      </c>
      <c r="H32" s="73">
        <f>+F32*B27</f>
        <v>45.04</v>
      </c>
      <c r="I32" s="68">
        <v>48.5</v>
      </c>
      <c r="J32" s="13">
        <f t="shared" si="29"/>
        <v>3.4600000000000009</v>
      </c>
      <c r="K32" s="76">
        <v>45</v>
      </c>
      <c r="L32" s="9">
        <f t="shared" si="32"/>
        <v>3.5</v>
      </c>
      <c r="M32" s="13">
        <v>4</v>
      </c>
      <c r="N32" s="23">
        <f t="shared" si="33"/>
        <v>41</v>
      </c>
      <c r="O32" s="42">
        <f>+N32/B27</f>
        <v>7.2824156305506219E-2</v>
      </c>
      <c r="P32" s="19">
        <f t="shared" si="36"/>
        <v>7.5</v>
      </c>
      <c r="Q32" s="82">
        <v>0</v>
      </c>
      <c r="R32" s="9">
        <f t="shared" si="34"/>
        <v>7.5</v>
      </c>
      <c r="S32" s="9">
        <f t="shared" si="30"/>
        <v>7.5</v>
      </c>
      <c r="T32" s="9">
        <f t="shared" si="31"/>
        <v>262.5</v>
      </c>
      <c r="U32" s="12">
        <f t="shared" si="35"/>
        <v>0.15463917525773196</v>
      </c>
      <c r="W32" s="102">
        <f t="shared" si="7"/>
        <v>48.5</v>
      </c>
      <c r="X32" s="103">
        <f t="shared" si="8"/>
        <v>45</v>
      </c>
      <c r="Y32" s="103">
        <f t="shared" si="9"/>
        <v>3.5</v>
      </c>
      <c r="Z32" s="103">
        <f t="shared" si="10"/>
        <v>4</v>
      </c>
      <c r="AA32" s="104">
        <f t="shared" si="11"/>
        <v>7.5</v>
      </c>
    </row>
    <row r="33" spans="1:28" ht="20.25" customHeight="1" x14ac:dyDescent="0.35">
      <c r="A33" s="293"/>
      <c r="B33" s="296"/>
      <c r="C33" s="35" t="s">
        <v>33</v>
      </c>
      <c r="D33" s="10">
        <v>50</v>
      </c>
      <c r="E33" s="31" t="s">
        <v>17</v>
      </c>
      <c r="F33" s="49">
        <v>0.03</v>
      </c>
      <c r="G33" s="11">
        <v>1</v>
      </c>
      <c r="H33" s="72">
        <f>+F33*B27</f>
        <v>16.89</v>
      </c>
      <c r="I33" s="68">
        <v>20.5</v>
      </c>
      <c r="J33" s="13">
        <f t="shared" si="29"/>
        <v>3.6099999999999994</v>
      </c>
      <c r="K33" s="76">
        <v>16.899999999999999</v>
      </c>
      <c r="L33" s="9">
        <f t="shared" si="32"/>
        <v>3.6000000000000014</v>
      </c>
      <c r="M33" s="13">
        <v>1.5</v>
      </c>
      <c r="N33" s="23">
        <f t="shared" si="33"/>
        <v>15.399999999999999</v>
      </c>
      <c r="O33" s="42">
        <f>+N33/B27</f>
        <v>2.7353463587921845E-2</v>
      </c>
      <c r="P33" s="19">
        <f t="shared" si="36"/>
        <v>5.1000000000000014</v>
      </c>
      <c r="Q33" s="82">
        <v>0</v>
      </c>
      <c r="R33" s="9">
        <f t="shared" si="34"/>
        <v>5.1000000000000014</v>
      </c>
      <c r="S33" s="9">
        <f t="shared" si="30"/>
        <v>5.1000000000000014</v>
      </c>
      <c r="T33" s="9">
        <f t="shared" si="31"/>
        <v>255.00000000000006</v>
      </c>
      <c r="U33" s="12">
        <f t="shared" si="35"/>
        <v>0.24878048780487813</v>
      </c>
      <c r="W33" s="102">
        <f t="shared" si="7"/>
        <v>20.5</v>
      </c>
      <c r="X33" s="103">
        <f t="shared" si="8"/>
        <v>16.899999999999999</v>
      </c>
      <c r="Y33" s="103">
        <f t="shared" si="9"/>
        <v>3.6000000000000014</v>
      </c>
      <c r="Z33" s="103">
        <f t="shared" si="10"/>
        <v>1.5</v>
      </c>
      <c r="AA33" s="104">
        <f t="shared" si="11"/>
        <v>5.1000000000000014</v>
      </c>
    </row>
    <row r="34" spans="1:28" ht="20.25" customHeight="1" x14ac:dyDescent="0.35">
      <c r="A34" s="293"/>
      <c r="B34" s="296"/>
      <c r="C34" s="35" t="s">
        <v>34</v>
      </c>
      <c r="D34" s="31">
        <v>70</v>
      </c>
      <c r="E34" s="31" t="s">
        <v>17</v>
      </c>
      <c r="F34" s="11">
        <v>0.1</v>
      </c>
      <c r="G34" s="11">
        <v>1</v>
      </c>
      <c r="H34" s="72">
        <f>+F34*B27</f>
        <v>56.300000000000004</v>
      </c>
      <c r="I34" s="68">
        <v>56.3</v>
      </c>
      <c r="J34" s="13">
        <f t="shared" si="29"/>
        <v>0</v>
      </c>
      <c r="K34" s="76">
        <v>56.3</v>
      </c>
      <c r="L34" s="9">
        <f t="shared" si="32"/>
        <v>0</v>
      </c>
      <c r="M34" s="13">
        <v>0</v>
      </c>
      <c r="N34" s="23">
        <f t="shared" si="33"/>
        <v>56.3</v>
      </c>
      <c r="O34" s="42">
        <f>+N34/B27</f>
        <v>9.9999999999999992E-2</v>
      </c>
      <c r="P34" s="19">
        <f t="shared" si="36"/>
        <v>0</v>
      </c>
      <c r="Q34" s="82">
        <v>0</v>
      </c>
      <c r="R34" s="9">
        <f t="shared" si="34"/>
        <v>0</v>
      </c>
      <c r="S34" s="9">
        <f t="shared" si="30"/>
        <v>0</v>
      </c>
      <c r="T34" s="9">
        <f t="shared" si="31"/>
        <v>0</v>
      </c>
      <c r="U34" s="12">
        <f t="shared" si="35"/>
        <v>0</v>
      </c>
      <c r="W34" s="102">
        <f t="shared" si="7"/>
        <v>56.3</v>
      </c>
      <c r="X34" s="103">
        <f t="shared" si="8"/>
        <v>56.3</v>
      </c>
      <c r="Y34" s="103">
        <f t="shared" si="9"/>
        <v>0</v>
      </c>
      <c r="Z34" s="103">
        <f t="shared" si="10"/>
        <v>0</v>
      </c>
      <c r="AA34" s="104">
        <f t="shared" si="11"/>
        <v>0</v>
      </c>
    </row>
    <row r="35" spans="1:28" ht="20.25" customHeight="1" x14ac:dyDescent="0.35">
      <c r="A35" s="294"/>
      <c r="B35" s="297"/>
      <c r="C35" s="40" t="s">
        <v>35</v>
      </c>
      <c r="D35" s="44">
        <v>2</v>
      </c>
      <c r="E35" s="44" t="s">
        <v>16</v>
      </c>
      <c r="F35" s="53">
        <v>2</v>
      </c>
      <c r="G35" s="45">
        <v>0.04</v>
      </c>
      <c r="H35" s="72">
        <f>+F35*B27</f>
        <v>1126</v>
      </c>
      <c r="I35" s="68">
        <v>1153</v>
      </c>
      <c r="J35" s="13">
        <f t="shared" si="29"/>
        <v>27</v>
      </c>
      <c r="K35" s="76">
        <v>1126</v>
      </c>
      <c r="L35" s="9">
        <f t="shared" si="32"/>
        <v>27</v>
      </c>
      <c r="M35" s="13">
        <v>15</v>
      </c>
      <c r="N35" s="33">
        <f t="shared" si="33"/>
        <v>1111</v>
      </c>
      <c r="O35" s="42">
        <f>+N35/B27</f>
        <v>1.9733570159857905</v>
      </c>
      <c r="P35" s="19">
        <f t="shared" si="36"/>
        <v>42</v>
      </c>
      <c r="Q35" s="82">
        <v>0</v>
      </c>
      <c r="R35" s="9">
        <f t="shared" si="34"/>
        <v>42</v>
      </c>
      <c r="S35" s="9">
        <f t="shared" si="30"/>
        <v>1.68</v>
      </c>
      <c r="T35" s="9">
        <f t="shared" si="31"/>
        <v>84</v>
      </c>
      <c r="U35" s="12">
        <f t="shared" si="35"/>
        <v>3.6426712922810058E-2</v>
      </c>
      <c r="W35" s="105">
        <f t="shared" si="7"/>
        <v>46.12</v>
      </c>
      <c r="X35" s="106">
        <f t="shared" si="8"/>
        <v>45.04</v>
      </c>
      <c r="Y35" s="106">
        <f t="shared" si="9"/>
        <v>1.08</v>
      </c>
      <c r="Z35" s="106">
        <f t="shared" si="10"/>
        <v>0.6</v>
      </c>
      <c r="AA35" s="107">
        <f t="shared" si="11"/>
        <v>1.68</v>
      </c>
    </row>
    <row r="36" spans="1:28" ht="23.25" customHeight="1" thickBot="1" x14ac:dyDescent="0.4">
      <c r="A36" s="27"/>
      <c r="B36" s="57"/>
      <c r="C36" s="29"/>
      <c r="D36" s="15"/>
      <c r="E36" s="15"/>
      <c r="F36" s="15"/>
      <c r="G36" s="15"/>
      <c r="H36" s="14"/>
      <c r="I36" s="15"/>
      <c r="J36" s="16"/>
      <c r="K36" s="14"/>
      <c r="L36" s="15"/>
      <c r="M36" s="16"/>
      <c r="N36" s="14"/>
      <c r="O36" s="16"/>
      <c r="P36" s="20"/>
      <c r="Q36" s="15"/>
      <c r="R36" s="15"/>
      <c r="S36" s="56">
        <f>SUM(S27:S35)</f>
        <v>66.28000000000003</v>
      </c>
      <c r="T36" s="56">
        <f>SUM(T27:T35)</f>
        <v>3465.0000000000005</v>
      </c>
      <c r="U36" s="16"/>
      <c r="W36" s="122">
        <f>SUM(W27:W35)</f>
        <v>639.41999999999996</v>
      </c>
      <c r="X36" s="109">
        <f t="shared" ref="X36:AA36" si="37">SUM(X27:X35)</f>
        <v>590.7399999999999</v>
      </c>
      <c r="Y36" s="109">
        <f t="shared" si="37"/>
        <v>48.680000000000014</v>
      </c>
      <c r="Z36" s="110">
        <f t="shared" si="37"/>
        <v>46.6</v>
      </c>
      <c r="AA36" s="114">
        <f t="shared" si="37"/>
        <v>66.28000000000003</v>
      </c>
      <c r="AB36" s="94"/>
    </row>
    <row r="37" spans="1:28" ht="31.5" customHeight="1" thickBot="1" x14ac:dyDescent="0.4">
      <c r="A37" s="58" t="s">
        <v>42</v>
      </c>
      <c r="B37" s="32">
        <f>+B4+B12+B22+B27</f>
        <v>4713</v>
      </c>
      <c r="C37" s="29"/>
      <c r="D37" s="15"/>
      <c r="E37" s="15"/>
      <c r="F37" s="15"/>
      <c r="G37" s="15"/>
      <c r="H37" s="14"/>
      <c r="I37" s="15"/>
      <c r="J37" s="16"/>
      <c r="K37" s="14"/>
      <c r="L37" s="15"/>
      <c r="M37" s="16"/>
      <c r="N37" s="14"/>
      <c r="O37" s="16"/>
      <c r="P37" s="20"/>
      <c r="Q37" s="15"/>
      <c r="R37" s="17"/>
      <c r="S37" s="85">
        <f>+S36+S26+S21+S11</f>
        <v>268.12</v>
      </c>
      <c r="T37" s="85">
        <f>+T36+T26+T21+T11</f>
        <v>12864</v>
      </c>
      <c r="U37" s="62"/>
      <c r="W37" s="108">
        <f>+W11+W21+W26+W36</f>
        <v>3424.645</v>
      </c>
      <c r="X37" s="119">
        <f t="shared" ref="X37:AA37" si="38">+X11+X21+X26+X36</f>
        <v>3306.85</v>
      </c>
      <c r="Y37" s="119">
        <f t="shared" si="38"/>
        <v>117.79500000000002</v>
      </c>
      <c r="Z37" s="121">
        <f t="shared" si="38"/>
        <v>234.75</v>
      </c>
      <c r="AA37" s="120">
        <f t="shared" si="38"/>
        <v>268.12</v>
      </c>
      <c r="AB37" s="94"/>
    </row>
    <row r="38" spans="1:28" x14ac:dyDescent="0.35">
      <c r="B38" s="59"/>
      <c r="Y38" s="63"/>
    </row>
    <row r="39" spans="1:28" ht="15" thickBot="1" x14ac:dyDescent="0.4">
      <c r="W39" s="63"/>
      <c r="X39" s="63"/>
      <c r="Y39" s="63"/>
      <c r="Z39" s="63"/>
      <c r="AA39" s="63"/>
    </row>
    <row r="40" spans="1:28" ht="16" thickBot="1" x14ac:dyDescent="0.4">
      <c r="A40" s="322" t="s">
        <v>45</v>
      </c>
      <c r="B40" s="323"/>
      <c r="C40" s="323"/>
      <c r="D40" s="323"/>
      <c r="E40" s="323"/>
      <c r="F40" s="324"/>
    </row>
    <row r="41" spans="1:28" ht="30.75" customHeight="1" x14ac:dyDescent="0.35">
      <c r="A41" s="7" t="s">
        <v>6</v>
      </c>
      <c r="B41" s="8" t="s">
        <v>7</v>
      </c>
      <c r="C41" s="8" t="s">
        <v>53</v>
      </c>
      <c r="D41" s="60" t="s">
        <v>52</v>
      </c>
      <c r="E41" s="60" t="s">
        <v>57</v>
      </c>
      <c r="F41" s="90" t="s">
        <v>46</v>
      </c>
      <c r="O41" s="129" t="s">
        <v>60</v>
      </c>
      <c r="P41" s="130" t="s">
        <v>59</v>
      </c>
      <c r="X41" s="63"/>
    </row>
    <row r="42" spans="1:28" ht="25.5" customHeight="1" x14ac:dyDescent="0.35">
      <c r="A42" s="91" t="s">
        <v>47</v>
      </c>
      <c r="B42" s="92">
        <f>+B4</f>
        <v>1340</v>
      </c>
      <c r="C42" s="99">
        <f>+W11</f>
        <v>1031.25</v>
      </c>
      <c r="D42" s="99">
        <f>+AA11</f>
        <v>84.5</v>
      </c>
      <c r="E42" s="95">
        <f>+D42/B42</f>
        <v>6.3059701492537312E-2</v>
      </c>
      <c r="F42" s="12">
        <f>+D42/C42</f>
        <v>8.1939393939393937E-2</v>
      </c>
      <c r="O42" s="72">
        <f>+X11</f>
        <v>1005</v>
      </c>
      <c r="P42" s="65">
        <f>+Z11</f>
        <v>59.75</v>
      </c>
    </row>
    <row r="43" spans="1:28" ht="25.5" customHeight="1" x14ac:dyDescent="0.35">
      <c r="A43" s="91" t="s">
        <v>48</v>
      </c>
      <c r="B43" s="92">
        <f>+B12</f>
        <v>1400</v>
      </c>
      <c r="C43" s="92">
        <f>+W21</f>
        <v>1507.54</v>
      </c>
      <c r="D43" s="99">
        <f>+AA21</f>
        <v>115.14</v>
      </c>
      <c r="E43" s="95">
        <f>+D43/B43</f>
        <v>8.2242857142857145E-2</v>
      </c>
      <c r="F43" s="12">
        <f t="shared" ref="F43:F45" si="39">+D43/C43</f>
        <v>7.6376082890006233E-2</v>
      </c>
      <c r="O43" s="72">
        <f>+X21</f>
        <v>1470</v>
      </c>
      <c r="P43" s="65">
        <f>+Z21</f>
        <v>128.4</v>
      </c>
      <c r="Q43" s="133"/>
      <c r="R43" s="134"/>
    </row>
    <row r="44" spans="1:28" ht="25.5" customHeight="1" x14ac:dyDescent="0.35">
      <c r="A44" s="91" t="s">
        <v>49</v>
      </c>
      <c r="B44" s="92">
        <f>+B22</f>
        <v>1410</v>
      </c>
      <c r="C44" s="92">
        <f>+W26</f>
        <v>246.435</v>
      </c>
      <c r="D44" s="99">
        <f>+AA26</f>
        <v>2.2000000000000002</v>
      </c>
      <c r="E44" s="95">
        <f>+D44/B44</f>
        <v>1.5602836879432625E-3</v>
      </c>
      <c r="F44" s="12">
        <f t="shared" si="39"/>
        <v>8.9273033457098229E-3</v>
      </c>
      <c r="O44" s="72">
        <f>+X26</f>
        <v>241.11</v>
      </c>
      <c r="P44" s="65">
        <f>+Z26</f>
        <v>0</v>
      </c>
    </row>
    <row r="45" spans="1:28" ht="25.5" customHeight="1" x14ac:dyDescent="0.35">
      <c r="A45" s="91" t="s">
        <v>50</v>
      </c>
      <c r="B45" s="92">
        <f>+B27</f>
        <v>563</v>
      </c>
      <c r="C45" s="99">
        <f>+W36</f>
        <v>639.41999999999996</v>
      </c>
      <c r="D45" s="99">
        <f>+AA36</f>
        <v>66.28000000000003</v>
      </c>
      <c r="E45" s="95">
        <f>+D45/B45</f>
        <v>0.11772646536412083</v>
      </c>
      <c r="F45" s="12">
        <f t="shared" si="39"/>
        <v>0.10365643864752437</v>
      </c>
      <c r="O45" s="72">
        <f>+X36</f>
        <v>590.7399999999999</v>
      </c>
      <c r="P45" s="65">
        <f>+Z36</f>
        <v>46.6</v>
      </c>
    </row>
    <row r="46" spans="1:28" ht="27" customHeight="1" thickBot="1" x14ac:dyDescent="0.4">
      <c r="A46" s="93" t="s">
        <v>51</v>
      </c>
      <c r="B46" s="96">
        <f>SUM(B42:B45)</f>
        <v>4713</v>
      </c>
      <c r="C46" s="96">
        <f>SUM(C42:C45)</f>
        <v>3424.645</v>
      </c>
      <c r="D46" s="100">
        <f>SUM(D42:D45)</f>
        <v>268.12</v>
      </c>
      <c r="E46" s="97">
        <f>+D46/B46</f>
        <v>5.6889454699766605E-2</v>
      </c>
      <c r="F46" s="101">
        <f>+D46/B46</f>
        <v>5.6889454699766605E-2</v>
      </c>
      <c r="G46" s="98"/>
      <c r="O46" s="131">
        <f>SUM(O42:O45)</f>
        <v>3306.85</v>
      </c>
      <c r="P46" s="132">
        <f>SUM(P42:P45)</f>
        <v>234.75</v>
      </c>
    </row>
    <row r="47" spans="1:28" x14ac:dyDescent="0.35">
      <c r="F47" s="59"/>
    </row>
    <row r="48" spans="1:28" x14ac:dyDescent="0.35">
      <c r="B48">
        <v>410</v>
      </c>
    </row>
    <row r="49" spans="2:2" x14ac:dyDescent="0.35">
      <c r="B49">
        <f>+B46+B48</f>
        <v>5123</v>
      </c>
    </row>
  </sheetData>
  <mergeCells count="16">
    <mergeCell ref="A1:F1"/>
    <mergeCell ref="A2:G2"/>
    <mergeCell ref="H2:J2"/>
    <mergeCell ref="K2:M2"/>
    <mergeCell ref="N2:O2"/>
    <mergeCell ref="A27:A35"/>
    <mergeCell ref="B27:B35"/>
    <mergeCell ref="A40:F40"/>
    <mergeCell ref="W2:AA2"/>
    <mergeCell ref="A4:A10"/>
    <mergeCell ref="B4:B10"/>
    <mergeCell ref="A12:A20"/>
    <mergeCell ref="B12:B20"/>
    <mergeCell ref="A22:A25"/>
    <mergeCell ref="B22:B25"/>
    <mergeCell ref="P2:U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DDD86-B595-4576-9690-CF28B7A123A2}">
  <dimension ref="A1:AB49"/>
  <sheetViews>
    <sheetView workbookViewId="0">
      <pane xSplit="7" ySplit="3" topLeftCell="O37" activePane="bottomRight" state="frozen"/>
      <selection pane="topRight" activeCell="H1" sqref="H1"/>
      <selection pane="bottomLeft" activeCell="A4" sqref="A4"/>
      <selection pane="bottomRight" activeCell="F46" sqref="F46"/>
    </sheetView>
  </sheetViews>
  <sheetFormatPr defaultRowHeight="14.5" x14ac:dyDescent="0.35"/>
  <cols>
    <col min="1" max="1" width="11" customWidth="1"/>
    <col min="2" max="2" width="7.81640625" customWidth="1"/>
    <col min="3" max="3" width="20" customWidth="1"/>
    <col min="4" max="4" width="9.1796875" customWidth="1"/>
    <col min="5" max="5" width="9.26953125" customWidth="1"/>
    <col min="6" max="6" width="10" customWidth="1"/>
    <col min="7" max="7" width="8.1796875" customWidth="1"/>
    <col min="8" max="8" width="12.54296875" customWidth="1"/>
    <col min="9" max="9" width="12.453125" customWidth="1"/>
    <col min="10" max="10" width="11" customWidth="1"/>
    <col min="11" max="11" width="9.453125" customWidth="1"/>
    <col min="12" max="12" width="11" customWidth="1"/>
    <col min="13" max="13" width="13.54296875" customWidth="1"/>
    <col min="14" max="14" width="14.81640625" customWidth="1"/>
    <col min="15" max="15" width="16" customWidth="1"/>
    <col min="16" max="16" width="11.26953125" customWidth="1"/>
    <col min="17" max="18" width="9.54296875" customWidth="1"/>
    <col min="19" max="20" width="10.81640625" customWidth="1"/>
    <col min="21" max="21" width="12.7265625" customWidth="1"/>
    <col min="22" max="22" width="8.7265625" customWidth="1"/>
    <col min="23" max="23" width="11.453125" customWidth="1"/>
    <col min="24" max="24" width="11" customWidth="1"/>
  </cols>
  <sheetData>
    <row r="1" spans="1:28" ht="22.5" customHeight="1" thickBot="1" x14ac:dyDescent="0.4">
      <c r="A1" s="308" t="s">
        <v>36</v>
      </c>
      <c r="B1" s="309"/>
      <c r="C1" s="309"/>
      <c r="D1" s="309"/>
      <c r="E1" s="309"/>
      <c r="F1" s="310"/>
    </row>
    <row r="2" spans="1:28" ht="22.5" customHeight="1" thickBot="1" x14ac:dyDescent="0.4">
      <c r="A2" s="311" t="s">
        <v>120</v>
      </c>
      <c r="B2" s="312"/>
      <c r="C2" s="312"/>
      <c r="D2" s="312"/>
      <c r="E2" s="312"/>
      <c r="F2" s="312"/>
      <c r="G2" s="313"/>
      <c r="H2" s="314" t="s">
        <v>22</v>
      </c>
      <c r="I2" s="315"/>
      <c r="J2" s="316"/>
      <c r="K2" s="317" t="s">
        <v>23</v>
      </c>
      <c r="L2" s="318"/>
      <c r="M2" s="319"/>
      <c r="N2" s="320" t="s">
        <v>24</v>
      </c>
      <c r="O2" s="321"/>
      <c r="P2" s="305" t="s">
        <v>25</v>
      </c>
      <c r="Q2" s="306"/>
      <c r="R2" s="306"/>
      <c r="S2" s="306"/>
      <c r="T2" s="306"/>
      <c r="U2" s="307"/>
      <c r="W2" s="325" t="s">
        <v>43</v>
      </c>
      <c r="X2" s="326"/>
      <c r="Y2" s="326"/>
      <c r="Z2" s="326"/>
      <c r="AA2" s="327"/>
    </row>
    <row r="3" spans="1:28" ht="58.5" thickBot="1" x14ac:dyDescent="0.4">
      <c r="A3" s="39" t="s">
        <v>6</v>
      </c>
      <c r="B3" s="38" t="s">
        <v>7</v>
      </c>
      <c r="C3" s="38" t="s">
        <v>0</v>
      </c>
      <c r="D3" s="37" t="s">
        <v>15</v>
      </c>
      <c r="E3" s="38" t="s">
        <v>1</v>
      </c>
      <c r="F3" s="36" t="s">
        <v>27</v>
      </c>
      <c r="G3" s="37" t="s">
        <v>19</v>
      </c>
      <c r="H3" s="25" t="s">
        <v>4</v>
      </c>
      <c r="I3" s="89" t="s">
        <v>44</v>
      </c>
      <c r="J3" s="26" t="s">
        <v>29</v>
      </c>
      <c r="K3" s="88" t="s">
        <v>3</v>
      </c>
      <c r="L3" s="1" t="s">
        <v>28</v>
      </c>
      <c r="M3" s="87" t="s">
        <v>5</v>
      </c>
      <c r="N3" s="25" t="s">
        <v>20</v>
      </c>
      <c r="O3" s="26" t="s">
        <v>21</v>
      </c>
      <c r="P3" s="24" t="s">
        <v>8</v>
      </c>
      <c r="Q3" s="86" t="s">
        <v>9</v>
      </c>
      <c r="R3" s="2" t="s">
        <v>10</v>
      </c>
      <c r="S3" s="1" t="s">
        <v>26</v>
      </c>
      <c r="T3" s="1" t="s">
        <v>11</v>
      </c>
      <c r="U3" s="1" t="s">
        <v>30</v>
      </c>
      <c r="W3" s="43" t="s">
        <v>2</v>
      </c>
      <c r="X3" s="60" t="s">
        <v>3</v>
      </c>
      <c r="Y3" s="60" t="s">
        <v>28</v>
      </c>
      <c r="Z3" s="60" t="s">
        <v>5</v>
      </c>
      <c r="AA3" s="61" t="s">
        <v>26</v>
      </c>
    </row>
    <row r="4" spans="1:28" ht="20.25" customHeight="1" x14ac:dyDescent="0.35">
      <c r="A4" s="301" t="s">
        <v>37</v>
      </c>
      <c r="B4" s="303">
        <v>1503</v>
      </c>
      <c r="C4" s="34" t="s">
        <v>55</v>
      </c>
      <c r="D4" s="4">
        <v>2</v>
      </c>
      <c r="E4" s="30" t="s">
        <v>16</v>
      </c>
      <c r="F4" s="47">
        <v>2</v>
      </c>
      <c r="G4" s="5">
        <v>0.05</v>
      </c>
      <c r="H4" s="71">
        <f>+F4*B4</f>
        <v>3006</v>
      </c>
      <c r="I4" s="67">
        <v>3035</v>
      </c>
      <c r="J4" s="22">
        <f t="shared" ref="J4:J10" si="0">I4-H4</f>
        <v>29</v>
      </c>
      <c r="K4" s="75">
        <v>3006</v>
      </c>
      <c r="L4" s="127">
        <f>+I4-K4</f>
        <v>29</v>
      </c>
      <c r="M4" s="78">
        <v>65</v>
      </c>
      <c r="N4" s="128">
        <f>+K4-M4</f>
        <v>2941</v>
      </c>
      <c r="O4" s="64">
        <f>+N4/B4</f>
        <v>1.9567531603459747</v>
      </c>
      <c r="P4" s="18">
        <f>+L4+M4</f>
        <v>94</v>
      </c>
      <c r="Q4" s="81">
        <v>30</v>
      </c>
      <c r="R4" s="3">
        <f t="shared" ref="R4:R10" si="1">+P4-Q4</f>
        <v>64</v>
      </c>
      <c r="S4" s="3">
        <f t="shared" ref="S4:S10" si="2">+R4*G4</f>
        <v>3.2</v>
      </c>
      <c r="T4" s="3">
        <f t="shared" ref="T4:T10" si="3">+R4*D4</f>
        <v>128</v>
      </c>
      <c r="U4" s="6">
        <f>+R4/I4</f>
        <v>2.1087314662273475E-2</v>
      </c>
      <c r="W4" s="102">
        <f>+I4*G4</f>
        <v>151.75</v>
      </c>
      <c r="X4" s="103">
        <f>+K4*G4</f>
        <v>150.30000000000001</v>
      </c>
      <c r="Y4" s="103">
        <f>+L4*G4</f>
        <v>1.4500000000000002</v>
      </c>
      <c r="Z4" s="103">
        <f>+M4*G4</f>
        <v>3.25</v>
      </c>
      <c r="AA4" s="104">
        <f>+R4*G4</f>
        <v>3.2</v>
      </c>
    </row>
    <row r="5" spans="1:28" ht="20.25" customHeight="1" x14ac:dyDescent="0.35">
      <c r="A5" s="302"/>
      <c r="B5" s="304"/>
      <c r="C5" s="35" t="s">
        <v>121</v>
      </c>
      <c r="D5" s="10">
        <v>4</v>
      </c>
      <c r="E5" s="31" t="s">
        <v>16</v>
      </c>
      <c r="F5" s="48">
        <v>2</v>
      </c>
      <c r="G5" s="11">
        <v>0.05</v>
      </c>
      <c r="H5" s="70">
        <f>+F5*B4</f>
        <v>3006</v>
      </c>
      <c r="I5" s="68">
        <v>3022</v>
      </c>
      <c r="J5" s="13">
        <f t="shared" si="0"/>
        <v>16</v>
      </c>
      <c r="K5" s="76">
        <v>3006</v>
      </c>
      <c r="L5" s="9">
        <f t="shared" ref="L5:L10" si="4">+I5-K5</f>
        <v>16</v>
      </c>
      <c r="M5" s="79">
        <v>30</v>
      </c>
      <c r="N5" s="23">
        <f t="shared" ref="N5:N10" si="5">+K5-M5</f>
        <v>2976</v>
      </c>
      <c r="O5" s="65">
        <f>+N5/B4</f>
        <v>1.9800399201596806</v>
      </c>
      <c r="P5" s="19">
        <f>+L5+M5</f>
        <v>46</v>
      </c>
      <c r="Q5" s="82">
        <v>0</v>
      </c>
      <c r="R5" s="9">
        <f t="shared" si="1"/>
        <v>46</v>
      </c>
      <c r="S5" s="9">
        <f t="shared" si="2"/>
        <v>2.3000000000000003</v>
      </c>
      <c r="T5" s="9">
        <f t="shared" si="3"/>
        <v>184</v>
      </c>
      <c r="U5" s="12">
        <f t="shared" ref="U5:U9" si="6">+R5/I5</f>
        <v>1.5221707478491065E-2</v>
      </c>
      <c r="W5" s="102">
        <f t="shared" ref="W5:W35" si="7">+I5*G5</f>
        <v>151.1</v>
      </c>
      <c r="X5" s="103">
        <f t="shared" ref="X5:X35" si="8">+K5*G5</f>
        <v>150.30000000000001</v>
      </c>
      <c r="Y5" s="103">
        <f t="shared" ref="Y5:Y35" si="9">+L5*G5</f>
        <v>0.8</v>
      </c>
      <c r="Z5" s="103">
        <f t="shared" ref="Z5:Z35" si="10">+M5*G5</f>
        <v>1.5</v>
      </c>
      <c r="AA5" s="104">
        <f t="shared" ref="AA5:AA35" si="11">+R5*G5</f>
        <v>2.3000000000000003</v>
      </c>
    </row>
    <row r="6" spans="1:28" ht="20.25" customHeight="1" x14ac:dyDescent="0.35">
      <c r="A6" s="302"/>
      <c r="B6" s="304"/>
      <c r="C6" s="35" t="s">
        <v>122</v>
      </c>
      <c r="D6" s="10">
        <v>40</v>
      </c>
      <c r="E6" s="31" t="s">
        <v>17</v>
      </c>
      <c r="F6" s="49">
        <v>0.15</v>
      </c>
      <c r="G6" s="11">
        <v>1</v>
      </c>
      <c r="H6" s="72">
        <f>+F6*B4</f>
        <v>225.45</v>
      </c>
      <c r="I6" s="68">
        <v>230</v>
      </c>
      <c r="J6" s="13">
        <f t="shared" si="0"/>
        <v>4.5500000000000114</v>
      </c>
      <c r="K6" s="76">
        <v>225.5</v>
      </c>
      <c r="L6" s="9">
        <f t="shared" si="4"/>
        <v>4.5</v>
      </c>
      <c r="M6" s="79">
        <v>15.5</v>
      </c>
      <c r="N6" s="33">
        <f t="shared" si="5"/>
        <v>210</v>
      </c>
      <c r="O6" s="42">
        <f>+N6/B4</f>
        <v>0.13972055888223553</v>
      </c>
      <c r="P6" s="19">
        <f>+L6+M6</f>
        <v>20</v>
      </c>
      <c r="Q6" s="82">
        <v>0</v>
      </c>
      <c r="R6" s="9">
        <f t="shared" si="1"/>
        <v>20</v>
      </c>
      <c r="S6" s="9">
        <f t="shared" si="2"/>
        <v>20</v>
      </c>
      <c r="T6" s="9">
        <f t="shared" si="3"/>
        <v>800</v>
      </c>
      <c r="U6" s="12">
        <f t="shared" si="6"/>
        <v>8.6956521739130432E-2</v>
      </c>
      <c r="W6" s="102">
        <f t="shared" si="7"/>
        <v>230</v>
      </c>
      <c r="X6" s="103">
        <f t="shared" si="8"/>
        <v>225.5</v>
      </c>
      <c r="Y6" s="103">
        <f t="shared" si="9"/>
        <v>4.5</v>
      </c>
      <c r="Z6" s="103">
        <f t="shared" si="10"/>
        <v>15.5</v>
      </c>
      <c r="AA6" s="104">
        <f t="shared" si="11"/>
        <v>20</v>
      </c>
    </row>
    <row r="7" spans="1:28" ht="20.25" customHeight="1" x14ac:dyDescent="0.35">
      <c r="A7" s="302"/>
      <c r="B7" s="304"/>
      <c r="C7" s="35" t="s">
        <v>12</v>
      </c>
      <c r="D7" s="10">
        <v>45</v>
      </c>
      <c r="E7" s="31" t="s">
        <v>17</v>
      </c>
      <c r="F7" s="49">
        <v>0.1</v>
      </c>
      <c r="G7" s="11">
        <v>1</v>
      </c>
      <c r="H7" s="72">
        <f>+F7*B4</f>
        <v>150.30000000000001</v>
      </c>
      <c r="I7" s="68">
        <v>154.5</v>
      </c>
      <c r="J7" s="13">
        <f t="shared" si="0"/>
        <v>4.1999999999999886</v>
      </c>
      <c r="K7" s="76">
        <v>150.30000000000001</v>
      </c>
      <c r="L7" s="9">
        <f t="shared" si="4"/>
        <v>4.1999999999999886</v>
      </c>
      <c r="M7" s="79">
        <v>12</v>
      </c>
      <c r="N7" s="23">
        <f t="shared" si="5"/>
        <v>138.30000000000001</v>
      </c>
      <c r="O7" s="42">
        <f>+N7/B4</f>
        <v>9.2015968063872258E-2</v>
      </c>
      <c r="P7" s="19">
        <f t="shared" ref="P7:P10" si="12">+L7+M7</f>
        <v>16.199999999999989</v>
      </c>
      <c r="Q7" s="82">
        <v>0</v>
      </c>
      <c r="R7" s="9">
        <f t="shared" si="1"/>
        <v>16.199999999999989</v>
      </c>
      <c r="S7" s="9">
        <f t="shared" si="2"/>
        <v>16.199999999999989</v>
      </c>
      <c r="T7" s="9">
        <f t="shared" si="3"/>
        <v>728.99999999999955</v>
      </c>
      <c r="U7" s="12">
        <f t="shared" si="6"/>
        <v>0.10485436893203876</v>
      </c>
      <c r="W7" s="102">
        <f t="shared" si="7"/>
        <v>154.5</v>
      </c>
      <c r="X7" s="103">
        <f t="shared" si="8"/>
        <v>150.30000000000001</v>
      </c>
      <c r="Y7" s="103">
        <f t="shared" si="9"/>
        <v>4.1999999999999886</v>
      </c>
      <c r="Z7" s="103">
        <f t="shared" si="10"/>
        <v>12</v>
      </c>
      <c r="AA7" s="104">
        <f t="shared" si="11"/>
        <v>16.199999999999989</v>
      </c>
    </row>
    <row r="8" spans="1:28" ht="20.25" customHeight="1" x14ac:dyDescent="0.35">
      <c r="A8" s="302"/>
      <c r="B8" s="304"/>
      <c r="C8" s="35" t="s">
        <v>13</v>
      </c>
      <c r="D8" s="10">
        <v>52</v>
      </c>
      <c r="E8" s="31" t="s">
        <v>17</v>
      </c>
      <c r="F8" s="49">
        <v>0.1</v>
      </c>
      <c r="G8" s="11">
        <v>1</v>
      </c>
      <c r="H8" s="72">
        <f>+F8*B4</f>
        <v>150.30000000000001</v>
      </c>
      <c r="I8" s="68">
        <v>153.19999999999999</v>
      </c>
      <c r="J8" s="13">
        <f t="shared" si="0"/>
        <v>2.8999999999999773</v>
      </c>
      <c r="K8" s="76">
        <v>150.30000000000001</v>
      </c>
      <c r="L8" s="9">
        <f>+I8-K8</f>
        <v>2.8999999999999773</v>
      </c>
      <c r="M8" s="79">
        <v>11</v>
      </c>
      <c r="N8" s="33">
        <f t="shared" si="5"/>
        <v>139.30000000000001</v>
      </c>
      <c r="O8" s="42">
        <f>+N8/B4</f>
        <v>9.2681304058549574E-2</v>
      </c>
      <c r="P8" s="19">
        <f t="shared" si="12"/>
        <v>13.899999999999977</v>
      </c>
      <c r="Q8" s="82">
        <v>0</v>
      </c>
      <c r="R8" s="9">
        <f t="shared" si="1"/>
        <v>13.899999999999977</v>
      </c>
      <c r="S8" s="9">
        <f t="shared" si="2"/>
        <v>13.899999999999977</v>
      </c>
      <c r="T8" s="9">
        <f t="shared" si="3"/>
        <v>722.79999999999882</v>
      </c>
      <c r="U8" s="12">
        <f t="shared" si="6"/>
        <v>9.0731070496083407E-2</v>
      </c>
      <c r="W8" s="102">
        <f t="shared" si="7"/>
        <v>153.19999999999999</v>
      </c>
      <c r="X8" s="103">
        <f t="shared" si="8"/>
        <v>150.30000000000001</v>
      </c>
      <c r="Y8" s="103">
        <f t="shared" si="9"/>
        <v>2.8999999999999773</v>
      </c>
      <c r="Z8" s="103">
        <f t="shared" si="10"/>
        <v>11</v>
      </c>
      <c r="AA8" s="104">
        <f t="shared" si="11"/>
        <v>13.899999999999977</v>
      </c>
    </row>
    <row r="9" spans="1:28" ht="20.25" customHeight="1" x14ac:dyDescent="0.35">
      <c r="A9" s="302"/>
      <c r="B9" s="304"/>
      <c r="C9" s="35" t="s">
        <v>123</v>
      </c>
      <c r="D9" s="10">
        <v>60</v>
      </c>
      <c r="E9" s="31" t="s">
        <v>17</v>
      </c>
      <c r="F9" s="49">
        <v>0.03</v>
      </c>
      <c r="G9" s="11">
        <v>1</v>
      </c>
      <c r="H9" s="73">
        <f>+F9*B4</f>
        <v>45.089999999999996</v>
      </c>
      <c r="I9" s="68">
        <v>47.5</v>
      </c>
      <c r="J9" s="13">
        <f t="shared" si="0"/>
        <v>2.4100000000000037</v>
      </c>
      <c r="K9" s="76">
        <v>45.1</v>
      </c>
      <c r="L9" s="54">
        <f>+I9-K9</f>
        <v>2.3999999999999986</v>
      </c>
      <c r="M9" s="79">
        <v>4</v>
      </c>
      <c r="N9" s="23">
        <f t="shared" si="5"/>
        <v>41.1</v>
      </c>
      <c r="O9" s="42">
        <f>+N9/B4</f>
        <v>2.7345309381237526E-2</v>
      </c>
      <c r="P9" s="19">
        <f t="shared" si="12"/>
        <v>6.3999999999999986</v>
      </c>
      <c r="Q9" s="82">
        <v>6.4</v>
      </c>
      <c r="R9" s="9">
        <f t="shared" si="1"/>
        <v>0</v>
      </c>
      <c r="S9" s="9">
        <f t="shared" si="2"/>
        <v>0</v>
      </c>
      <c r="T9" s="9">
        <f t="shared" si="3"/>
        <v>0</v>
      </c>
      <c r="U9" s="12">
        <f t="shared" si="6"/>
        <v>0</v>
      </c>
      <c r="W9" s="102">
        <f t="shared" si="7"/>
        <v>47.5</v>
      </c>
      <c r="X9" s="103">
        <f t="shared" si="8"/>
        <v>45.1</v>
      </c>
      <c r="Y9" s="103">
        <f t="shared" si="9"/>
        <v>2.3999999999999986</v>
      </c>
      <c r="Z9" s="103">
        <f t="shared" si="10"/>
        <v>4</v>
      </c>
      <c r="AA9" s="104">
        <f t="shared" si="11"/>
        <v>0</v>
      </c>
    </row>
    <row r="10" spans="1:28" ht="20.25" customHeight="1" x14ac:dyDescent="0.35">
      <c r="A10" s="302"/>
      <c r="B10" s="304"/>
      <c r="C10" s="35" t="s">
        <v>14</v>
      </c>
      <c r="D10" s="10">
        <v>60</v>
      </c>
      <c r="E10" s="31" t="s">
        <v>18</v>
      </c>
      <c r="F10" s="49">
        <v>0.1</v>
      </c>
      <c r="G10" s="11">
        <v>1</v>
      </c>
      <c r="H10" s="72">
        <f>+F10*B4</f>
        <v>150.30000000000001</v>
      </c>
      <c r="I10" s="68">
        <v>155</v>
      </c>
      <c r="J10" s="13">
        <f t="shared" si="0"/>
        <v>4.6999999999999886</v>
      </c>
      <c r="K10" s="76">
        <v>150.30000000000001</v>
      </c>
      <c r="L10" s="9">
        <f t="shared" si="4"/>
        <v>4.6999999999999886</v>
      </c>
      <c r="M10" s="79">
        <v>6.3</v>
      </c>
      <c r="N10" s="33">
        <f t="shared" si="5"/>
        <v>144</v>
      </c>
      <c r="O10" s="42">
        <f>+N10/B4</f>
        <v>9.580838323353294E-2</v>
      </c>
      <c r="P10" s="19">
        <f t="shared" si="12"/>
        <v>10.999999999999989</v>
      </c>
      <c r="Q10" s="82">
        <v>0</v>
      </c>
      <c r="R10" s="9">
        <f t="shared" si="1"/>
        <v>10.999999999999989</v>
      </c>
      <c r="S10" s="9">
        <f t="shared" si="2"/>
        <v>10.999999999999989</v>
      </c>
      <c r="T10" s="9">
        <f t="shared" si="3"/>
        <v>659.99999999999932</v>
      </c>
      <c r="U10" s="12">
        <f>+R10/I10</f>
        <v>7.0967741935483802E-2</v>
      </c>
      <c r="W10" s="115">
        <f t="shared" si="7"/>
        <v>155</v>
      </c>
      <c r="X10" s="116">
        <f t="shared" si="8"/>
        <v>150.30000000000001</v>
      </c>
      <c r="Y10" s="116">
        <f t="shared" si="9"/>
        <v>4.6999999999999886</v>
      </c>
      <c r="Z10" s="116">
        <f t="shared" si="10"/>
        <v>6.3</v>
      </c>
      <c r="AA10" s="117">
        <f t="shared" si="11"/>
        <v>10.999999999999989</v>
      </c>
    </row>
    <row r="11" spans="1:28" ht="20.25" customHeight="1" thickBot="1" x14ac:dyDescent="0.4">
      <c r="A11" s="27"/>
      <c r="B11" s="51"/>
      <c r="C11" s="50"/>
      <c r="D11" s="15"/>
      <c r="E11" s="15"/>
      <c r="F11" s="15"/>
      <c r="G11" s="15"/>
      <c r="H11" s="74"/>
      <c r="I11" s="69"/>
      <c r="J11" s="16"/>
      <c r="K11" s="77"/>
      <c r="L11" s="15"/>
      <c r="M11" s="80"/>
      <c r="N11" s="14"/>
      <c r="O11" s="16"/>
      <c r="P11" s="20"/>
      <c r="Q11" s="83"/>
      <c r="R11" s="15"/>
      <c r="S11" s="84">
        <f>SUM(S4:S10)</f>
        <v>66.599999999999952</v>
      </c>
      <c r="T11" s="56">
        <f>SUM(T4:T10)</f>
        <v>3223.7999999999975</v>
      </c>
      <c r="U11" s="16"/>
      <c r="W11" s="118">
        <f>SUM(W4:W10)</f>
        <v>1043.05</v>
      </c>
      <c r="X11" s="109">
        <f t="shared" ref="X11:AA11" si="13">SUM(X4:X10)</f>
        <v>1022.1000000000001</v>
      </c>
      <c r="Y11" s="109">
        <f t="shared" si="13"/>
        <v>20.949999999999953</v>
      </c>
      <c r="Z11" s="110">
        <f t="shared" si="13"/>
        <v>53.55</v>
      </c>
      <c r="AA11" s="114">
        <f t="shared" si="13"/>
        <v>66.599999999999952</v>
      </c>
      <c r="AB11" s="94"/>
    </row>
    <row r="12" spans="1:28" ht="20.25" customHeight="1" x14ac:dyDescent="0.35">
      <c r="A12" s="292" t="s">
        <v>38</v>
      </c>
      <c r="B12" s="295">
        <v>1460</v>
      </c>
      <c r="C12" s="34" t="s">
        <v>31</v>
      </c>
      <c r="D12" s="4">
        <v>20</v>
      </c>
      <c r="E12" s="30" t="s">
        <v>17</v>
      </c>
      <c r="F12" s="52">
        <v>0.4</v>
      </c>
      <c r="G12" s="5">
        <v>1</v>
      </c>
      <c r="H12" s="71">
        <f>+F12*B12</f>
        <v>584</v>
      </c>
      <c r="I12" s="67">
        <v>595</v>
      </c>
      <c r="J12" s="22">
        <f t="shared" ref="J12:J20" si="14">I12-H12</f>
        <v>11</v>
      </c>
      <c r="K12" s="75">
        <v>584</v>
      </c>
      <c r="L12" s="3">
        <f>+I12-K12</f>
        <v>11</v>
      </c>
      <c r="M12" s="78">
        <v>45</v>
      </c>
      <c r="N12" s="21">
        <f>+K12-M12</f>
        <v>539</v>
      </c>
      <c r="O12" s="41">
        <f>+N12/B12</f>
        <v>0.36917808219178083</v>
      </c>
      <c r="P12" s="18">
        <f>+L12+M12</f>
        <v>56</v>
      </c>
      <c r="Q12" s="81">
        <v>40</v>
      </c>
      <c r="R12" s="3">
        <f>+P12-Q12</f>
        <v>16</v>
      </c>
      <c r="S12" s="3">
        <f>+R12*G12</f>
        <v>16</v>
      </c>
      <c r="T12" s="3">
        <f t="shared" ref="T12:T20" si="15">+R12*D12</f>
        <v>320</v>
      </c>
      <c r="U12" s="6">
        <f>+R12/I12</f>
        <v>2.689075630252101E-2</v>
      </c>
      <c r="W12" s="111">
        <f t="shared" si="7"/>
        <v>595</v>
      </c>
      <c r="X12" s="112">
        <f t="shared" si="8"/>
        <v>584</v>
      </c>
      <c r="Y12" s="112">
        <f t="shared" si="9"/>
        <v>11</v>
      </c>
      <c r="Z12" s="112">
        <f t="shared" si="10"/>
        <v>45</v>
      </c>
      <c r="AA12" s="113">
        <f t="shared" si="11"/>
        <v>16</v>
      </c>
    </row>
    <row r="13" spans="1:28" ht="20.25" customHeight="1" x14ac:dyDescent="0.35">
      <c r="A13" s="293"/>
      <c r="B13" s="296"/>
      <c r="C13" s="35" t="s">
        <v>124</v>
      </c>
      <c r="D13" s="10">
        <v>65</v>
      </c>
      <c r="E13" s="31" t="s">
        <v>17</v>
      </c>
      <c r="F13" s="49">
        <v>0.1</v>
      </c>
      <c r="G13" s="11">
        <v>1</v>
      </c>
      <c r="H13" s="70">
        <f>+F13*B12</f>
        <v>146</v>
      </c>
      <c r="I13" s="68">
        <v>150</v>
      </c>
      <c r="J13" s="13">
        <f t="shared" si="14"/>
        <v>4</v>
      </c>
      <c r="K13" s="76">
        <v>146</v>
      </c>
      <c r="L13" s="9">
        <f t="shared" ref="L13:L20" si="16">+I13-K13</f>
        <v>4</v>
      </c>
      <c r="M13" s="79">
        <v>9.5</v>
      </c>
      <c r="N13" s="23">
        <f>+K13-M13</f>
        <v>136.5</v>
      </c>
      <c r="O13" s="42">
        <f>+N13/B12</f>
        <v>9.3493150684931511E-2</v>
      </c>
      <c r="P13" s="19">
        <f>+L13+M13</f>
        <v>13.5</v>
      </c>
      <c r="Q13" s="82">
        <v>0</v>
      </c>
      <c r="R13" s="9">
        <f t="shared" ref="R13:R20" si="17">+P13-Q13</f>
        <v>13.5</v>
      </c>
      <c r="S13" s="9">
        <f>+R13*G13</f>
        <v>13.5</v>
      </c>
      <c r="T13" s="9">
        <f t="shared" si="15"/>
        <v>877.5</v>
      </c>
      <c r="U13" s="12">
        <f t="shared" ref="U13:U20" si="18">+R13/I13</f>
        <v>0.09</v>
      </c>
      <c r="W13" s="102">
        <f t="shared" si="7"/>
        <v>150</v>
      </c>
      <c r="X13" s="103">
        <f t="shared" si="8"/>
        <v>146</v>
      </c>
      <c r="Y13" s="103">
        <f t="shared" si="9"/>
        <v>4</v>
      </c>
      <c r="Z13" s="103">
        <f>+M13*G13</f>
        <v>9.5</v>
      </c>
      <c r="AA13" s="104">
        <f t="shared" si="11"/>
        <v>13.5</v>
      </c>
    </row>
    <row r="14" spans="1:28" ht="20.25" customHeight="1" x14ac:dyDescent="0.35">
      <c r="A14" s="293"/>
      <c r="B14" s="296"/>
      <c r="C14" s="35" t="s">
        <v>97</v>
      </c>
      <c r="D14" s="10">
        <v>130</v>
      </c>
      <c r="E14" s="31" t="s">
        <v>17</v>
      </c>
      <c r="F14" s="49">
        <v>0.05</v>
      </c>
      <c r="G14" s="11">
        <v>1</v>
      </c>
      <c r="H14" s="72">
        <f>+F14*B12</f>
        <v>73</v>
      </c>
      <c r="I14" s="68">
        <v>75.5</v>
      </c>
      <c r="J14" s="13">
        <f t="shared" si="14"/>
        <v>2.5</v>
      </c>
      <c r="K14" s="76">
        <v>73</v>
      </c>
      <c r="L14" s="9">
        <f t="shared" si="16"/>
        <v>2.5</v>
      </c>
      <c r="M14" s="79">
        <v>3.5</v>
      </c>
      <c r="N14" s="33">
        <f>+K14-M14</f>
        <v>69.5</v>
      </c>
      <c r="O14" s="42">
        <f>+N14/B12</f>
        <v>4.7602739726027396E-2</v>
      </c>
      <c r="P14" s="19">
        <f>+L14+M14</f>
        <v>6</v>
      </c>
      <c r="Q14" s="82">
        <v>0</v>
      </c>
      <c r="R14" s="9">
        <f t="shared" si="17"/>
        <v>6</v>
      </c>
      <c r="S14" s="9">
        <f t="shared" ref="S14:S20" si="19">+R14*G14</f>
        <v>6</v>
      </c>
      <c r="T14" s="9">
        <f t="shared" si="15"/>
        <v>780</v>
      </c>
      <c r="U14" s="12">
        <f t="shared" si="18"/>
        <v>7.9470198675496692E-2</v>
      </c>
      <c r="W14" s="102">
        <f t="shared" si="7"/>
        <v>75.5</v>
      </c>
      <c r="X14" s="103">
        <f t="shared" si="8"/>
        <v>73</v>
      </c>
      <c r="Y14" s="103">
        <f t="shared" si="9"/>
        <v>2.5</v>
      </c>
      <c r="Z14" s="103">
        <f>+M14*G14</f>
        <v>3.5</v>
      </c>
      <c r="AA14" s="104">
        <f t="shared" si="11"/>
        <v>6</v>
      </c>
    </row>
    <row r="15" spans="1:28" ht="20.25" customHeight="1" x14ac:dyDescent="0.35">
      <c r="A15" s="293"/>
      <c r="B15" s="296"/>
      <c r="C15" s="35" t="s">
        <v>125</v>
      </c>
      <c r="D15" s="10">
        <v>55</v>
      </c>
      <c r="E15" s="31" t="s">
        <v>17</v>
      </c>
      <c r="F15" s="49">
        <v>0.1</v>
      </c>
      <c r="G15" s="11">
        <v>1</v>
      </c>
      <c r="H15" s="72">
        <f>+F15*B12</f>
        <v>146</v>
      </c>
      <c r="I15" s="68">
        <v>150</v>
      </c>
      <c r="J15" s="13">
        <f t="shared" si="14"/>
        <v>4</v>
      </c>
      <c r="K15" s="76">
        <v>146</v>
      </c>
      <c r="L15" s="9">
        <f t="shared" si="16"/>
        <v>4</v>
      </c>
      <c r="M15" s="79">
        <v>8.5</v>
      </c>
      <c r="N15" s="23">
        <f t="shared" ref="N15:N20" si="20">+K15-M15</f>
        <v>137.5</v>
      </c>
      <c r="O15" s="42">
        <f>+N15/B12</f>
        <v>9.4178082191780824E-2</v>
      </c>
      <c r="P15" s="19">
        <f t="shared" ref="P15:P20" si="21">+L15+M15</f>
        <v>12.5</v>
      </c>
      <c r="Q15" s="82">
        <v>0</v>
      </c>
      <c r="R15" s="9">
        <f t="shared" si="17"/>
        <v>12.5</v>
      </c>
      <c r="S15" s="9">
        <f t="shared" si="19"/>
        <v>12.5</v>
      </c>
      <c r="T15" s="9">
        <f t="shared" si="15"/>
        <v>687.5</v>
      </c>
      <c r="U15" s="12">
        <f t="shared" si="18"/>
        <v>8.3333333333333329E-2</v>
      </c>
      <c r="W15" s="102">
        <f t="shared" si="7"/>
        <v>150</v>
      </c>
      <c r="X15" s="103">
        <f t="shared" si="8"/>
        <v>146</v>
      </c>
      <c r="Y15" s="103">
        <f t="shared" si="9"/>
        <v>4</v>
      </c>
      <c r="Z15" s="103">
        <f t="shared" si="10"/>
        <v>8.5</v>
      </c>
      <c r="AA15" s="104">
        <f t="shared" si="11"/>
        <v>12.5</v>
      </c>
    </row>
    <row r="16" spans="1:28" ht="20.25" customHeight="1" x14ac:dyDescent="0.35">
      <c r="A16" s="293"/>
      <c r="B16" s="296"/>
      <c r="C16" s="35" t="s">
        <v>32</v>
      </c>
      <c r="D16" s="10">
        <v>48</v>
      </c>
      <c r="E16" s="31" t="s">
        <v>18</v>
      </c>
      <c r="F16" s="49">
        <v>0.08</v>
      </c>
      <c r="G16" s="11">
        <v>1</v>
      </c>
      <c r="H16" s="72">
        <f>+F16*B12</f>
        <v>116.8</v>
      </c>
      <c r="I16" s="68">
        <v>120</v>
      </c>
      <c r="J16" s="13">
        <f t="shared" si="14"/>
        <v>3.2000000000000028</v>
      </c>
      <c r="K16" s="76">
        <v>116.8</v>
      </c>
      <c r="L16" s="9">
        <f t="shared" si="16"/>
        <v>3.2000000000000028</v>
      </c>
      <c r="M16" s="79">
        <v>11.5</v>
      </c>
      <c r="N16" s="33">
        <f t="shared" si="20"/>
        <v>105.3</v>
      </c>
      <c r="O16" s="42">
        <f>+N16/B12</f>
        <v>7.2123287671232869E-2</v>
      </c>
      <c r="P16" s="19">
        <f t="shared" si="21"/>
        <v>14.700000000000003</v>
      </c>
      <c r="Q16" s="82">
        <v>0</v>
      </c>
      <c r="R16" s="9">
        <f t="shared" si="17"/>
        <v>14.700000000000003</v>
      </c>
      <c r="S16" s="9">
        <f t="shared" si="19"/>
        <v>14.700000000000003</v>
      </c>
      <c r="T16" s="9">
        <f t="shared" si="15"/>
        <v>705.60000000000014</v>
      </c>
      <c r="U16" s="12">
        <f t="shared" si="18"/>
        <v>0.12250000000000003</v>
      </c>
      <c r="W16" s="102">
        <f t="shared" si="7"/>
        <v>120</v>
      </c>
      <c r="X16" s="103">
        <f t="shared" si="8"/>
        <v>116.8</v>
      </c>
      <c r="Y16" s="103">
        <f t="shared" si="9"/>
        <v>3.2000000000000028</v>
      </c>
      <c r="Z16" s="103">
        <f t="shared" si="10"/>
        <v>11.5</v>
      </c>
      <c r="AA16" s="104">
        <f t="shared" si="11"/>
        <v>14.700000000000003</v>
      </c>
    </row>
    <row r="17" spans="1:28" ht="20.25" customHeight="1" x14ac:dyDescent="0.35">
      <c r="A17" s="293"/>
      <c r="B17" s="296"/>
      <c r="C17" s="35" t="s">
        <v>54</v>
      </c>
      <c r="D17" s="10">
        <v>35</v>
      </c>
      <c r="E17" s="31" t="s">
        <v>18</v>
      </c>
      <c r="F17" s="49">
        <v>0.08</v>
      </c>
      <c r="G17" s="11">
        <v>1</v>
      </c>
      <c r="H17" s="73">
        <f>+F17*B12</f>
        <v>116.8</v>
      </c>
      <c r="I17" s="68">
        <v>119</v>
      </c>
      <c r="J17" s="66">
        <f t="shared" si="14"/>
        <v>2.2000000000000028</v>
      </c>
      <c r="K17" s="76">
        <v>116.8</v>
      </c>
      <c r="L17" s="9">
        <f t="shared" si="16"/>
        <v>2.2000000000000028</v>
      </c>
      <c r="M17" s="79">
        <v>13.5</v>
      </c>
      <c r="N17" s="23">
        <f t="shared" si="20"/>
        <v>103.3</v>
      </c>
      <c r="O17" s="42">
        <f>+N17/B12</f>
        <v>7.0753424657534245E-2</v>
      </c>
      <c r="P17" s="19">
        <f t="shared" si="21"/>
        <v>15.700000000000003</v>
      </c>
      <c r="Q17" s="82">
        <v>0</v>
      </c>
      <c r="R17" s="9">
        <f t="shared" si="17"/>
        <v>15.700000000000003</v>
      </c>
      <c r="S17" s="9">
        <f t="shared" si="19"/>
        <v>15.700000000000003</v>
      </c>
      <c r="T17" s="9">
        <f t="shared" si="15"/>
        <v>549.50000000000011</v>
      </c>
      <c r="U17" s="12">
        <f t="shared" si="18"/>
        <v>0.13193277310924373</v>
      </c>
      <c r="W17" s="102">
        <f t="shared" si="7"/>
        <v>119</v>
      </c>
      <c r="X17" s="103">
        <f t="shared" si="8"/>
        <v>116.8</v>
      </c>
      <c r="Y17" s="103">
        <f t="shared" si="9"/>
        <v>2.2000000000000028</v>
      </c>
      <c r="Z17" s="103">
        <f t="shared" si="10"/>
        <v>13.5</v>
      </c>
      <c r="AA17" s="104">
        <f t="shared" si="11"/>
        <v>15.700000000000003</v>
      </c>
    </row>
    <row r="18" spans="1:28" ht="20.25" customHeight="1" x14ac:dyDescent="0.35">
      <c r="A18" s="293"/>
      <c r="B18" s="296"/>
      <c r="C18" s="35" t="s">
        <v>33</v>
      </c>
      <c r="D18" s="10">
        <v>50</v>
      </c>
      <c r="E18" s="31" t="s">
        <v>17</v>
      </c>
      <c r="F18" s="49">
        <v>0.03</v>
      </c>
      <c r="G18" s="11">
        <v>1</v>
      </c>
      <c r="H18" s="72">
        <f>+F18*B12</f>
        <v>43.8</v>
      </c>
      <c r="I18" s="68">
        <v>45.5</v>
      </c>
      <c r="J18" s="13">
        <f t="shared" si="14"/>
        <v>1.7000000000000028</v>
      </c>
      <c r="K18" s="76">
        <v>43.8</v>
      </c>
      <c r="L18" s="9">
        <f t="shared" si="16"/>
        <v>1.7000000000000028</v>
      </c>
      <c r="M18" s="79">
        <v>2.5</v>
      </c>
      <c r="N18" s="23">
        <f t="shared" si="20"/>
        <v>41.3</v>
      </c>
      <c r="O18" s="42">
        <f>+N18/B12</f>
        <v>2.8287671232876711E-2</v>
      </c>
      <c r="P18" s="19">
        <f t="shared" si="21"/>
        <v>4.2000000000000028</v>
      </c>
      <c r="Q18" s="82">
        <v>0</v>
      </c>
      <c r="R18" s="9">
        <f t="shared" si="17"/>
        <v>4.2000000000000028</v>
      </c>
      <c r="S18" s="9">
        <f t="shared" si="19"/>
        <v>4.2000000000000028</v>
      </c>
      <c r="T18" s="9">
        <f t="shared" si="15"/>
        <v>210.00000000000014</v>
      </c>
      <c r="U18" s="12">
        <f t="shared" si="18"/>
        <v>9.2307692307692368E-2</v>
      </c>
      <c r="W18" s="102">
        <f t="shared" si="7"/>
        <v>45.5</v>
      </c>
      <c r="X18" s="103">
        <f t="shared" si="8"/>
        <v>43.8</v>
      </c>
      <c r="Y18" s="103">
        <f t="shared" si="9"/>
        <v>1.7000000000000028</v>
      </c>
      <c r="Z18" s="103">
        <f t="shared" si="10"/>
        <v>2.5</v>
      </c>
      <c r="AA18" s="104">
        <f t="shared" si="11"/>
        <v>4.2000000000000028</v>
      </c>
    </row>
    <row r="19" spans="1:28" ht="20.25" customHeight="1" x14ac:dyDescent="0.35">
      <c r="A19" s="293"/>
      <c r="B19" s="296"/>
      <c r="C19" s="35" t="s">
        <v>34</v>
      </c>
      <c r="D19" s="31">
        <v>70</v>
      </c>
      <c r="E19" s="31" t="s">
        <v>17</v>
      </c>
      <c r="F19" s="11">
        <v>0.1</v>
      </c>
      <c r="G19" s="11">
        <v>1</v>
      </c>
      <c r="H19" s="72">
        <f>+F19*B12</f>
        <v>146</v>
      </c>
      <c r="I19" s="68">
        <v>146</v>
      </c>
      <c r="J19" s="13">
        <f t="shared" si="14"/>
        <v>0</v>
      </c>
      <c r="K19" s="76">
        <v>146</v>
      </c>
      <c r="L19" s="9">
        <f t="shared" si="16"/>
        <v>0</v>
      </c>
      <c r="M19" s="79">
        <v>0</v>
      </c>
      <c r="N19" s="23">
        <f t="shared" si="20"/>
        <v>146</v>
      </c>
      <c r="O19" s="42">
        <f>+N19/B12</f>
        <v>0.1</v>
      </c>
      <c r="P19" s="19">
        <f t="shared" si="21"/>
        <v>0</v>
      </c>
      <c r="Q19" s="82"/>
      <c r="R19" s="9">
        <f t="shared" si="17"/>
        <v>0</v>
      </c>
      <c r="S19" s="9">
        <f t="shared" si="19"/>
        <v>0</v>
      </c>
      <c r="T19" s="9">
        <f t="shared" si="15"/>
        <v>0</v>
      </c>
      <c r="U19" s="12">
        <f t="shared" si="18"/>
        <v>0</v>
      </c>
      <c r="W19" s="102">
        <f t="shared" si="7"/>
        <v>146</v>
      </c>
      <c r="X19" s="103">
        <f t="shared" si="8"/>
        <v>146</v>
      </c>
      <c r="Y19" s="103">
        <f t="shared" si="9"/>
        <v>0</v>
      </c>
      <c r="Z19" s="103">
        <f t="shared" si="10"/>
        <v>0</v>
      </c>
      <c r="AA19" s="104">
        <f t="shared" si="11"/>
        <v>0</v>
      </c>
    </row>
    <row r="20" spans="1:28" ht="20.25" customHeight="1" x14ac:dyDescent="0.35">
      <c r="A20" s="294"/>
      <c r="B20" s="297"/>
      <c r="C20" s="40" t="s">
        <v>35</v>
      </c>
      <c r="D20" s="44">
        <v>2</v>
      </c>
      <c r="E20" s="44" t="s">
        <v>16</v>
      </c>
      <c r="F20" s="53">
        <v>2</v>
      </c>
      <c r="G20" s="45">
        <v>0.04</v>
      </c>
      <c r="H20" s="72">
        <f>+F20*B12</f>
        <v>2920</v>
      </c>
      <c r="I20" s="68">
        <v>2945</v>
      </c>
      <c r="J20" s="13">
        <f t="shared" si="14"/>
        <v>25</v>
      </c>
      <c r="K20" s="76">
        <v>2920</v>
      </c>
      <c r="L20" s="9">
        <f t="shared" si="16"/>
        <v>25</v>
      </c>
      <c r="M20" s="79">
        <v>35</v>
      </c>
      <c r="N20" s="33">
        <f t="shared" si="20"/>
        <v>2885</v>
      </c>
      <c r="O20" s="42">
        <f>+N20/B12</f>
        <v>1.976027397260274</v>
      </c>
      <c r="P20" s="19">
        <f t="shared" si="21"/>
        <v>60</v>
      </c>
      <c r="Q20" s="82"/>
      <c r="R20" s="9">
        <f t="shared" si="17"/>
        <v>60</v>
      </c>
      <c r="S20" s="9">
        <f t="shared" si="19"/>
        <v>2.4</v>
      </c>
      <c r="T20" s="9">
        <f t="shared" si="15"/>
        <v>120</v>
      </c>
      <c r="U20" s="12">
        <f t="shared" si="18"/>
        <v>2.037351443123939E-2</v>
      </c>
      <c r="W20" s="115">
        <f t="shared" si="7"/>
        <v>117.8</v>
      </c>
      <c r="X20" s="116">
        <f t="shared" si="8"/>
        <v>116.8</v>
      </c>
      <c r="Y20" s="116">
        <f t="shared" si="9"/>
        <v>1</v>
      </c>
      <c r="Z20" s="116">
        <f t="shared" si="10"/>
        <v>1.4000000000000001</v>
      </c>
      <c r="AA20" s="117">
        <f t="shared" si="11"/>
        <v>2.4</v>
      </c>
    </row>
    <row r="21" spans="1:28" ht="20.25" customHeight="1" thickBot="1" x14ac:dyDescent="0.4">
      <c r="A21" s="27"/>
      <c r="B21" s="28"/>
      <c r="C21" s="29"/>
      <c r="D21" s="15"/>
      <c r="E21" s="15"/>
      <c r="F21" s="15"/>
      <c r="G21" s="15"/>
      <c r="H21" s="74"/>
      <c r="I21" s="69"/>
      <c r="J21" s="16"/>
      <c r="K21" s="77"/>
      <c r="L21" s="15"/>
      <c r="M21" s="80"/>
      <c r="N21" s="14"/>
      <c r="O21" s="16"/>
      <c r="P21" s="20"/>
      <c r="Q21" s="83"/>
      <c r="R21" s="15"/>
      <c r="S21" s="56">
        <f>SUM(S12:S20)</f>
        <v>85.000000000000014</v>
      </c>
      <c r="T21" s="56">
        <f>SUM(T12:T20)</f>
        <v>4250.1000000000004</v>
      </c>
      <c r="U21" s="16"/>
      <c r="W21" s="118">
        <f>SUM(W12:W20)</f>
        <v>1518.8</v>
      </c>
      <c r="X21" s="110">
        <f t="shared" ref="X21:AA21" si="22">SUM(X12:X20)</f>
        <v>1489.1999999999998</v>
      </c>
      <c r="Y21" s="114">
        <f t="shared" si="22"/>
        <v>29.600000000000009</v>
      </c>
      <c r="Z21" s="109">
        <f t="shared" si="22"/>
        <v>95.4</v>
      </c>
      <c r="AA21" s="109">
        <f t="shared" si="22"/>
        <v>85.000000000000014</v>
      </c>
      <c r="AB21" s="94"/>
    </row>
    <row r="22" spans="1:28" ht="20.25" customHeight="1" x14ac:dyDescent="0.35">
      <c r="A22" s="292" t="s">
        <v>39</v>
      </c>
      <c r="B22" s="295">
        <v>1995</v>
      </c>
      <c r="C22" s="34" t="s">
        <v>126</v>
      </c>
      <c r="D22" s="4">
        <v>3</v>
      </c>
      <c r="E22" s="4" t="s">
        <v>58</v>
      </c>
      <c r="F22" s="135">
        <v>4</v>
      </c>
      <c r="G22" s="5">
        <v>0.03</v>
      </c>
      <c r="H22" s="71">
        <f>+F22*B22</f>
        <v>7980</v>
      </c>
      <c r="I22" s="67">
        <v>7990</v>
      </c>
      <c r="J22" s="22">
        <f>I22-H22</f>
        <v>10</v>
      </c>
      <c r="K22" s="75">
        <v>7980</v>
      </c>
      <c r="L22" s="3">
        <f>+I22-K22</f>
        <v>10</v>
      </c>
      <c r="M22" s="78">
        <v>400</v>
      </c>
      <c r="N22" s="21">
        <f>+K22-M22</f>
        <v>7580</v>
      </c>
      <c r="O22" s="41">
        <f>+N22/B22</f>
        <v>3.7994987468671679</v>
      </c>
      <c r="P22" s="18">
        <f>+L22+M22</f>
        <v>410</v>
      </c>
      <c r="Q22" s="81">
        <v>200</v>
      </c>
      <c r="R22" s="3">
        <f>+P22-Q22</f>
        <v>210</v>
      </c>
      <c r="S22" s="3">
        <f>+R22*G22</f>
        <v>6.3</v>
      </c>
      <c r="T22" s="3">
        <f>+R22*D22</f>
        <v>630</v>
      </c>
      <c r="U22" s="6">
        <f>+R22/I22</f>
        <v>2.6282853566958697E-2</v>
      </c>
      <c r="W22" s="111">
        <f t="shared" si="7"/>
        <v>239.7</v>
      </c>
      <c r="X22" s="112">
        <f t="shared" si="8"/>
        <v>239.39999999999998</v>
      </c>
      <c r="Y22" s="112">
        <f t="shared" si="9"/>
        <v>0.3</v>
      </c>
      <c r="Z22" s="112">
        <f t="shared" si="10"/>
        <v>12</v>
      </c>
      <c r="AA22" s="113">
        <f t="shared" si="11"/>
        <v>6.3</v>
      </c>
    </row>
    <row r="23" spans="1:28" ht="20.25" customHeight="1" x14ac:dyDescent="0.35">
      <c r="A23" s="293"/>
      <c r="B23" s="296"/>
      <c r="C23" s="35" t="s">
        <v>112</v>
      </c>
      <c r="D23" s="10">
        <v>60</v>
      </c>
      <c r="E23" s="10" t="s">
        <v>61</v>
      </c>
      <c r="F23" s="49">
        <v>0.1</v>
      </c>
      <c r="G23" s="11">
        <v>0.01</v>
      </c>
      <c r="H23" s="70">
        <f>+F23*B22</f>
        <v>199.5</v>
      </c>
      <c r="I23" s="68">
        <v>205</v>
      </c>
      <c r="J23" s="13">
        <f>I23-H23</f>
        <v>5.5</v>
      </c>
      <c r="K23" s="76">
        <v>199.5</v>
      </c>
      <c r="L23" s="9">
        <f t="shared" ref="L23:L25" si="23">+I23-K23</f>
        <v>5.5</v>
      </c>
      <c r="M23" s="79">
        <v>12</v>
      </c>
      <c r="N23" s="23">
        <f t="shared" ref="N23:N25" si="24">+K23-M23</f>
        <v>187.5</v>
      </c>
      <c r="O23" s="42">
        <f>+N23/B22</f>
        <v>9.3984962406015032E-2</v>
      </c>
      <c r="P23" s="19">
        <f>+L23+M23</f>
        <v>17.5</v>
      </c>
      <c r="Q23" s="82">
        <v>0</v>
      </c>
      <c r="R23" s="9">
        <f t="shared" ref="R23:R25" si="25">+P23-Q23</f>
        <v>17.5</v>
      </c>
      <c r="S23" s="9">
        <f>+R23*G23</f>
        <v>0.17500000000000002</v>
      </c>
      <c r="T23" s="9">
        <f>+R23*D23</f>
        <v>1050</v>
      </c>
      <c r="U23" s="12">
        <f t="shared" ref="U23:U25" si="26">+R23/I23</f>
        <v>8.5365853658536592E-2</v>
      </c>
      <c r="W23" s="102">
        <f t="shared" si="7"/>
        <v>2.0499999999999998</v>
      </c>
      <c r="X23" s="103">
        <f t="shared" si="8"/>
        <v>1.9950000000000001</v>
      </c>
      <c r="Y23" s="103">
        <f t="shared" si="9"/>
        <v>5.5E-2</v>
      </c>
      <c r="Z23" s="103">
        <f t="shared" si="10"/>
        <v>0.12</v>
      </c>
      <c r="AA23" s="104">
        <f t="shared" si="11"/>
        <v>0.17500000000000002</v>
      </c>
    </row>
    <row r="24" spans="1:28" ht="20.25" customHeight="1" x14ac:dyDescent="0.35">
      <c r="A24" s="293"/>
      <c r="B24" s="296"/>
      <c r="C24" s="35" t="s">
        <v>127</v>
      </c>
      <c r="D24" s="10">
        <v>6</v>
      </c>
      <c r="E24" s="10" t="s">
        <v>16</v>
      </c>
      <c r="F24" s="126">
        <v>1</v>
      </c>
      <c r="G24" s="11">
        <v>0.05</v>
      </c>
      <c r="H24" s="72">
        <f>+F24*B22</f>
        <v>1995</v>
      </c>
      <c r="I24" s="68">
        <v>2000</v>
      </c>
      <c r="J24" s="13">
        <f>I24-H24</f>
        <v>5</v>
      </c>
      <c r="K24" s="76">
        <v>1995</v>
      </c>
      <c r="L24" s="9">
        <f t="shared" si="23"/>
        <v>5</v>
      </c>
      <c r="M24" s="79">
        <v>0</v>
      </c>
      <c r="N24" s="33">
        <f t="shared" si="24"/>
        <v>1995</v>
      </c>
      <c r="O24" s="42">
        <f>+N24/B22</f>
        <v>1</v>
      </c>
      <c r="P24" s="19">
        <f>+L24+M24</f>
        <v>5</v>
      </c>
      <c r="Q24" s="82">
        <v>0</v>
      </c>
      <c r="R24" s="9">
        <f t="shared" si="25"/>
        <v>5</v>
      </c>
      <c r="S24" s="9">
        <f>+R24*G24</f>
        <v>0.25</v>
      </c>
      <c r="T24" s="9">
        <f>+R24*D24</f>
        <v>30</v>
      </c>
      <c r="U24" s="12">
        <f t="shared" si="26"/>
        <v>2.5000000000000001E-3</v>
      </c>
      <c r="W24" s="102">
        <f t="shared" si="7"/>
        <v>100</v>
      </c>
      <c r="X24" s="103">
        <f t="shared" si="8"/>
        <v>99.75</v>
      </c>
      <c r="Y24" s="103">
        <f t="shared" si="9"/>
        <v>0.25</v>
      </c>
      <c r="Z24" s="103">
        <f t="shared" si="10"/>
        <v>0</v>
      </c>
      <c r="AA24" s="104">
        <f t="shared" si="11"/>
        <v>0.25</v>
      </c>
    </row>
    <row r="25" spans="1:28" ht="20.25" customHeight="1" x14ac:dyDescent="0.35">
      <c r="A25" s="293"/>
      <c r="B25" s="296"/>
      <c r="C25" s="35" t="s">
        <v>63</v>
      </c>
      <c r="D25" s="10">
        <v>60</v>
      </c>
      <c r="E25" s="10" t="s">
        <v>18</v>
      </c>
      <c r="F25" s="49">
        <v>0.1</v>
      </c>
      <c r="G25" s="11">
        <v>1</v>
      </c>
      <c r="H25" s="72">
        <f>+F25*B22</f>
        <v>199.5</v>
      </c>
      <c r="I25" s="68">
        <v>206</v>
      </c>
      <c r="J25" s="13">
        <f>I25-H25</f>
        <v>6.5</v>
      </c>
      <c r="K25" s="76">
        <v>199.5</v>
      </c>
      <c r="L25" s="9">
        <f t="shared" si="23"/>
        <v>6.5</v>
      </c>
      <c r="M25" s="79">
        <v>5</v>
      </c>
      <c r="N25" s="23">
        <f t="shared" si="24"/>
        <v>194.5</v>
      </c>
      <c r="O25" s="42">
        <f>+N25/B22</f>
        <v>9.7493734335839605E-2</v>
      </c>
      <c r="P25" s="19">
        <f t="shared" ref="P25" si="27">+L25+M25</f>
        <v>11.5</v>
      </c>
      <c r="Q25" s="82">
        <v>0</v>
      </c>
      <c r="R25" s="9">
        <f t="shared" si="25"/>
        <v>11.5</v>
      </c>
      <c r="S25" s="9">
        <f>+R25*G25</f>
        <v>11.5</v>
      </c>
      <c r="T25" s="9">
        <f>+R25*D25</f>
        <v>690</v>
      </c>
      <c r="U25" s="12">
        <f t="shared" si="26"/>
        <v>5.5825242718446605E-2</v>
      </c>
      <c r="W25" s="105">
        <f t="shared" si="7"/>
        <v>206</v>
      </c>
      <c r="X25" s="106">
        <f t="shared" si="8"/>
        <v>199.5</v>
      </c>
      <c r="Y25" s="106">
        <f t="shared" si="9"/>
        <v>6.5</v>
      </c>
      <c r="Z25" s="106">
        <f t="shared" si="10"/>
        <v>5</v>
      </c>
      <c r="AA25" s="107">
        <f t="shared" si="11"/>
        <v>11.5</v>
      </c>
    </row>
    <row r="26" spans="1:28" ht="21.75" customHeight="1" thickBot="1" x14ac:dyDescent="0.4">
      <c r="A26" s="27"/>
      <c r="B26" s="55"/>
      <c r="C26" s="29"/>
      <c r="D26" s="15"/>
      <c r="E26" s="15"/>
      <c r="F26" s="15"/>
      <c r="G26" s="15"/>
      <c r="H26" s="74"/>
      <c r="I26" s="69"/>
      <c r="J26" s="16"/>
      <c r="K26" s="77"/>
      <c r="L26" s="15"/>
      <c r="M26" s="80"/>
      <c r="N26" s="14"/>
      <c r="O26" s="16"/>
      <c r="P26" s="20"/>
      <c r="Q26" s="83"/>
      <c r="R26" s="15"/>
      <c r="S26" s="56">
        <f>SUM(S22:S25)</f>
        <v>18.225000000000001</v>
      </c>
      <c r="T26" s="56">
        <f>SUM(T22:T25)</f>
        <v>2400</v>
      </c>
      <c r="U26" s="16"/>
      <c r="W26" s="123">
        <f>SUM(W22:W25)</f>
        <v>547.75</v>
      </c>
      <c r="X26" s="124">
        <f t="shared" ref="X26:AA26" si="28">SUM(X22:X25)</f>
        <v>540.64499999999998</v>
      </c>
      <c r="Y26" s="124">
        <f t="shared" si="28"/>
        <v>7.1050000000000004</v>
      </c>
      <c r="Z26" s="124">
        <f t="shared" si="28"/>
        <v>17.119999999999997</v>
      </c>
      <c r="AA26" s="125">
        <f t="shared" si="28"/>
        <v>18.225000000000001</v>
      </c>
    </row>
    <row r="27" spans="1:28" ht="20.25" customHeight="1" x14ac:dyDescent="0.35">
      <c r="A27" s="292" t="s">
        <v>40</v>
      </c>
      <c r="B27" s="295">
        <v>1374</v>
      </c>
      <c r="C27" s="34" t="s">
        <v>31</v>
      </c>
      <c r="D27" s="4">
        <v>20</v>
      </c>
      <c r="E27" s="30" t="s">
        <v>17</v>
      </c>
      <c r="F27" s="52">
        <v>0.4</v>
      </c>
      <c r="G27" s="5">
        <v>1</v>
      </c>
      <c r="H27" s="71">
        <f>+F27*B27</f>
        <v>549.6</v>
      </c>
      <c r="I27" s="67">
        <v>555</v>
      </c>
      <c r="J27" s="22">
        <f t="shared" ref="J27:J35" si="29">I27-H27</f>
        <v>5.3999999999999773</v>
      </c>
      <c r="K27" s="75">
        <f>1374*0.4</f>
        <v>549.6</v>
      </c>
      <c r="L27" s="3">
        <f>+I27-K27</f>
        <v>5.3999999999999773</v>
      </c>
      <c r="M27" s="78">
        <v>70</v>
      </c>
      <c r="N27" s="21">
        <f>+K27-M27</f>
        <v>479.6</v>
      </c>
      <c r="O27" s="41">
        <f>+N27/B27</f>
        <v>0.34905385735080058</v>
      </c>
      <c r="P27" s="18">
        <f>+L27+M27</f>
        <v>75.399999999999977</v>
      </c>
      <c r="Q27" s="81">
        <v>40</v>
      </c>
      <c r="R27" s="3">
        <f>+P27-Q27</f>
        <v>35.399999999999977</v>
      </c>
      <c r="S27" s="3">
        <f t="shared" ref="S27:S35" si="30">+R27*G27</f>
        <v>35.399999999999977</v>
      </c>
      <c r="T27" s="3">
        <f t="shared" ref="T27:T35" si="31">+R27*D27</f>
        <v>707.99999999999955</v>
      </c>
      <c r="U27" s="6">
        <f>+R27/I27</f>
        <v>6.3783783783783743E-2</v>
      </c>
      <c r="W27" s="111">
        <f t="shared" si="7"/>
        <v>555</v>
      </c>
      <c r="X27" s="112">
        <f t="shared" si="8"/>
        <v>549.6</v>
      </c>
      <c r="Y27" s="112">
        <f t="shared" si="9"/>
        <v>5.3999999999999773</v>
      </c>
      <c r="Z27" s="112">
        <f t="shared" si="10"/>
        <v>70</v>
      </c>
      <c r="AA27" s="113">
        <f t="shared" si="11"/>
        <v>35.399999999999977</v>
      </c>
    </row>
    <row r="28" spans="1:28" ht="20.25" customHeight="1" x14ac:dyDescent="0.35">
      <c r="A28" s="293"/>
      <c r="B28" s="296"/>
      <c r="C28" s="35" t="s">
        <v>116</v>
      </c>
      <c r="D28" s="10">
        <v>65</v>
      </c>
      <c r="E28" s="31" t="s">
        <v>17</v>
      </c>
      <c r="F28" s="49">
        <v>0.1</v>
      </c>
      <c r="G28" s="11">
        <v>1</v>
      </c>
      <c r="H28" s="70">
        <f>+F28*B27</f>
        <v>137.4</v>
      </c>
      <c r="I28" s="68">
        <v>138.4</v>
      </c>
      <c r="J28" s="13">
        <f t="shared" si="29"/>
        <v>1</v>
      </c>
      <c r="K28" s="76">
        <v>137.4</v>
      </c>
      <c r="L28" s="9">
        <f t="shared" ref="L28:L35" si="32">+I28-K28</f>
        <v>1</v>
      </c>
      <c r="M28" s="79">
        <v>11.5</v>
      </c>
      <c r="N28" s="23">
        <f t="shared" ref="N28:N35" si="33">+K28-M28</f>
        <v>125.9</v>
      </c>
      <c r="O28" s="42">
        <f>+N28/B27</f>
        <v>9.1630276564774391E-2</v>
      </c>
      <c r="P28" s="19">
        <f>+L28+M28</f>
        <v>12.5</v>
      </c>
      <c r="Q28" s="82"/>
      <c r="R28" s="9">
        <f t="shared" ref="R28:R35" si="34">+P28-Q28</f>
        <v>12.5</v>
      </c>
      <c r="S28" s="9">
        <f t="shared" si="30"/>
        <v>12.5</v>
      </c>
      <c r="T28" s="9">
        <f t="shared" si="31"/>
        <v>812.5</v>
      </c>
      <c r="U28" s="12">
        <f t="shared" ref="U28:U35" si="35">+R28/I28</f>
        <v>9.0317919075144498E-2</v>
      </c>
      <c r="W28" s="102">
        <f t="shared" si="7"/>
        <v>138.4</v>
      </c>
      <c r="X28" s="103">
        <f t="shared" si="8"/>
        <v>137.4</v>
      </c>
      <c r="Y28" s="103">
        <f t="shared" si="9"/>
        <v>1</v>
      </c>
      <c r="Z28" s="103">
        <f t="shared" si="10"/>
        <v>11.5</v>
      </c>
      <c r="AA28" s="104">
        <f t="shared" si="11"/>
        <v>12.5</v>
      </c>
    </row>
    <row r="29" spans="1:28" ht="20.25" customHeight="1" x14ac:dyDescent="0.35">
      <c r="A29" s="293"/>
      <c r="B29" s="296"/>
      <c r="C29" s="35" t="s">
        <v>117</v>
      </c>
      <c r="D29" s="10">
        <v>130</v>
      </c>
      <c r="E29" s="31" t="s">
        <v>17</v>
      </c>
      <c r="F29" s="49">
        <v>0.08</v>
      </c>
      <c r="G29" s="11">
        <v>1</v>
      </c>
      <c r="H29" s="72">
        <f>+F29*B27</f>
        <v>109.92</v>
      </c>
      <c r="I29" s="68">
        <v>110</v>
      </c>
      <c r="J29" s="13">
        <f t="shared" si="29"/>
        <v>7.9999999999998295E-2</v>
      </c>
      <c r="K29" s="76">
        <v>109.9</v>
      </c>
      <c r="L29" s="9">
        <f t="shared" si="32"/>
        <v>9.9999999999994316E-2</v>
      </c>
      <c r="M29" s="79">
        <v>12</v>
      </c>
      <c r="N29" s="33">
        <f t="shared" si="33"/>
        <v>97.9</v>
      </c>
      <c r="O29" s="42">
        <f>+N29/B27</f>
        <v>7.1251819505094613E-2</v>
      </c>
      <c r="P29" s="19">
        <f>+L29+M29</f>
        <v>12.099999999999994</v>
      </c>
      <c r="Q29" s="82"/>
      <c r="R29" s="9">
        <f t="shared" si="34"/>
        <v>12.099999999999994</v>
      </c>
      <c r="S29" s="9">
        <f t="shared" si="30"/>
        <v>12.099999999999994</v>
      </c>
      <c r="T29" s="9">
        <f t="shared" si="31"/>
        <v>1572.9999999999993</v>
      </c>
      <c r="U29" s="12">
        <f t="shared" si="35"/>
        <v>0.10999999999999995</v>
      </c>
      <c r="W29" s="102">
        <f t="shared" si="7"/>
        <v>110</v>
      </c>
      <c r="X29" s="103">
        <f t="shared" si="8"/>
        <v>109.9</v>
      </c>
      <c r="Y29" s="103">
        <f t="shared" si="9"/>
        <v>9.9999999999994316E-2</v>
      </c>
      <c r="Z29" s="103">
        <f t="shared" si="10"/>
        <v>12</v>
      </c>
      <c r="AA29" s="104">
        <f t="shared" si="11"/>
        <v>12.099999999999994</v>
      </c>
    </row>
    <row r="30" spans="1:28" ht="20.25" customHeight="1" x14ac:dyDescent="0.35">
      <c r="A30" s="293"/>
      <c r="B30" s="296"/>
      <c r="C30" s="35" t="s">
        <v>92</v>
      </c>
      <c r="D30" s="10">
        <v>55</v>
      </c>
      <c r="E30" s="31" t="s">
        <v>17</v>
      </c>
      <c r="F30" s="49">
        <v>0.1</v>
      </c>
      <c r="G30" s="11">
        <v>1</v>
      </c>
      <c r="H30" s="72">
        <f>+F30*B27</f>
        <v>137.4</v>
      </c>
      <c r="I30" s="68">
        <v>137</v>
      </c>
      <c r="J30" s="13">
        <f t="shared" si="29"/>
        <v>-0.40000000000000568</v>
      </c>
      <c r="K30" s="76">
        <v>137</v>
      </c>
      <c r="L30" s="9">
        <f t="shared" si="32"/>
        <v>0</v>
      </c>
      <c r="M30" s="79">
        <v>8</v>
      </c>
      <c r="N30" s="23">
        <f t="shared" si="33"/>
        <v>129</v>
      </c>
      <c r="O30" s="42">
        <f>+N30/B27</f>
        <v>9.3886462882096067E-2</v>
      </c>
      <c r="P30" s="19">
        <f t="shared" ref="P30:P35" si="36">+L30+M30</f>
        <v>8</v>
      </c>
      <c r="Q30" s="82"/>
      <c r="R30" s="9">
        <f t="shared" si="34"/>
        <v>8</v>
      </c>
      <c r="S30" s="9">
        <f t="shared" si="30"/>
        <v>8</v>
      </c>
      <c r="T30" s="9">
        <f t="shared" si="31"/>
        <v>440</v>
      </c>
      <c r="U30" s="12">
        <f t="shared" si="35"/>
        <v>5.8394160583941604E-2</v>
      </c>
      <c r="W30" s="102">
        <f t="shared" si="7"/>
        <v>137</v>
      </c>
      <c r="X30" s="103">
        <f t="shared" si="8"/>
        <v>137</v>
      </c>
      <c r="Y30" s="103">
        <f t="shared" si="9"/>
        <v>0</v>
      </c>
      <c r="Z30" s="103">
        <f t="shared" si="10"/>
        <v>8</v>
      </c>
      <c r="AA30" s="104">
        <f t="shared" si="11"/>
        <v>8</v>
      </c>
    </row>
    <row r="31" spans="1:28" ht="20.25" customHeight="1" x14ac:dyDescent="0.35">
      <c r="A31" s="293"/>
      <c r="B31" s="296"/>
      <c r="C31" s="35" t="s">
        <v>32</v>
      </c>
      <c r="D31" s="10">
        <v>48</v>
      </c>
      <c r="E31" s="31" t="s">
        <v>18</v>
      </c>
      <c r="F31" s="49">
        <v>0.08</v>
      </c>
      <c r="G31" s="11">
        <v>1</v>
      </c>
      <c r="H31" s="72">
        <f>+F31*B27</f>
        <v>109.92</v>
      </c>
      <c r="I31" s="68">
        <v>119</v>
      </c>
      <c r="J31" s="13">
        <f t="shared" si="29"/>
        <v>9.0799999999999983</v>
      </c>
      <c r="K31" s="76">
        <v>110</v>
      </c>
      <c r="L31" s="9">
        <f t="shared" si="32"/>
        <v>9</v>
      </c>
      <c r="M31" s="79">
        <v>6.5</v>
      </c>
      <c r="N31" s="33">
        <f t="shared" si="33"/>
        <v>103.5</v>
      </c>
      <c r="O31" s="42">
        <f>+N31/B27</f>
        <v>7.5327510917030563E-2</v>
      </c>
      <c r="P31" s="19">
        <f t="shared" si="36"/>
        <v>15.5</v>
      </c>
      <c r="Q31" s="82"/>
      <c r="R31" s="9">
        <f t="shared" si="34"/>
        <v>15.5</v>
      </c>
      <c r="S31" s="9">
        <f t="shared" si="30"/>
        <v>15.5</v>
      </c>
      <c r="T31" s="9">
        <f t="shared" si="31"/>
        <v>744</v>
      </c>
      <c r="U31" s="12">
        <f t="shared" si="35"/>
        <v>0.13025210084033614</v>
      </c>
      <c r="W31" s="102">
        <f t="shared" si="7"/>
        <v>119</v>
      </c>
      <c r="X31" s="103">
        <f t="shared" si="8"/>
        <v>110</v>
      </c>
      <c r="Y31" s="103">
        <f t="shared" si="9"/>
        <v>9</v>
      </c>
      <c r="Z31" s="103">
        <f t="shared" si="10"/>
        <v>6.5</v>
      </c>
      <c r="AA31" s="104">
        <f t="shared" si="11"/>
        <v>15.5</v>
      </c>
    </row>
    <row r="32" spans="1:28" ht="20.25" customHeight="1" x14ac:dyDescent="0.35">
      <c r="A32" s="293"/>
      <c r="B32" s="296"/>
      <c r="C32" s="35" t="s">
        <v>54</v>
      </c>
      <c r="D32" s="10">
        <v>35</v>
      </c>
      <c r="E32" s="31" t="s">
        <v>18</v>
      </c>
      <c r="F32" s="49">
        <v>0.08</v>
      </c>
      <c r="G32" s="11">
        <v>1</v>
      </c>
      <c r="H32" s="73">
        <f>+F32*B27</f>
        <v>109.92</v>
      </c>
      <c r="I32" s="68">
        <v>121</v>
      </c>
      <c r="J32" s="13">
        <f t="shared" si="29"/>
        <v>11.079999999999998</v>
      </c>
      <c r="K32" s="76">
        <v>110</v>
      </c>
      <c r="L32" s="9">
        <f t="shared" si="32"/>
        <v>11</v>
      </c>
      <c r="M32" s="79">
        <v>7</v>
      </c>
      <c r="N32" s="23">
        <f t="shared" si="33"/>
        <v>103</v>
      </c>
      <c r="O32" s="42">
        <f>+N32/B27</f>
        <v>7.4963609898107714E-2</v>
      </c>
      <c r="P32" s="19">
        <f t="shared" si="36"/>
        <v>18</v>
      </c>
      <c r="Q32" s="82"/>
      <c r="R32" s="9">
        <f t="shared" si="34"/>
        <v>18</v>
      </c>
      <c r="S32" s="9">
        <f t="shared" si="30"/>
        <v>18</v>
      </c>
      <c r="T32" s="9">
        <f t="shared" si="31"/>
        <v>630</v>
      </c>
      <c r="U32" s="12">
        <f t="shared" si="35"/>
        <v>0.1487603305785124</v>
      </c>
      <c r="W32" s="102">
        <f t="shared" si="7"/>
        <v>121</v>
      </c>
      <c r="X32" s="103">
        <f t="shared" si="8"/>
        <v>110</v>
      </c>
      <c r="Y32" s="103">
        <f t="shared" si="9"/>
        <v>11</v>
      </c>
      <c r="Z32" s="103">
        <f t="shared" si="10"/>
        <v>7</v>
      </c>
      <c r="AA32" s="104">
        <f t="shared" si="11"/>
        <v>18</v>
      </c>
    </row>
    <row r="33" spans="1:28" ht="20.25" customHeight="1" x14ac:dyDescent="0.35">
      <c r="A33" s="293"/>
      <c r="B33" s="296"/>
      <c r="C33" s="35" t="s">
        <v>33</v>
      </c>
      <c r="D33" s="10">
        <v>50</v>
      </c>
      <c r="E33" s="31" t="s">
        <v>17</v>
      </c>
      <c r="F33" s="49">
        <v>0.03</v>
      </c>
      <c r="G33" s="11">
        <v>1</v>
      </c>
      <c r="H33" s="72">
        <f>+F33*B27</f>
        <v>41.22</v>
      </c>
      <c r="I33" s="68">
        <v>43</v>
      </c>
      <c r="J33" s="13">
        <f t="shared" si="29"/>
        <v>1.7800000000000011</v>
      </c>
      <c r="K33" s="76">
        <v>41</v>
      </c>
      <c r="L33" s="9">
        <f t="shared" si="32"/>
        <v>2</v>
      </c>
      <c r="M33" s="79">
        <v>2</v>
      </c>
      <c r="N33" s="23">
        <f t="shared" si="33"/>
        <v>39</v>
      </c>
      <c r="O33" s="42">
        <f>+N33/B27</f>
        <v>2.8384279475982533E-2</v>
      </c>
      <c r="P33" s="19">
        <f t="shared" si="36"/>
        <v>4</v>
      </c>
      <c r="Q33" s="82"/>
      <c r="R33" s="9">
        <f t="shared" si="34"/>
        <v>4</v>
      </c>
      <c r="S33" s="9">
        <f t="shared" si="30"/>
        <v>4</v>
      </c>
      <c r="T33" s="9">
        <f t="shared" si="31"/>
        <v>200</v>
      </c>
      <c r="U33" s="12">
        <f t="shared" si="35"/>
        <v>9.3023255813953487E-2</v>
      </c>
      <c r="W33" s="102">
        <f t="shared" si="7"/>
        <v>43</v>
      </c>
      <c r="X33" s="103">
        <f t="shared" si="8"/>
        <v>41</v>
      </c>
      <c r="Y33" s="103">
        <f t="shared" si="9"/>
        <v>2</v>
      </c>
      <c r="Z33" s="103">
        <f t="shared" si="10"/>
        <v>2</v>
      </c>
      <c r="AA33" s="104">
        <f t="shared" si="11"/>
        <v>4</v>
      </c>
    </row>
    <row r="34" spans="1:28" ht="20.25" customHeight="1" x14ac:dyDescent="0.35">
      <c r="A34" s="293"/>
      <c r="B34" s="296"/>
      <c r="C34" s="35" t="s">
        <v>34</v>
      </c>
      <c r="D34" s="31">
        <v>70</v>
      </c>
      <c r="E34" s="31" t="s">
        <v>17</v>
      </c>
      <c r="F34" s="11">
        <v>0.1</v>
      </c>
      <c r="G34" s="11">
        <v>1</v>
      </c>
      <c r="H34" s="72">
        <f>+F34*B27</f>
        <v>137.4</v>
      </c>
      <c r="I34" s="68">
        <v>137</v>
      </c>
      <c r="J34" s="13">
        <f t="shared" si="29"/>
        <v>-0.40000000000000568</v>
      </c>
      <c r="K34" s="76">
        <v>137.4</v>
      </c>
      <c r="L34" s="9">
        <f t="shared" si="32"/>
        <v>-0.40000000000000568</v>
      </c>
      <c r="M34" s="79">
        <v>0</v>
      </c>
      <c r="N34" s="23">
        <f t="shared" si="33"/>
        <v>137.4</v>
      </c>
      <c r="O34" s="42">
        <f>+N34/B27</f>
        <v>0.1</v>
      </c>
      <c r="P34" s="19">
        <f t="shared" si="36"/>
        <v>-0.40000000000000568</v>
      </c>
      <c r="Q34" s="82"/>
      <c r="R34" s="9">
        <f t="shared" si="34"/>
        <v>-0.40000000000000568</v>
      </c>
      <c r="S34" s="9">
        <f t="shared" si="30"/>
        <v>-0.40000000000000568</v>
      </c>
      <c r="T34" s="9">
        <f t="shared" si="31"/>
        <v>-28.000000000000398</v>
      </c>
      <c r="U34" s="12">
        <f t="shared" si="35"/>
        <v>-2.9197080291971217E-3</v>
      </c>
      <c r="W34" s="102">
        <f t="shared" si="7"/>
        <v>137</v>
      </c>
      <c r="X34" s="103">
        <f t="shared" si="8"/>
        <v>137.4</v>
      </c>
      <c r="Y34" s="103">
        <f t="shared" si="9"/>
        <v>-0.40000000000000568</v>
      </c>
      <c r="Z34" s="103">
        <f t="shared" si="10"/>
        <v>0</v>
      </c>
      <c r="AA34" s="104">
        <f t="shared" si="11"/>
        <v>-0.40000000000000568</v>
      </c>
    </row>
    <row r="35" spans="1:28" ht="20.25" customHeight="1" x14ac:dyDescent="0.35">
      <c r="A35" s="294"/>
      <c r="B35" s="297"/>
      <c r="C35" s="40" t="s">
        <v>35</v>
      </c>
      <c r="D35" s="44">
        <v>2</v>
      </c>
      <c r="E35" s="44" t="s">
        <v>16</v>
      </c>
      <c r="F35" s="53">
        <v>2</v>
      </c>
      <c r="G35" s="45">
        <v>0.04</v>
      </c>
      <c r="H35" s="72">
        <f>+F35*B27</f>
        <v>2748</v>
      </c>
      <c r="I35" s="68">
        <v>2455</v>
      </c>
      <c r="J35" s="13">
        <f t="shared" si="29"/>
        <v>-293</v>
      </c>
      <c r="K35" s="76">
        <f>1374*2</f>
        <v>2748</v>
      </c>
      <c r="L35" s="9">
        <f t="shared" si="32"/>
        <v>-293</v>
      </c>
      <c r="M35" s="79">
        <v>50</v>
      </c>
      <c r="N35" s="33">
        <f t="shared" si="33"/>
        <v>2698</v>
      </c>
      <c r="O35" s="42">
        <f>+N35/B27</f>
        <v>1.9636098981077148</v>
      </c>
      <c r="P35" s="19">
        <f t="shared" si="36"/>
        <v>-243</v>
      </c>
      <c r="Q35" s="82"/>
      <c r="R35" s="9">
        <f t="shared" si="34"/>
        <v>-243</v>
      </c>
      <c r="S35" s="9">
        <f t="shared" si="30"/>
        <v>-9.7200000000000006</v>
      </c>
      <c r="T35" s="9">
        <f t="shared" si="31"/>
        <v>-486</v>
      </c>
      <c r="U35" s="12">
        <f t="shared" si="35"/>
        <v>-9.89816700610998E-2</v>
      </c>
      <c r="W35" s="105">
        <f t="shared" si="7"/>
        <v>98.2</v>
      </c>
      <c r="X35" s="106">
        <f t="shared" si="8"/>
        <v>109.92</v>
      </c>
      <c r="Y35" s="106">
        <f t="shared" si="9"/>
        <v>-11.72</v>
      </c>
      <c r="Z35" s="106">
        <f t="shared" si="10"/>
        <v>2</v>
      </c>
      <c r="AA35" s="107">
        <f t="shared" si="11"/>
        <v>-9.7200000000000006</v>
      </c>
    </row>
    <row r="36" spans="1:28" ht="23.25" customHeight="1" thickBot="1" x14ac:dyDescent="0.4">
      <c r="A36" s="27"/>
      <c r="B36" s="57"/>
      <c r="C36" s="29"/>
      <c r="D36" s="15"/>
      <c r="E36" s="15"/>
      <c r="F36" s="15"/>
      <c r="G36" s="15"/>
      <c r="H36" s="14"/>
      <c r="I36" s="15"/>
      <c r="J36" s="16"/>
      <c r="K36" s="14"/>
      <c r="L36" s="15"/>
      <c r="M36" s="16"/>
      <c r="N36" s="14"/>
      <c r="O36" s="16"/>
      <c r="P36" s="20"/>
      <c r="Q36" s="15"/>
      <c r="R36" s="15"/>
      <c r="S36" s="56">
        <f>SUM(S27:S35)</f>
        <v>95.379999999999967</v>
      </c>
      <c r="T36" s="56">
        <f>SUM(T27:T35)</f>
        <v>4593.4999999999991</v>
      </c>
      <c r="U36" s="16"/>
      <c r="W36" s="122">
        <f>SUM(W27:W35)</f>
        <v>1458.6000000000001</v>
      </c>
      <c r="X36" s="109">
        <f t="shared" ref="X36:AA36" si="37">SUM(X27:X35)</f>
        <v>1442.2200000000003</v>
      </c>
      <c r="Y36" s="109">
        <f t="shared" si="37"/>
        <v>16.379999999999967</v>
      </c>
      <c r="Z36" s="110">
        <f t="shared" si="37"/>
        <v>119</v>
      </c>
      <c r="AA36" s="114">
        <f t="shared" si="37"/>
        <v>95.379999999999967</v>
      </c>
      <c r="AB36" s="94"/>
    </row>
    <row r="37" spans="1:28" ht="31.5" customHeight="1" thickBot="1" x14ac:dyDescent="0.4">
      <c r="A37" s="58" t="s">
        <v>42</v>
      </c>
      <c r="B37" s="32">
        <f>+B4+B12+B22+B27</f>
        <v>6332</v>
      </c>
      <c r="C37" s="29"/>
      <c r="D37" s="15"/>
      <c r="E37" s="15"/>
      <c r="F37" s="15"/>
      <c r="G37" s="15"/>
      <c r="H37" s="14"/>
      <c r="I37" s="15"/>
      <c r="J37" s="16"/>
      <c r="K37" s="14"/>
      <c r="L37" s="15"/>
      <c r="M37" s="16"/>
      <c r="N37" s="14"/>
      <c r="O37" s="16"/>
      <c r="P37" s="20"/>
      <c r="Q37" s="15"/>
      <c r="R37" s="17"/>
      <c r="S37" s="85">
        <f>+S36+S26+S21+S11</f>
        <v>265.20499999999993</v>
      </c>
      <c r="T37" s="85">
        <f>+T36+T26+T21+T11</f>
        <v>14467.399999999996</v>
      </c>
      <c r="U37" s="62"/>
      <c r="W37" s="108">
        <f>+W11+W21+W26+W36</f>
        <v>4568.2</v>
      </c>
      <c r="X37" s="119">
        <f t="shared" ref="X37:AA37" si="38">+X11+X21+X26+X36</f>
        <v>4494.1650000000009</v>
      </c>
      <c r="Y37" s="119">
        <f t="shared" si="38"/>
        <v>74.034999999999926</v>
      </c>
      <c r="Z37" s="121">
        <f t="shared" si="38"/>
        <v>285.07</v>
      </c>
      <c r="AA37" s="120">
        <f t="shared" si="38"/>
        <v>265.20499999999993</v>
      </c>
      <c r="AB37" s="94"/>
    </row>
    <row r="38" spans="1:28" x14ac:dyDescent="0.35">
      <c r="B38" s="59"/>
      <c r="Y38" s="63"/>
    </row>
    <row r="39" spans="1:28" ht="15" thickBot="1" x14ac:dyDescent="0.4">
      <c r="W39" s="63"/>
      <c r="X39" s="63"/>
      <c r="Y39" s="63"/>
      <c r="Z39" s="63"/>
      <c r="AA39" s="63"/>
    </row>
    <row r="40" spans="1:28" ht="16" thickBot="1" x14ac:dyDescent="0.4">
      <c r="A40" s="322" t="s">
        <v>45</v>
      </c>
      <c r="B40" s="323"/>
      <c r="C40" s="323"/>
      <c r="D40" s="323"/>
      <c r="E40" s="323"/>
      <c r="F40" s="324"/>
    </row>
    <row r="41" spans="1:28" ht="30.75" customHeight="1" x14ac:dyDescent="0.35">
      <c r="A41" s="7" t="s">
        <v>6</v>
      </c>
      <c r="B41" s="8" t="s">
        <v>7</v>
      </c>
      <c r="C41" s="8" t="s">
        <v>53</v>
      </c>
      <c r="D41" s="60" t="s">
        <v>52</v>
      </c>
      <c r="E41" s="60" t="s">
        <v>57</v>
      </c>
      <c r="F41" s="90" t="s">
        <v>46</v>
      </c>
      <c r="O41" s="129" t="s">
        <v>60</v>
      </c>
      <c r="P41" s="130" t="s">
        <v>59</v>
      </c>
      <c r="X41" s="63"/>
    </row>
    <row r="42" spans="1:28" ht="25.5" customHeight="1" x14ac:dyDescent="0.35">
      <c r="A42" s="91" t="s">
        <v>47</v>
      </c>
      <c r="B42" s="92">
        <f>+B4</f>
        <v>1503</v>
      </c>
      <c r="C42" s="99">
        <f>+W11</f>
        <v>1043.05</v>
      </c>
      <c r="D42" s="99">
        <f>+AA11</f>
        <v>66.599999999999952</v>
      </c>
      <c r="E42" s="95">
        <f>+D42/B42</f>
        <v>4.4311377245508952E-2</v>
      </c>
      <c r="F42" s="12">
        <f>+D42/C42</f>
        <v>6.3851205598964525E-2</v>
      </c>
      <c r="O42" s="72">
        <f>+X11</f>
        <v>1022.1000000000001</v>
      </c>
      <c r="P42" s="65">
        <f>+Z11</f>
        <v>53.55</v>
      </c>
    </row>
    <row r="43" spans="1:28" ht="25.5" customHeight="1" x14ac:dyDescent="0.35">
      <c r="A43" s="91" t="s">
        <v>48</v>
      </c>
      <c r="B43" s="92">
        <f>+B12</f>
        <v>1460</v>
      </c>
      <c r="C43" s="92">
        <f>+W21</f>
        <v>1518.8</v>
      </c>
      <c r="D43" s="99">
        <f>+AA21</f>
        <v>85.000000000000014</v>
      </c>
      <c r="E43" s="95">
        <f>+D43/B43</f>
        <v>5.8219178082191791E-2</v>
      </c>
      <c r="F43" s="12">
        <f t="shared" ref="F43:F45" si="39">+D43/C43</f>
        <v>5.596523571240454E-2</v>
      </c>
      <c r="O43" s="72">
        <f>+X21</f>
        <v>1489.1999999999998</v>
      </c>
      <c r="P43" s="65">
        <f>+Z21</f>
        <v>95.4</v>
      </c>
      <c r="Q43" s="133"/>
      <c r="R43" s="134"/>
    </row>
    <row r="44" spans="1:28" ht="25.5" customHeight="1" x14ac:dyDescent="0.35">
      <c r="A44" s="91" t="s">
        <v>49</v>
      </c>
      <c r="B44" s="92">
        <f>+B22</f>
        <v>1995</v>
      </c>
      <c r="C44" s="92">
        <f>+W26</f>
        <v>547.75</v>
      </c>
      <c r="D44" s="99">
        <f>+AA26</f>
        <v>18.225000000000001</v>
      </c>
      <c r="E44" s="95">
        <f>+D44/B44</f>
        <v>9.1353383458646631E-3</v>
      </c>
      <c r="F44" s="12">
        <f t="shared" si="39"/>
        <v>3.3272478320401644E-2</v>
      </c>
      <c r="O44" s="72">
        <f>+X26</f>
        <v>540.64499999999998</v>
      </c>
      <c r="P44" s="65">
        <f>+Z26</f>
        <v>17.119999999999997</v>
      </c>
    </row>
    <row r="45" spans="1:28" ht="25.5" customHeight="1" x14ac:dyDescent="0.35">
      <c r="A45" s="91" t="s">
        <v>50</v>
      </c>
      <c r="B45" s="92">
        <f>+B27</f>
        <v>1374</v>
      </c>
      <c r="C45" s="99">
        <f>+W36</f>
        <v>1458.6000000000001</v>
      </c>
      <c r="D45" s="99">
        <f>+AA36</f>
        <v>95.379999999999967</v>
      </c>
      <c r="E45" s="95">
        <f>+D45/B45</f>
        <v>6.9417758369723415E-2</v>
      </c>
      <c r="F45" s="12">
        <f t="shared" si="39"/>
        <v>6.5391471273824192E-2</v>
      </c>
      <c r="O45" s="72">
        <f>+X36</f>
        <v>1442.2200000000003</v>
      </c>
      <c r="P45" s="65">
        <f>+Z36</f>
        <v>119</v>
      </c>
    </row>
    <row r="46" spans="1:28" ht="27" customHeight="1" thickBot="1" x14ac:dyDescent="0.4">
      <c r="A46" s="93" t="s">
        <v>51</v>
      </c>
      <c r="B46" s="96">
        <f>SUM(B42:B45)</f>
        <v>6332</v>
      </c>
      <c r="C46" s="96">
        <f>SUM(C42:C45)</f>
        <v>4568.2</v>
      </c>
      <c r="D46" s="100">
        <f>SUM(D42:D45)</f>
        <v>265.20499999999993</v>
      </c>
      <c r="E46" s="97">
        <f>+D46/B46</f>
        <v>4.1883291219204033E-2</v>
      </c>
      <c r="F46" s="101">
        <f>+D46/C46</f>
        <v>5.8054594807582842E-2</v>
      </c>
      <c r="G46" s="98"/>
      <c r="O46" s="131">
        <f>SUM(O42:O45)</f>
        <v>4494.1650000000009</v>
      </c>
      <c r="P46" s="132">
        <f>SUM(P42:P45)</f>
        <v>285.07</v>
      </c>
    </row>
    <row r="47" spans="1:28" x14ac:dyDescent="0.35">
      <c r="F47" s="59"/>
    </row>
    <row r="48" spans="1:28" x14ac:dyDescent="0.35">
      <c r="B48">
        <v>410</v>
      </c>
    </row>
    <row r="49" spans="2:2" x14ac:dyDescent="0.35">
      <c r="B49">
        <f>+B46+B48</f>
        <v>6742</v>
      </c>
    </row>
  </sheetData>
  <mergeCells count="16">
    <mergeCell ref="A27:A35"/>
    <mergeCell ref="B27:B35"/>
    <mergeCell ref="A40:F40"/>
    <mergeCell ref="W2:AA2"/>
    <mergeCell ref="A4:A10"/>
    <mergeCell ref="B4:B10"/>
    <mergeCell ref="A12:A20"/>
    <mergeCell ref="B12:B20"/>
    <mergeCell ref="A22:A25"/>
    <mergeCell ref="B22:B25"/>
    <mergeCell ref="P2:U2"/>
    <mergeCell ref="A1:F1"/>
    <mergeCell ref="A2:G2"/>
    <mergeCell ref="H2:J2"/>
    <mergeCell ref="K2:M2"/>
    <mergeCell ref="N2:O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9DEAE-9031-496F-8116-9A7245FCA32F}">
  <dimension ref="A1:AB49"/>
  <sheetViews>
    <sheetView view="pageBreakPreview" zoomScale="60" zoomScaleNormal="100" workbookViewId="0">
      <pane xSplit="7" ySplit="3" topLeftCell="H35" activePane="bottomRight" state="frozen"/>
      <selection pane="topRight" activeCell="H1" sqref="H1"/>
      <selection pane="bottomLeft" activeCell="A4" sqref="A4"/>
      <selection pane="bottomRight" activeCell="R41" sqref="R41"/>
    </sheetView>
  </sheetViews>
  <sheetFormatPr defaultRowHeight="14.5" x14ac:dyDescent="0.35"/>
  <cols>
    <col min="1" max="1" width="11" customWidth="1"/>
    <col min="2" max="2" width="7.81640625" customWidth="1"/>
    <col min="3" max="3" width="20" customWidth="1"/>
    <col min="4" max="4" width="9.1796875" customWidth="1"/>
    <col min="5" max="5" width="9.26953125" customWidth="1"/>
    <col min="6" max="6" width="10" customWidth="1"/>
    <col min="7" max="7" width="9.1796875" bestFit="1" customWidth="1"/>
    <col min="8" max="8" width="12.54296875" customWidth="1"/>
    <col min="9" max="9" width="12.453125" customWidth="1"/>
    <col min="10" max="10" width="11" customWidth="1"/>
    <col min="11" max="11" width="9.453125" customWidth="1"/>
    <col min="12" max="12" width="11" customWidth="1"/>
    <col min="13" max="13" width="13.54296875" customWidth="1"/>
    <col min="14" max="14" width="14.81640625" customWidth="1"/>
    <col min="15" max="15" width="16" customWidth="1"/>
    <col min="16" max="16" width="19.81640625" customWidth="1"/>
    <col min="17" max="18" width="9.54296875" customWidth="1"/>
    <col min="19" max="20" width="10.81640625" customWidth="1"/>
    <col min="21" max="21" width="12.7265625" customWidth="1"/>
    <col min="22" max="22" width="8.7265625" customWidth="1"/>
    <col min="23" max="23" width="16.1796875" customWidth="1"/>
    <col min="24" max="24" width="21.1796875" customWidth="1"/>
    <col min="25" max="27" width="10.81640625" bestFit="1" customWidth="1"/>
  </cols>
  <sheetData>
    <row r="1" spans="1:28" ht="45" customHeight="1" thickBot="1" x14ac:dyDescent="0.4">
      <c r="A1" s="308" t="s">
        <v>36</v>
      </c>
      <c r="B1" s="309"/>
      <c r="C1" s="309"/>
      <c r="D1" s="309"/>
      <c r="E1" s="309"/>
      <c r="F1" s="310"/>
    </row>
    <row r="2" spans="1:28" ht="45" customHeight="1" thickBot="1" x14ac:dyDescent="0.4">
      <c r="A2" s="311" t="s">
        <v>120</v>
      </c>
      <c r="B2" s="312"/>
      <c r="C2" s="312"/>
      <c r="D2" s="312"/>
      <c r="E2" s="312"/>
      <c r="F2" s="312"/>
      <c r="G2" s="313"/>
      <c r="H2" s="314" t="s">
        <v>22</v>
      </c>
      <c r="I2" s="315"/>
      <c r="J2" s="316"/>
      <c r="K2" s="317" t="s">
        <v>23</v>
      </c>
      <c r="L2" s="318"/>
      <c r="M2" s="319"/>
      <c r="N2" s="320" t="s">
        <v>24</v>
      </c>
      <c r="O2" s="321"/>
      <c r="P2" s="305" t="s">
        <v>25</v>
      </c>
      <c r="Q2" s="306"/>
      <c r="R2" s="306"/>
      <c r="S2" s="306"/>
      <c r="T2" s="306"/>
      <c r="U2" s="307"/>
      <c r="W2" s="325" t="s">
        <v>43</v>
      </c>
      <c r="X2" s="326"/>
      <c r="Y2" s="326"/>
      <c r="Z2" s="326"/>
      <c r="AA2" s="327"/>
    </row>
    <row r="3" spans="1:28" ht="45" customHeight="1" thickBot="1" x14ac:dyDescent="0.4">
      <c r="A3" s="39" t="s">
        <v>6</v>
      </c>
      <c r="B3" s="38" t="s">
        <v>7</v>
      </c>
      <c r="C3" s="38" t="s">
        <v>0</v>
      </c>
      <c r="D3" s="37" t="s">
        <v>15</v>
      </c>
      <c r="E3" s="38" t="s">
        <v>1</v>
      </c>
      <c r="F3" s="36" t="s">
        <v>27</v>
      </c>
      <c r="G3" s="37" t="s">
        <v>19</v>
      </c>
      <c r="H3" s="25" t="s">
        <v>4</v>
      </c>
      <c r="I3" s="89" t="s">
        <v>44</v>
      </c>
      <c r="J3" s="26" t="s">
        <v>29</v>
      </c>
      <c r="K3" s="88" t="s">
        <v>3</v>
      </c>
      <c r="L3" s="1" t="s">
        <v>28</v>
      </c>
      <c r="M3" s="87" t="s">
        <v>5</v>
      </c>
      <c r="N3" s="25" t="s">
        <v>20</v>
      </c>
      <c r="O3" s="26" t="s">
        <v>21</v>
      </c>
      <c r="P3" s="24" t="s">
        <v>8</v>
      </c>
      <c r="Q3" s="86" t="s">
        <v>9</v>
      </c>
      <c r="R3" s="2" t="s">
        <v>10</v>
      </c>
      <c r="S3" s="1" t="s">
        <v>26</v>
      </c>
      <c r="T3" s="1" t="s">
        <v>11</v>
      </c>
      <c r="U3" s="1" t="s">
        <v>30</v>
      </c>
      <c r="W3" s="43" t="s">
        <v>2</v>
      </c>
      <c r="X3" s="60" t="s">
        <v>3</v>
      </c>
      <c r="Y3" s="60" t="s">
        <v>28</v>
      </c>
      <c r="Z3" s="60" t="s">
        <v>5</v>
      </c>
      <c r="AA3" s="61" t="s">
        <v>26</v>
      </c>
    </row>
    <row r="4" spans="1:28" ht="45" customHeight="1" x14ac:dyDescent="0.5">
      <c r="A4" s="337" t="s">
        <v>136</v>
      </c>
      <c r="B4" s="339">
        <v>1887</v>
      </c>
      <c r="C4" s="136" t="s">
        <v>55</v>
      </c>
      <c r="D4" s="137">
        <v>2</v>
      </c>
      <c r="E4" s="138" t="s">
        <v>16</v>
      </c>
      <c r="F4" s="139">
        <v>2</v>
      </c>
      <c r="G4" s="140">
        <v>0.05</v>
      </c>
      <c r="H4" s="141">
        <f>+F4*B4</f>
        <v>3774</v>
      </c>
      <c r="I4" s="142">
        <v>3795</v>
      </c>
      <c r="J4" s="143">
        <f t="shared" ref="J4:J10" si="0">I4-H4</f>
        <v>21</v>
      </c>
      <c r="K4" s="144">
        <v>3774</v>
      </c>
      <c r="L4" s="145">
        <f>+I4-K4</f>
        <v>21</v>
      </c>
      <c r="M4" s="146">
        <v>50</v>
      </c>
      <c r="N4" s="147">
        <f>+K4-M4</f>
        <v>3724</v>
      </c>
      <c r="O4" s="148">
        <f>+N4/B4</f>
        <v>1.9735029146793852</v>
      </c>
      <c r="P4" s="149">
        <f>+L4+M4</f>
        <v>71</v>
      </c>
      <c r="Q4" s="150">
        <v>30</v>
      </c>
      <c r="R4" s="151">
        <f t="shared" ref="R4:R10" si="1">+P4-Q4</f>
        <v>41</v>
      </c>
      <c r="S4" s="151">
        <f t="shared" ref="S4:S10" si="2">+R4*G4</f>
        <v>2.0500000000000003</v>
      </c>
      <c r="T4" s="151">
        <f t="shared" ref="T4:T10" si="3">+R4*D4</f>
        <v>82</v>
      </c>
      <c r="U4" s="152">
        <f>+R4/I4</f>
        <v>1.0803689064558629E-2</v>
      </c>
      <c r="V4" s="153"/>
      <c r="W4" s="154">
        <f>+I4*G4</f>
        <v>189.75</v>
      </c>
      <c r="X4" s="155">
        <f>+K4*G4</f>
        <v>188.70000000000002</v>
      </c>
      <c r="Y4" s="155">
        <f>+L4*G4</f>
        <v>1.05</v>
      </c>
      <c r="Z4" s="155">
        <f>+M4*G4</f>
        <v>2.5</v>
      </c>
      <c r="AA4" s="156">
        <f>+R4*G4</f>
        <v>2.0500000000000003</v>
      </c>
    </row>
    <row r="5" spans="1:28" ht="45" customHeight="1" x14ac:dyDescent="0.5">
      <c r="A5" s="338"/>
      <c r="B5" s="340"/>
      <c r="C5" s="159" t="s">
        <v>87</v>
      </c>
      <c r="D5" s="160">
        <v>4</v>
      </c>
      <c r="E5" s="161" t="s">
        <v>16</v>
      </c>
      <c r="F5" s="162">
        <v>2</v>
      </c>
      <c r="G5" s="163">
        <v>0.05</v>
      </c>
      <c r="H5" s="164">
        <f>+F5*B4</f>
        <v>3774</v>
      </c>
      <c r="I5" s="165">
        <v>3790</v>
      </c>
      <c r="J5" s="166">
        <f t="shared" si="0"/>
        <v>16</v>
      </c>
      <c r="K5" s="167">
        <v>3774</v>
      </c>
      <c r="L5" s="168">
        <f t="shared" ref="L5:L10" si="4">+I5-K5</f>
        <v>16</v>
      </c>
      <c r="M5" s="169">
        <v>35</v>
      </c>
      <c r="N5" s="170">
        <f t="shared" ref="N5:N10" si="5">+K5-M5</f>
        <v>3739</v>
      </c>
      <c r="O5" s="171">
        <f>+N5/B4</f>
        <v>1.9814520402755698</v>
      </c>
      <c r="P5" s="172">
        <f>+L5+M5</f>
        <v>51</v>
      </c>
      <c r="Q5" s="173"/>
      <c r="R5" s="168">
        <f t="shared" si="1"/>
        <v>51</v>
      </c>
      <c r="S5" s="168">
        <f t="shared" si="2"/>
        <v>2.5500000000000003</v>
      </c>
      <c r="T5" s="168">
        <f t="shared" si="3"/>
        <v>204</v>
      </c>
      <c r="U5" s="174">
        <f t="shared" ref="U5:U9" si="6">+R5/I5</f>
        <v>1.345646437994723E-2</v>
      </c>
      <c r="V5" s="153"/>
      <c r="W5" s="154">
        <f t="shared" ref="W5:W35" si="7">+I5*G5</f>
        <v>189.5</v>
      </c>
      <c r="X5" s="155">
        <f t="shared" ref="X5:X35" si="8">+K5*G5</f>
        <v>188.70000000000002</v>
      </c>
      <c r="Y5" s="155">
        <f t="shared" ref="Y5:Y35" si="9">+L5*G5</f>
        <v>0.8</v>
      </c>
      <c r="Z5" s="155">
        <f t="shared" ref="Z5:Z35" si="10">+M5*G5</f>
        <v>1.75</v>
      </c>
      <c r="AA5" s="156">
        <f t="shared" ref="AA5:AA35" si="11">+R5*G5</f>
        <v>2.5500000000000003</v>
      </c>
    </row>
    <row r="6" spans="1:28" ht="45" customHeight="1" x14ac:dyDescent="0.5">
      <c r="A6" s="338"/>
      <c r="B6" s="340"/>
      <c r="C6" s="159" t="s">
        <v>88</v>
      </c>
      <c r="D6" s="160">
        <v>40</v>
      </c>
      <c r="E6" s="161" t="s">
        <v>17</v>
      </c>
      <c r="F6" s="175">
        <v>0.15</v>
      </c>
      <c r="G6" s="163">
        <v>1</v>
      </c>
      <c r="H6" s="176">
        <f>+F6*B4</f>
        <v>283.05</v>
      </c>
      <c r="I6" s="165">
        <v>291</v>
      </c>
      <c r="J6" s="166">
        <f t="shared" si="0"/>
        <v>7.9499999999999886</v>
      </c>
      <c r="K6" s="167">
        <v>283.10000000000002</v>
      </c>
      <c r="L6" s="168">
        <f t="shared" si="4"/>
        <v>7.8999999999999773</v>
      </c>
      <c r="M6" s="169">
        <v>11.5</v>
      </c>
      <c r="N6" s="177">
        <f t="shared" si="5"/>
        <v>271.60000000000002</v>
      </c>
      <c r="O6" s="178">
        <f>+N6/B4</f>
        <v>0.14393216746157925</v>
      </c>
      <c r="P6" s="172">
        <f>+L6+M6</f>
        <v>19.399999999999977</v>
      </c>
      <c r="Q6" s="173"/>
      <c r="R6" s="168">
        <f t="shared" si="1"/>
        <v>19.399999999999977</v>
      </c>
      <c r="S6" s="168">
        <f t="shared" si="2"/>
        <v>19.399999999999977</v>
      </c>
      <c r="T6" s="168">
        <f t="shared" si="3"/>
        <v>775.99999999999909</v>
      </c>
      <c r="U6" s="174">
        <f t="shared" si="6"/>
        <v>6.6666666666666582E-2</v>
      </c>
      <c r="V6" s="153"/>
      <c r="W6" s="154">
        <f t="shared" si="7"/>
        <v>291</v>
      </c>
      <c r="X6" s="155">
        <f t="shared" si="8"/>
        <v>283.10000000000002</v>
      </c>
      <c r="Y6" s="155">
        <f t="shared" si="9"/>
        <v>7.8999999999999773</v>
      </c>
      <c r="Z6" s="155">
        <f t="shared" si="10"/>
        <v>11.5</v>
      </c>
      <c r="AA6" s="156">
        <f t="shared" si="11"/>
        <v>19.399999999999977</v>
      </c>
    </row>
    <row r="7" spans="1:28" ht="45" customHeight="1" x14ac:dyDescent="0.5">
      <c r="A7" s="338"/>
      <c r="B7" s="340"/>
      <c r="C7" s="159" t="s">
        <v>12</v>
      </c>
      <c r="D7" s="160">
        <v>45</v>
      </c>
      <c r="E7" s="161" t="s">
        <v>17</v>
      </c>
      <c r="F7" s="175">
        <v>0.1</v>
      </c>
      <c r="G7" s="163">
        <v>1</v>
      </c>
      <c r="H7" s="176">
        <f>+F7*B4</f>
        <v>188.70000000000002</v>
      </c>
      <c r="I7" s="165">
        <v>192</v>
      </c>
      <c r="J7" s="166">
        <f t="shared" si="0"/>
        <v>3.2999999999999829</v>
      </c>
      <c r="K7" s="167">
        <v>188.7</v>
      </c>
      <c r="L7" s="168">
        <f t="shared" si="4"/>
        <v>3.3000000000000114</v>
      </c>
      <c r="M7" s="169">
        <v>11</v>
      </c>
      <c r="N7" s="170">
        <f t="shared" si="5"/>
        <v>177.7</v>
      </c>
      <c r="O7" s="178">
        <f>+N7/B4</f>
        <v>9.4170641229464752E-2</v>
      </c>
      <c r="P7" s="172">
        <f t="shared" ref="P7:P10" si="12">+L7+M7</f>
        <v>14.300000000000011</v>
      </c>
      <c r="Q7" s="173"/>
      <c r="R7" s="168">
        <f t="shared" si="1"/>
        <v>14.300000000000011</v>
      </c>
      <c r="S7" s="168">
        <f t="shared" si="2"/>
        <v>14.300000000000011</v>
      </c>
      <c r="T7" s="168">
        <f t="shared" si="3"/>
        <v>643.50000000000045</v>
      </c>
      <c r="U7" s="174">
        <f t="shared" si="6"/>
        <v>7.4479166666666721E-2</v>
      </c>
      <c r="V7" s="153"/>
      <c r="W7" s="154">
        <f t="shared" si="7"/>
        <v>192</v>
      </c>
      <c r="X7" s="155">
        <f t="shared" si="8"/>
        <v>188.7</v>
      </c>
      <c r="Y7" s="155">
        <f t="shared" si="9"/>
        <v>3.3000000000000114</v>
      </c>
      <c r="Z7" s="155">
        <f t="shared" si="10"/>
        <v>11</v>
      </c>
      <c r="AA7" s="156">
        <f t="shared" si="11"/>
        <v>14.300000000000011</v>
      </c>
    </row>
    <row r="8" spans="1:28" ht="45" customHeight="1" x14ac:dyDescent="0.5">
      <c r="A8" s="338"/>
      <c r="B8" s="340"/>
      <c r="C8" s="159" t="s">
        <v>89</v>
      </c>
      <c r="D8" s="160">
        <v>52</v>
      </c>
      <c r="E8" s="161" t="s">
        <v>17</v>
      </c>
      <c r="F8" s="175">
        <v>0.1</v>
      </c>
      <c r="G8" s="163">
        <v>1</v>
      </c>
      <c r="H8" s="176">
        <f>+F8*B4</f>
        <v>188.70000000000002</v>
      </c>
      <c r="I8" s="165">
        <v>193.5</v>
      </c>
      <c r="J8" s="166">
        <f t="shared" si="0"/>
        <v>4.7999999999999829</v>
      </c>
      <c r="K8" s="167">
        <v>188.7</v>
      </c>
      <c r="L8" s="168">
        <f>+I8-K8</f>
        <v>4.8000000000000114</v>
      </c>
      <c r="M8" s="169">
        <v>2.5</v>
      </c>
      <c r="N8" s="177">
        <f t="shared" si="5"/>
        <v>186.2</v>
      </c>
      <c r="O8" s="178">
        <f>+N8/B4</f>
        <v>9.8675145733969252E-2</v>
      </c>
      <c r="P8" s="172">
        <f t="shared" si="12"/>
        <v>7.3000000000000114</v>
      </c>
      <c r="Q8" s="173"/>
      <c r="R8" s="168">
        <f t="shared" si="1"/>
        <v>7.3000000000000114</v>
      </c>
      <c r="S8" s="168">
        <f t="shared" si="2"/>
        <v>7.3000000000000114</v>
      </c>
      <c r="T8" s="168">
        <f t="shared" si="3"/>
        <v>379.60000000000059</v>
      </c>
      <c r="U8" s="174">
        <f t="shared" si="6"/>
        <v>3.772609819121453E-2</v>
      </c>
      <c r="V8" s="153"/>
      <c r="W8" s="154">
        <f t="shared" si="7"/>
        <v>193.5</v>
      </c>
      <c r="X8" s="155">
        <f t="shared" si="8"/>
        <v>188.7</v>
      </c>
      <c r="Y8" s="155">
        <f t="shared" si="9"/>
        <v>4.8000000000000114</v>
      </c>
      <c r="Z8" s="155">
        <f t="shared" si="10"/>
        <v>2.5</v>
      </c>
      <c r="AA8" s="156">
        <f t="shared" si="11"/>
        <v>7.3000000000000114</v>
      </c>
    </row>
    <row r="9" spans="1:28" ht="45" customHeight="1" x14ac:dyDescent="0.5">
      <c r="A9" s="338"/>
      <c r="B9" s="340"/>
      <c r="C9" s="159" t="s">
        <v>123</v>
      </c>
      <c r="D9" s="160">
        <v>60</v>
      </c>
      <c r="E9" s="161" t="s">
        <v>17</v>
      </c>
      <c r="F9" s="175">
        <v>0.03</v>
      </c>
      <c r="G9" s="163">
        <v>1</v>
      </c>
      <c r="H9" s="179">
        <f>+F9*B4</f>
        <v>56.61</v>
      </c>
      <c r="I9" s="165">
        <v>58.5</v>
      </c>
      <c r="J9" s="166">
        <f t="shared" si="0"/>
        <v>1.8900000000000006</v>
      </c>
      <c r="K9" s="167">
        <v>56.6</v>
      </c>
      <c r="L9" s="180">
        <f>+I9-K9</f>
        <v>1.8999999999999986</v>
      </c>
      <c r="M9" s="169">
        <v>2</v>
      </c>
      <c r="N9" s="170">
        <f t="shared" si="5"/>
        <v>54.6</v>
      </c>
      <c r="O9" s="178">
        <f>+N9/B4</f>
        <v>2.8934817170111288E-2</v>
      </c>
      <c r="P9" s="172">
        <f t="shared" si="12"/>
        <v>3.8999999999999986</v>
      </c>
      <c r="Q9" s="173"/>
      <c r="R9" s="168">
        <f t="shared" si="1"/>
        <v>3.8999999999999986</v>
      </c>
      <c r="S9" s="168">
        <f t="shared" si="2"/>
        <v>3.8999999999999986</v>
      </c>
      <c r="T9" s="168">
        <f t="shared" si="3"/>
        <v>233.99999999999991</v>
      </c>
      <c r="U9" s="174">
        <f t="shared" si="6"/>
        <v>6.6666666666666638E-2</v>
      </c>
      <c r="V9" s="153"/>
      <c r="W9" s="154">
        <f t="shared" si="7"/>
        <v>58.5</v>
      </c>
      <c r="X9" s="155">
        <f t="shared" si="8"/>
        <v>56.6</v>
      </c>
      <c r="Y9" s="155">
        <f t="shared" si="9"/>
        <v>1.8999999999999986</v>
      </c>
      <c r="Z9" s="155">
        <f t="shared" si="10"/>
        <v>2</v>
      </c>
      <c r="AA9" s="156">
        <f t="shared" si="11"/>
        <v>3.8999999999999986</v>
      </c>
    </row>
    <row r="10" spans="1:28" ht="45" customHeight="1" x14ac:dyDescent="0.5">
      <c r="A10" s="338"/>
      <c r="B10" s="340"/>
      <c r="C10" s="159" t="s">
        <v>14</v>
      </c>
      <c r="D10" s="160">
        <v>60</v>
      </c>
      <c r="E10" s="161" t="s">
        <v>18</v>
      </c>
      <c r="F10" s="175">
        <v>0.1</v>
      </c>
      <c r="G10" s="163">
        <v>1</v>
      </c>
      <c r="H10" s="176">
        <f>+F10*B4</f>
        <v>188.70000000000002</v>
      </c>
      <c r="I10" s="165">
        <v>192.5</v>
      </c>
      <c r="J10" s="166">
        <f t="shared" si="0"/>
        <v>3.7999999999999829</v>
      </c>
      <c r="K10" s="167">
        <v>188.7</v>
      </c>
      <c r="L10" s="168">
        <f t="shared" si="4"/>
        <v>3.8000000000000114</v>
      </c>
      <c r="M10" s="169">
        <v>5</v>
      </c>
      <c r="N10" s="177">
        <f t="shared" si="5"/>
        <v>183.7</v>
      </c>
      <c r="O10" s="178">
        <f>+N10/B4</f>
        <v>9.7350291467938527E-2</v>
      </c>
      <c r="P10" s="172">
        <f t="shared" si="12"/>
        <v>8.8000000000000114</v>
      </c>
      <c r="Q10" s="173"/>
      <c r="R10" s="168">
        <f t="shared" si="1"/>
        <v>8.8000000000000114</v>
      </c>
      <c r="S10" s="168">
        <f t="shared" si="2"/>
        <v>8.8000000000000114</v>
      </c>
      <c r="T10" s="168">
        <f t="shared" si="3"/>
        <v>528.00000000000068</v>
      </c>
      <c r="U10" s="174">
        <f>+R10/I10</f>
        <v>4.5714285714285777E-2</v>
      </c>
      <c r="V10" s="153"/>
      <c r="W10" s="181">
        <f t="shared" si="7"/>
        <v>192.5</v>
      </c>
      <c r="X10" s="182">
        <f t="shared" si="8"/>
        <v>188.7</v>
      </c>
      <c r="Y10" s="182">
        <f t="shared" si="9"/>
        <v>3.8000000000000114</v>
      </c>
      <c r="Z10" s="182">
        <f t="shared" si="10"/>
        <v>5</v>
      </c>
      <c r="AA10" s="183">
        <f t="shared" si="11"/>
        <v>8.8000000000000114</v>
      </c>
    </row>
    <row r="11" spans="1:28" ht="45" customHeight="1" thickBot="1" x14ac:dyDescent="0.55000000000000004">
      <c r="A11" s="184"/>
      <c r="B11" s="185"/>
      <c r="C11" s="186"/>
      <c r="D11" s="187"/>
      <c r="E11" s="187"/>
      <c r="F11" s="187"/>
      <c r="G11" s="187"/>
      <c r="H11" s="188"/>
      <c r="I11" s="189"/>
      <c r="J11" s="190"/>
      <c r="K11" s="191"/>
      <c r="L11" s="187"/>
      <c r="M11" s="192"/>
      <c r="N11" s="193"/>
      <c r="O11" s="190"/>
      <c r="P11" s="194"/>
      <c r="Q11" s="195"/>
      <c r="R11" s="187"/>
      <c r="S11" s="196">
        <f>SUM(S4:S10)</f>
        <v>58.300000000000011</v>
      </c>
      <c r="T11" s="197">
        <f>SUM(T4:T10)</f>
        <v>2847.1000000000013</v>
      </c>
      <c r="U11" s="190"/>
      <c r="V11" s="153"/>
      <c r="W11" s="198">
        <f>SUM(W4:W10)</f>
        <v>1306.75</v>
      </c>
      <c r="X11" s="199">
        <f t="shared" ref="X11:AA11" si="13">SUM(X4:X10)</f>
        <v>1283.2</v>
      </c>
      <c r="Y11" s="199">
        <f t="shared" si="13"/>
        <v>23.550000000000011</v>
      </c>
      <c r="Z11" s="200">
        <f t="shared" si="13"/>
        <v>36.25</v>
      </c>
      <c r="AA11" s="201">
        <f t="shared" si="13"/>
        <v>58.300000000000011</v>
      </c>
      <c r="AB11" s="94"/>
    </row>
    <row r="12" spans="1:28" ht="45" customHeight="1" x14ac:dyDescent="0.5">
      <c r="A12" s="328" t="s">
        <v>137</v>
      </c>
      <c r="B12" s="331">
        <f>85+120+100+10+4+50+190+45+350+50+120+90+240+60+20+18+7</f>
        <v>1559</v>
      </c>
      <c r="C12" s="136" t="s">
        <v>31</v>
      </c>
      <c r="D12" s="137">
        <v>20</v>
      </c>
      <c r="E12" s="138" t="s">
        <v>17</v>
      </c>
      <c r="F12" s="202">
        <v>0.4</v>
      </c>
      <c r="G12" s="140">
        <v>1</v>
      </c>
      <c r="H12" s="141">
        <f>+F12*B12</f>
        <v>623.6</v>
      </c>
      <c r="I12" s="142">
        <v>655</v>
      </c>
      <c r="J12" s="143">
        <f t="shared" ref="J12:J20" si="14">I12-H12</f>
        <v>31.399999999999977</v>
      </c>
      <c r="K12" s="144">
        <v>623.6</v>
      </c>
      <c r="L12" s="151">
        <f>+I12-K12</f>
        <v>31.399999999999977</v>
      </c>
      <c r="M12" s="146">
        <v>80</v>
      </c>
      <c r="N12" s="203">
        <f>+K12-M12</f>
        <v>543.6</v>
      </c>
      <c r="O12" s="204">
        <f>+N12/B12</f>
        <v>0.34868505452212961</v>
      </c>
      <c r="P12" s="149">
        <f>+L12+M12</f>
        <v>111.39999999999998</v>
      </c>
      <c r="Q12" s="150">
        <v>85</v>
      </c>
      <c r="R12" s="151">
        <f>+P12-Q12</f>
        <v>26.399999999999977</v>
      </c>
      <c r="S12" s="151">
        <f>+R12*G12</f>
        <v>26.399999999999977</v>
      </c>
      <c r="T12" s="151">
        <f t="shared" ref="T12:T20" si="15">+R12*D12</f>
        <v>527.99999999999955</v>
      </c>
      <c r="U12" s="152">
        <f>+R12/I12</f>
        <v>4.0305343511450348E-2</v>
      </c>
      <c r="V12" s="153"/>
      <c r="W12" s="205">
        <f t="shared" si="7"/>
        <v>655</v>
      </c>
      <c r="X12" s="206">
        <f t="shared" si="8"/>
        <v>623.6</v>
      </c>
      <c r="Y12" s="206">
        <f t="shared" si="9"/>
        <v>31.399999999999977</v>
      </c>
      <c r="Z12" s="206">
        <f t="shared" si="10"/>
        <v>80</v>
      </c>
      <c r="AA12" s="207">
        <f t="shared" si="11"/>
        <v>26.399999999999977</v>
      </c>
    </row>
    <row r="13" spans="1:28" ht="45" customHeight="1" x14ac:dyDescent="0.5">
      <c r="A13" s="329"/>
      <c r="B13" s="332"/>
      <c r="C13" s="159" t="s">
        <v>128</v>
      </c>
      <c r="D13" s="160">
        <v>65</v>
      </c>
      <c r="E13" s="161" t="s">
        <v>17</v>
      </c>
      <c r="F13" s="175">
        <v>0.1</v>
      </c>
      <c r="G13" s="163">
        <v>1</v>
      </c>
      <c r="H13" s="164">
        <f>+F13*B12</f>
        <v>155.9</v>
      </c>
      <c r="I13" s="165">
        <v>160</v>
      </c>
      <c r="J13" s="166">
        <f t="shared" si="14"/>
        <v>4.0999999999999943</v>
      </c>
      <c r="K13" s="167">
        <v>155.9</v>
      </c>
      <c r="L13" s="168">
        <f t="shared" ref="L13:L20" si="16">+I13-K13</f>
        <v>4.0999999999999943</v>
      </c>
      <c r="M13" s="169">
        <v>9</v>
      </c>
      <c r="N13" s="170">
        <f>+K13-M13</f>
        <v>146.9</v>
      </c>
      <c r="O13" s="178">
        <f>+N13/B12</f>
        <v>9.4227068633739586E-2</v>
      </c>
      <c r="P13" s="172">
        <f>+L13+M13</f>
        <v>13.099999999999994</v>
      </c>
      <c r="Q13" s="173">
        <v>0</v>
      </c>
      <c r="R13" s="168">
        <f t="shared" ref="R13:R20" si="17">+P13-Q13</f>
        <v>13.099999999999994</v>
      </c>
      <c r="S13" s="168">
        <f>+R13*G13</f>
        <v>13.099999999999994</v>
      </c>
      <c r="T13" s="168">
        <f t="shared" si="15"/>
        <v>851.49999999999966</v>
      </c>
      <c r="U13" s="174">
        <f t="shared" ref="U13:U20" si="18">+R13/I13</f>
        <v>8.1874999999999962E-2</v>
      </c>
      <c r="V13" s="153"/>
      <c r="W13" s="154">
        <f t="shared" si="7"/>
        <v>160</v>
      </c>
      <c r="X13" s="155">
        <f t="shared" si="8"/>
        <v>155.9</v>
      </c>
      <c r="Y13" s="155">
        <f t="shared" si="9"/>
        <v>4.0999999999999943</v>
      </c>
      <c r="Z13" s="155">
        <f>+M13*G13</f>
        <v>9</v>
      </c>
      <c r="AA13" s="156">
        <f t="shared" si="11"/>
        <v>13.099999999999994</v>
      </c>
    </row>
    <row r="14" spans="1:28" ht="45" customHeight="1" x14ac:dyDescent="0.5">
      <c r="A14" s="329"/>
      <c r="B14" s="332"/>
      <c r="C14" s="159" t="s">
        <v>129</v>
      </c>
      <c r="D14" s="160">
        <v>130</v>
      </c>
      <c r="E14" s="161" t="s">
        <v>17</v>
      </c>
      <c r="F14" s="175">
        <v>0.05</v>
      </c>
      <c r="G14" s="163">
        <v>1</v>
      </c>
      <c r="H14" s="176">
        <f>+F14*B12</f>
        <v>77.95</v>
      </c>
      <c r="I14" s="165">
        <v>80.5</v>
      </c>
      <c r="J14" s="166">
        <f t="shared" si="14"/>
        <v>2.5499999999999972</v>
      </c>
      <c r="K14" s="167">
        <v>78</v>
      </c>
      <c r="L14" s="168">
        <f t="shared" si="16"/>
        <v>2.5</v>
      </c>
      <c r="M14" s="169">
        <v>3.5</v>
      </c>
      <c r="N14" s="177">
        <f>+K14-M14</f>
        <v>74.5</v>
      </c>
      <c r="O14" s="178">
        <f>+N14/B12</f>
        <v>4.778704297626684E-2</v>
      </c>
      <c r="P14" s="172">
        <f>+L14+M14</f>
        <v>6</v>
      </c>
      <c r="Q14" s="173">
        <v>0</v>
      </c>
      <c r="R14" s="168">
        <f t="shared" si="17"/>
        <v>6</v>
      </c>
      <c r="S14" s="168">
        <f t="shared" ref="S14:S20" si="19">+R14*G14</f>
        <v>6</v>
      </c>
      <c r="T14" s="168">
        <f t="shared" si="15"/>
        <v>780</v>
      </c>
      <c r="U14" s="174">
        <f t="shared" si="18"/>
        <v>7.4534161490683232E-2</v>
      </c>
      <c r="V14" s="153"/>
      <c r="W14" s="154">
        <f t="shared" si="7"/>
        <v>80.5</v>
      </c>
      <c r="X14" s="155">
        <f t="shared" si="8"/>
        <v>78</v>
      </c>
      <c r="Y14" s="155">
        <f t="shared" si="9"/>
        <v>2.5</v>
      </c>
      <c r="Z14" s="155">
        <f>+M14*G14</f>
        <v>3.5</v>
      </c>
      <c r="AA14" s="156">
        <f t="shared" si="11"/>
        <v>6</v>
      </c>
    </row>
    <row r="15" spans="1:28" ht="45" customHeight="1" x14ac:dyDescent="0.5">
      <c r="A15" s="329"/>
      <c r="B15" s="332"/>
      <c r="C15" s="159" t="s">
        <v>130</v>
      </c>
      <c r="D15" s="160">
        <v>55</v>
      </c>
      <c r="E15" s="161" t="s">
        <v>17</v>
      </c>
      <c r="F15" s="175">
        <v>0.1</v>
      </c>
      <c r="G15" s="163">
        <v>1</v>
      </c>
      <c r="H15" s="176">
        <f>+F15*B12</f>
        <v>155.9</v>
      </c>
      <c r="I15" s="165">
        <v>159</v>
      </c>
      <c r="J15" s="166">
        <f t="shared" si="14"/>
        <v>3.0999999999999943</v>
      </c>
      <c r="K15" s="167">
        <v>155.9</v>
      </c>
      <c r="L15" s="168">
        <f t="shared" si="16"/>
        <v>3.0999999999999943</v>
      </c>
      <c r="M15" s="169">
        <v>10.5</v>
      </c>
      <c r="N15" s="170">
        <f t="shared" ref="N15:N20" si="20">+K15-M15</f>
        <v>145.4</v>
      </c>
      <c r="O15" s="178">
        <f>+N15/B12</f>
        <v>9.3264913406029507E-2</v>
      </c>
      <c r="P15" s="172">
        <f t="shared" ref="P15:P20" si="21">+L15+M15</f>
        <v>13.599999999999994</v>
      </c>
      <c r="Q15" s="173">
        <v>0</v>
      </c>
      <c r="R15" s="168">
        <f t="shared" si="17"/>
        <v>13.599999999999994</v>
      </c>
      <c r="S15" s="168">
        <f t="shared" si="19"/>
        <v>13.599999999999994</v>
      </c>
      <c r="T15" s="168">
        <f t="shared" si="15"/>
        <v>747.99999999999966</v>
      </c>
      <c r="U15" s="174">
        <f t="shared" si="18"/>
        <v>8.5534591194968521E-2</v>
      </c>
      <c r="V15" s="153"/>
      <c r="W15" s="154">
        <f t="shared" si="7"/>
        <v>159</v>
      </c>
      <c r="X15" s="155">
        <f t="shared" si="8"/>
        <v>155.9</v>
      </c>
      <c r="Y15" s="155">
        <f t="shared" si="9"/>
        <v>3.0999999999999943</v>
      </c>
      <c r="Z15" s="155">
        <f t="shared" si="10"/>
        <v>10.5</v>
      </c>
      <c r="AA15" s="156">
        <f t="shared" si="11"/>
        <v>13.599999999999994</v>
      </c>
    </row>
    <row r="16" spans="1:28" ht="45" customHeight="1" x14ac:dyDescent="0.5">
      <c r="A16" s="329"/>
      <c r="B16" s="332"/>
      <c r="C16" s="159" t="s">
        <v>32</v>
      </c>
      <c r="D16" s="160">
        <v>48</v>
      </c>
      <c r="E16" s="161" t="s">
        <v>18</v>
      </c>
      <c r="F16" s="175">
        <v>0.08</v>
      </c>
      <c r="G16" s="163">
        <v>1</v>
      </c>
      <c r="H16" s="176">
        <f>+F16*B12</f>
        <v>124.72</v>
      </c>
      <c r="I16" s="165">
        <v>129.5</v>
      </c>
      <c r="J16" s="166">
        <f t="shared" si="14"/>
        <v>4.7800000000000011</v>
      </c>
      <c r="K16" s="167">
        <v>124.7</v>
      </c>
      <c r="L16" s="168">
        <f t="shared" si="16"/>
        <v>4.7999999999999972</v>
      </c>
      <c r="M16" s="169">
        <v>7.5</v>
      </c>
      <c r="N16" s="177">
        <f t="shared" si="20"/>
        <v>117.2</v>
      </c>
      <c r="O16" s="178">
        <f>+N16/B12</f>
        <v>7.5176395125080175E-2</v>
      </c>
      <c r="P16" s="172">
        <f t="shared" si="21"/>
        <v>12.299999999999997</v>
      </c>
      <c r="Q16" s="173">
        <v>0</v>
      </c>
      <c r="R16" s="168">
        <f t="shared" si="17"/>
        <v>12.299999999999997</v>
      </c>
      <c r="S16" s="168">
        <f t="shared" si="19"/>
        <v>12.299999999999997</v>
      </c>
      <c r="T16" s="168">
        <f t="shared" si="15"/>
        <v>590.39999999999986</v>
      </c>
      <c r="U16" s="174">
        <f t="shared" si="18"/>
        <v>9.498069498069496E-2</v>
      </c>
      <c r="V16" s="153"/>
      <c r="W16" s="154">
        <f t="shared" si="7"/>
        <v>129.5</v>
      </c>
      <c r="X16" s="155">
        <f t="shared" si="8"/>
        <v>124.7</v>
      </c>
      <c r="Y16" s="155">
        <f t="shared" si="9"/>
        <v>4.7999999999999972</v>
      </c>
      <c r="Z16" s="155">
        <f t="shared" si="10"/>
        <v>7.5</v>
      </c>
      <c r="AA16" s="156">
        <f t="shared" si="11"/>
        <v>12.299999999999997</v>
      </c>
    </row>
    <row r="17" spans="1:28" ht="45" customHeight="1" x14ac:dyDescent="0.5">
      <c r="A17" s="329"/>
      <c r="B17" s="332"/>
      <c r="C17" s="159" t="s">
        <v>54</v>
      </c>
      <c r="D17" s="160">
        <v>35</v>
      </c>
      <c r="E17" s="161" t="s">
        <v>18</v>
      </c>
      <c r="F17" s="175">
        <v>0.08</v>
      </c>
      <c r="G17" s="163">
        <v>1</v>
      </c>
      <c r="H17" s="179">
        <f>+F17*B12</f>
        <v>124.72</v>
      </c>
      <c r="I17" s="165">
        <v>127</v>
      </c>
      <c r="J17" s="208">
        <f t="shared" si="14"/>
        <v>2.2800000000000011</v>
      </c>
      <c r="K17" s="167">
        <v>124.7</v>
      </c>
      <c r="L17" s="168">
        <f t="shared" si="16"/>
        <v>2.2999999999999972</v>
      </c>
      <c r="M17" s="169">
        <v>8</v>
      </c>
      <c r="N17" s="170">
        <f t="shared" si="20"/>
        <v>116.7</v>
      </c>
      <c r="O17" s="178">
        <f>+N17/B12</f>
        <v>7.4855676715843492E-2</v>
      </c>
      <c r="P17" s="172">
        <f t="shared" si="21"/>
        <v>10.299999999999997</v>
      </c>
      <c r="Q17" s="173">
        <v>0</v>
      </c>
      <c r="R17" s="168">
        <f t="shared" si="17"/>
        <v>10.299999999999997</v>
      </c>
      <c r="S17" s="168">
        <f t="shared" si="19"/>
        <v>10.299999999999997</v>
      </c>
      <c r="T17" s="168">
        <f t="shared" si="15"/>
        <v>360.49999999999989</v>
      </c>
      <c r="U17" s="174">
        <f t="shared" si="18"/>
        <v>8.1102362204724388E-2</v>
      </c>
      <c r="V17" s="153"/>
      <c r="W17" s="154">
        <f t="shared" si="7"/>
        <v>127</v>
      </c>
      <c r="X17" s="155">
        <f t="shared" si="8"/>
        <v>124.7</v>
      </c>
      <c r="Y17" s="155">
        <f t="shared" si="9"/>
        <v>2.2999999999999972</v>
      </c>
      <c r="Z17" s="155">
        <f t="shared" si="10"/>
        <v>8</v>
      </c>
      <c r="AA17" s="156">
        <f t="shared" si="11"/>
        <v>10.299999999999997</v>
      </c>
    </row>
    <row r="18" spans="1:28" ht="45" customHeight="1" x14ac:dyDescent="0.5">
      <c r="A18" s="329"/>
      <c r="B18" s="332"/>
      <c r="C18" s="159" t="s">
        <v>33</v>
      </c>
      <c r="D18" s="160">
        <v>50</v>
      </c>
      <c r="E18" s="161" t="s">
        <v>17</v>
      </c>
      <c r="F18" s="175">
        <v>0.03</v>
      </c>
      <c r="G18" s="163">
        <v>1</v>
      </c>
      <c r="H18" s="176">
        <f>+F18*B12</f>
        <v>46.769999999999996</v>
      </c>
      <c r="I18" s="165">
        <v>48.5</v>
      </c>
      <c r="J18" s="166">
        <f t="shared" si="14"/>
        <v>1.730000000000004</v>
      </c>
      <c r="K18" s="167">
        <v>46.8</v>
      </c>
      <c r="L18" s="168">
        <f t="shared" si="16"/>
        <v>1.7000000000000028</v>
      </c>
      <c r="M18" s="169">
        <v>4.5</v>
      </c>
      <c r="N18" s="170">
        <f t="shared" si="20"/>
        <v>42.3</v>
      </c>
      <c r="O18" s="178">
        <f>+N18/B12</f>
        <v>2.7132777421423986E-2</v>
      </c>
      <c r="P18" s="172">
        <f t="shared" si="21"/>
        <v>6.2000000000000028</v>
      </c>
      <c r="Q18" s="173">
        <v>0</v>
      </c>
      <c r="R18" s="168">
        <f t="shared" si="17"/>
        <v>6.2000000000000028</v>
      </c>
      <c r="S18" s="168">
        <f t="shared" si="19"/>
        <v>6.2000000000000028</v>
      </c>
      <c r="T18" s="168">
        <f t="shared" si="15"/>
        <v>310.00000000000011</v>
      </c>
      <c r="U18" s="174">
        <f t="shared" si="18"/>
        <v>0.1278350515463918</v>
      </c>
      <c r="V18" s="153"/>
      <c r="W18" s="154">
        <f t="shared" si="7"/>
        <v>48.5</v>
      </c>
      <c r="X18" s="155">
        <f t="shared" si="8"/>
        <v>46.8</v>
      </c>
      <c r="Y18" s="155">
        <f t="shared" si="9"/>
        <v>1.7000000000000028</v>
      </c>
      <c r="Z18" s="155">
        <f t="shared" si="10"/>
        <v>4.5</v>
      </c>
      <c r="AA18" s="156">
        <f t="shared" si="11"/>
        <v>6.2000000000000028</v>
      </c>
    </row>
    <row r="19" spans="1:28" ht="45" customHeight="1" x14ac:dyDescent="0.5">
      <c r="A19" s="329"/>
      <c r="B19" s="332"/>
      <c r="C19" s="159" t="s">
        <v>34</v>
      </c>
      <c r="D19" s="161">
        <v>70</v>
      </c>
      <c r="E19" s="161" t="s">
        <v>17</v>
      </c>
      <c r="F19" s="163">
        <v>0.1</v>
      </c>
      <c r="G19" s="163">
        <v>1</v>
      </c>
      <c r="H19" s="176">
        <f>+F19*B12</f>
        <v>155.9</v>
      </c>
      <c r="I19" s="165">
        <v>156</v>
      </c>
      <c r="J19" s="166">
        <f t="shared" si="14"/>
        <v>9.9999999999994316E-2</v>
      </c>
      <c r="K19" s="167">
        <v>155.9</v>
      </c>
      <c r="L19" s="168">
        <f t="shared" si="16"/>
        <v>9.9999999999994316E-2</v>
      </c>
      <c r="M19" s="169">
        <v>0</v>
      </c>
      <c r="N19" s="170">
        <f t="shared" si="20"/>
        <v>155.9</v>
      </c>
      <c r="O19" s="178">
        <f>+N19/B12</f>
        <v>0.1</v>
      </c>
      <c r="P19" s="172">
        <f t="shared" si="21"/>
        <v>9.9999999999994316E-2</v>
      </c>
      <c r="Q19" s="173">
        <v>0</v>
      </c>
      <c r="R19" s="168">
        <f t="shared" si="17"/>
        <v>9.9999999999994316E-2</v>
      </c>
      <c r="S19" s="168">
        <f t="shared" si="19"/>
        <v>9.9999999999994316E-2</v>
      </c>
      <c r="T19" s="168">
        <f t="shared" si="15"/>
        <v>6.9999999999996021</v>
      </c>
      <c r="U19" s="174">
        <f t="shared" si="18"/>
        <v>6.410256410256046E-4</v>
      </c>
      <c r="V19" s="153"/>
      <c r="W19" s="154">
        <f t="shared" si="7"/>
        <v>156</v>
      </c>
      <c r="X19" s="155">
        <f t="shared" si="8"/>
        <v>155.9</v>
      </c>
      <c r="Y19" s="155">
        <f t="shared" si="9"/>
        <v>9.9999999999994316E-2</v>
      </c>
      <c r="Z19" s="155">
        <f t="shared" si="10"/>
        <v>0</v>
      </c>
      <c r="AA19" s="156">
        <f t="shared" si="11"/>
        <v>9.9999999999994316E-2</v>
      </c>
    </row>
    <row r="20" spans="1:28" ht="45" customHeight="1" x14ac:dyDescent="0.5">
      <c r="A20" s="330"/>
      <c r="B20" s="333"/>
      <c r="C20" s="209" t="s">
        <v>35</v>
      </c>
      <c r="D20" s="210">
        <v>2</v>
      </c>
      <c r="E20" s="210" t="s">
        <v>16</v>
      </c>
      <c r="F20" s="211">
        <v>2</v>
      </c>
      <c r="G20" s="212">
        <v>0.04</v>
      </c>
      <c r="H20" s="176">
        <f>+F20*B12</f>
        <v>3118</v>
      </c>
      <c r="I20" s="165">
        <v>3145</v>
      </c>
      <c r="J20" s="166">
        <f t="shared" si="14"/>
        <v>27</v>
      </c>
      <c r="K20" s="167">
        <v>3118</v>
      </c>
      <c r="L20" s="168">
        <f t="shared" si="16"/>
        <v>27</v>
      </c>
      <c r="M20" s="169">
        <v>40</v>
      </c>
      <c r="N20" s="177">
        <f t="shared" si="20"/>
        <v>3078</v>
      </c>
      <c r="O20" s="178">
        <f>+N20/B12</f>
        <v>1.9743425272610649</v>
      </c>
      <c r="P20" s="172">
        <f t="shared" si="21"/>
        <v>67</v>
      </c>
      <c r="Q20" s="173">
        <v>30</v>
      </c>
      <c r="R20" s="168">
        <f t="shared" si="17"/>
        <v>37</v>
      </c>
      <c r="S20" s="168">
        <f t="shared" si="19"/>
        <v>1.48</v>
      </c>
      <c r="T20" s="168">
        <f t="shared" si="15"/>
        <v>74</v>
      </c>
      <c r="U20" s="174">
        <f t="shared" si="18"/>
        <v>1.1764705882352941E-2</v>
      </c>
      <c r="V20" s="153"/>
      <c r="W20" s="181">
        <f t="shared" si="7"/>
        <v>125.8</v>
      </c>
      <c r="X20" s="182">
        <f t="shared" si="8"/>
        <v>124.72</v>
      </c>
      <c r="Y20" s="182">
        <f t="shared" si="9"/>
        <v>1.08</v>
      </c>
      <c r="Z20" s="182">
        <f t="shared" si="10"/>
        <v>1.6</v>
      </c>
      <c r="AA20" s="183">
        <f t="shared" si="11"/>
        <v>1.48</v>
      </c>
    </row>
    <row r="21" spans="1:28" ht="45" customHeight="1" thickBot="1" x14ac:dyDescent="0.55000000000000004">
      <c r="A21" s="184"/>
      <c r="B21" s="213"/>
      <c r="C21" s="214"/>
      <c r="D21" s="187"/>
      <c r="E21" s="187"/>
      <c r="F21" s="187"/>
      <c r="G21" s="187"/>
      <c r="H21" s="188"/>
      <c r="I21" s="189"/>
      <c r="J21" s="190"/>
      <c r="K21" s="191"/>
      <c r="L21" s="187"/>
      <c r="M21" s="192"/>
      <c r="N21" s="193"/>
      <c r="O21" s="190"/>
      <c r="P21" s="194"/>
      <c r="Q21" s="195"/>
      <c r="R21" s="187"/>
      <c r="S21" s="197">
        <f>SUM(S12:S20)</f>
        <v>89.479999999999961</v>
      </c>
      <c r="T21" s="197">
        <f>SUM(T12:T20)</f>
        <v>4249.3999999999987</v>
      </c>
      <c r="U21" s="190"/>
      <c r="V21" s="153"/>
      <c r="W21" s="198">
        <f>SUM(W12:W20)</f>
        <v>1641.3</v>
      </c>
      <c r="X21" s="200">
        <f t="shared" ref="X21:AA21" si="22">SUM(X12:X20)</f>
        <v>1590.22</v>
      </c>
      <c r="Y21" s="201">
        <f t="shared" si="22"/>
        <v>51.079999999999956</v>
      </c>
      <c r="Z21" s="199">
        <f t="shared" si="22"/>
        <v>124.6</v>
      </c>
      <c r="AA21" s="199">
        <f t="shared" si="22"/>
        <v>89.479999999999961</v>
      </c>
      <c r="AB21" s="94"/>
    </row>
    <row r="22" spans="1:28" ht="45" customHeight="1" x14ac:dyDescent="0.5">
      <c r="A22" s="328" t="s">
        <v>138</v>
      </c>
      <c r="B22" s="331">
        <v>1680</v>
      </c>
      <c r="C22" s="136" t="s">
        <v>132</v>
      </c>
      <c r="D22" s="137">
        <v>3</v>
      </c>
      <c r="E22" s="137" t="s">
        <v>58</v>
      </c>
      <c r="F22" s="215">
        <v>3</v>
      </c>
      <c r="G22" s="140">
        <v>0.03</v>
      </c>
      <c r="H22" s="141">
        <f>+F22*B22</f>
        <v>5040</v>
      </c>
      <c r="I22" s="142">
        <v>5040</v>
      </c>
      <c r="J22" s="143">
        <f>I22-H22</f>
        <v>0</v>
      </c>
      <c r="K22" s="144">
        <f>1680*3</f>
        <v>5040</v>
      </c>
      <c r="L22" s="151">
        <f>+I22-K22</f>
        <v>0</v>
      </c>
      <c r="M22" s="146">
        <v>40</v>
      </c>
      <c r="N22" s="203">
        <f>+K22-M22</f>
        <v>5000</v>
      </c>
      <c r="O22" s="204">
        <f>+N22/B22</f>
        <v>2.9761904761904763</v>
      </c>
      <c r="P22" s="149">
        <f>+L22+M22</f>
        <v>40</v>
      </c>
      <c r="Q22" s="150">
        <v>40</v>
      </c>
      <c r="R22" s="151">
        <f>+P22-Q22</f>
        <v>0</v>
      </c>
      <c r="S22" s="151">
        <f>+R22*G22</f>
        <v>0</v>
      </c>
      <c r="T22" s="151">
        <f>+R22*D22</f>
        <v>0</v>
      </c>
      <c r="U22" s="152">
        <f>+R22/I22</f>
        <v>0</v>
      </c>
      <c r="V22" s="153"/>
      <c r="W22" s="205">
        <f t="shared" si="7"/>
        <v>151.19999999999999</v>
      </c>
      <c r="X22" s="206">
        <f t="shared" si="8"/>
        <v>151.19999999999999</v>
      </c>
      <c r="Y22" s="206">
        <f t="shared" si="9"/>
        <v>0</v>
      </c>
      <c r="Z22" s="206">
        <f t="shared" si="10"/>
        <v>1.2</v>
      </c>
      <c r="AA22" s="207">
        <f t="shared" si="11"/>
        <v>0</v>
      </c>
    </row>
    <row r="23" spans="1:28" ht="45" customHeight="1" x14ac:dyDescent="0.5">
      <c r="A23" s="329"/>
      <c r="B23" s="332"/>
      <c r="C23" s="159" t="s">
        <v>133</v>
      </c>
      <c r="D23" s="160">
        <v>60</v>
      </c>
      <c r="E23" s="160" t="s">
        <v>61</v>
      </c>
      <c r="F23" s="175">
        <v>1</v>
      </c>
      <c r="G23" s="163">
        <v>0.01</v>
      </c>
      <c r="H23" s="164">
        <f>+F23*B22</f>
        <v>1680</v>
      </c>
      <c r="I23" s="165">
        <v>168</v>
      </c>
      <c r="J23" s="166">
        <f>I23-H23</f>
        <v>-1512</v>
      </c>
      <c r="K23" s="167">
        <v>168</v>
      </c>
      <c r="L23" s="168">
        <f t="shared" ref="L23:L25" si="23">+I23-K23</f>
        <v>0</v>
      </c>
      <c r="M23" s="169">
        <v>8</v>
      </c>
      <c r="N23" s="170">
        <f t="shared" ref="N23:N25" si="24">+K23-M23</f>
        <v>160</v>
      </c>
      <c r="O23" s="178">
        <f>+N23/B22</f>
        <v>9.5238095238095233E-2</v>
      </c>
      <c r="P23" s="172">
        <f>+L23+M23</f>
        <v>8</v>
      </c>
      <c r="Q23" s="173">
        <v>0</v>
      </c>
      <c r="R23" s="168">
        <f t="shared" ref="R23:R25" si="25">+P23-Q23</f>
        <v>8</v>
      </c>
      <c r="S23" s="168">
        <f>+R23*G23</f>
        <v>0.08</v>
      </c>
      <c r="T23" s="168">
        <f>+R23*D23</f>
        <v>480</v>
      </c>
      <c r="U23" s="174">
        <f t="shared" ref="U23:U25" si="26">+R23/I23</f>
        <v>4.7619047619047616E-2</v>
      </c>
      <c r="V23" s="153"/>
      <c r="W23" s="154">
        <f t="shared" si="7"/>
        <v>1.68</v>
      </c>
      <c r="X23" s="155">
        <f t="shared" si="8"/>
        <v>1.68</v>
      </c>
      <c r="Y23" s="155">
        <f t="shared" si="9"/>
        <v>0</v>
      </c>
      <c r="Z23" s="155">
        <f t="shared" si="10"/>
        <v>0.08</v>
      </c>
      <c r="AA23" s="156">
        <f t="shared" si="11"/>
        <v>0.08</v>
      </c>
    </row>
    <row r="24" spans="1:28" ht="45" customHeight="1" x14ac:dyDescent="0.5">
      <c r="A24" s="329"/>
      <c r="B24" s="332"/>
      <c r="C24" s="159" t="s">
        <v>131</v>
      </c>
      <c r="D24" s="160">
        <v>6</v>
      </c>
      <c r="E24" s="160" t="s">
        <v>16</v>
      </c>
      <c r="F24" s="216">
        <v>1</v>
      </c>
      <c r="G24" s="163">
        <v>0.05</v>
      </c>
      <c r="H24" s="176">
        <f>+F24*B22</f>
        <v>1680</v>
      </c>
      <c r="I24" s="165">
        <v>1475</v>
      </c>
      <c r="J24" s="166">
        <f>I24-H24</f>
        <v>-205</v>
      </c>
      <c r="K24" s="167">
        <f>1680-205</f>
        <v>1475</v>
      </c>
      <c r="L24" s="168">
        <f t="shared" si="23"/>
        <v>0</v>
      </c>
      <c r="M24" s="169">
        <v>0</v>
      </c>
      <c r="N24" s="177">
        <f t="shared" si="24"/>
        <v>1475</v>
      </c>
      <c r="O24" s="178">
        <f>+N24/B22</f>
        <v>0.87797619047619047</v>
      </c>
      <c r="P24" s="172">
        <f>+L24+M24</f>
        <v>0</v>
      </c>
      <c r="Q24" s="173">
        <v>0</v>
      </c>
      <c r="R24" s="168">
        <f t="shared" si="25"/>
        <v>0</v>
      </c>
      <c r="S24" s="168">
        <f>+R24*G24</f>
        <v>0</v>
      </c>
      <c r="T24" s="168">
        <f>+R24*D24</f>
        <v>0</v>
      </c>
      <c r="U24" s="174">
        <f t="shared" si="26"/>
        <v>0</v>
      </c>
      <c r="V24" s="153"/>
      <c r="W24" s="154">
        <f t="shared" si="7"/>
        <v>73.75</v>
      </c>
      <c r="X24" s="155">
        <f t="shared" si="8"/>
        <v>73.75</v>
      </c>
      <c r="Y24" s="155">
        <f t="shared" si="9"/>
        <v>0</v>
      </c>
      <c r="Z24" s="155">
        <f t="shared" si="10"/>
        <v>0</v>
      </c>
      <c r="AA24" s="156">
        <f t="shared" si="11"/>
        <v>0</v>
      </c>
    </row>
    <row r="25" spans="1:28" ht="45" customHeight="1" x14ac:dyDescent="0.5">
      <c r="A25" s="329"/>
      <c r="B25" s="332"/>
      <c r="C25" s="159" t="s">
        <v>63</v>
      </c>
      <c r="D25" s="160">
        <v>60</v>
      </c>
      <c r="E25" s="160" t="s">
        <v>18</v>
      </c>
      <c r="F25" s="175">
        <v>0.1</v>
      </c>
      <c r="G25" s="163">
        <v>1</v>
      </c>
      <c r="H25" s="176">
        <f>+F25*B22</f>
        <v>168</v>
      </c>
      <c r="I25" s="165">
        <v>168</v>
      </c>
      <c r="J25" s="166">
        <f>I25-H25</f>
        <v>0</v>
      </c>
      <c r="K25" s="167">
        <v>168</v>
      </c>
      <c r="L25" s="168">
        <f t="shared" si="23"/>
        <v>0</v>
      </c>
      <c r="M25" s="169">
        <v>5</v>
      </c>
      <c r="N25" s="170">
        <f t="shared" si="24"/>
        <v>163</v>
      </c>
      <c r="O25" s="178">
        <f>+N25/B22</f>
        <v>9.7023809523809526E-2</v>
      </c>
      <c r="P25" s="172">
        <f t="shared" ref="P25" si="27">+L25+M25</f>
        <v>5</v>
      </c>
      <c r="Q25" s="173">
        <v>0</v>
      </c>
      <c r="R25" s="168">
        <f t="shared" si="25"/>
        <v>5</v>
      </c>
      <c r="S25" s="168">
        <f>+R25*G25</f>
        <v>5</v>
      </c>
      <c r="T25" s="168">
        <f>+R25*D25</f>
        <v>300</v>
      </c>
      <c r="U25" s="174">
        <f t="shared" si="26"/>
        <v>2.976190476190476E-2</v>
      </c>
      <c r="V25" s="153"/>
      <c r="W25" s="217">
        <f t="shared" si="7"/>
        <v>168</v>
      </c>
      <c r="X25" s="218">
        <f t="shared" si="8"/>
        <v>168</v>
      </c>
      <c r="Y25" s="218">
        <f t="shared" si="9"/>
        <v>0</v>
      </c>
      <c r="Z25" s="218">
        <f t="shared" si="10"/>
        <v>5</v>
      </c>
      <c r="AA25" s="219">
        <f t="shared" si="11"/>
        <v>5</v>
      </c>
    </row>
    <row r="26" spans="1:28" ht="45" customHeight="1" thickBot="1" x14ac:dyDescent="0.55000000000000004">
      <c r="A26" s="184"/>
      <c r="B26" s="220"/>
      <c r="C26" s="214"/>
      <c r="D26" s="187"/>
      <c r="E26" s="187"/>
      <c r="F26" s="187"/>
      <c r="G26" s="187"/>
      <c r="H26" s="188"/>
      <c r="I26" s="189"/>
      <c r="J26" s="190"/>
      <c r="K26" s="191"/>
      <c r="L26" s="187"/>
      <c r="M26" s="192"/>
      <c r="N26" s="193"/>
      <c r="O26" s="190"/>
      <c r="P26" s="194"/>
      <c r="Q26" s="195"/>
      <c r="R26" s="187"/>
      <c r="S26" s="197">
        <f>SUM(S22:S25)</f>
        <v>5.08</v>
      </c>
      <c r="T26" s="197">
        <f>SUM(T22:T25)</f>
        <v>780</v>
      </c>
      <c r="U26" s="190"/>
      <c r="V26" s="153"/>
      <c r="W26" s="221">
        <f>SUM(W22:W25)</f>
        <v>394.63</v>
      </c>
      <c r="X26" s="222">
        <f t="shared" ref="X26:AA26" si="28">SUM(X22:X25)</f>
        <v>394.63</v>
      </c>
      <c r="Y26" s="222">
        <f t="shared" si="28"/>
        <v>0</v>
      </c>
      <c r="Z26" s="222">
        <f t="shared" si="28"/>
        <v>6.28</v>
      </c>
      <c r="AA26" s="223">
        <f t="shared" si="28"/>
        <v>5.08</v>
      </c>
    </row>
    <row r="27" spans="1:28" ht="45" customHeight="1" x14ac:dyDescent="0.5">
      <c r="A27" s="328" t="s">
        <v>139</v>
      </c>
      <c r="B27" s="331">
        <v>1038</v>
      </c>
      <c r="C27" s="136" t="s">
        <v>31</v>
      </c>
      <c r="D27" s="137">
        <v>20</v>
      </c>
      <c r="E27" s="138" t="s">
        <v>17</v>
      </c>
      <c r="F27" s="202">
        <v>0.4</v>
      </c>
      <c r="G27" s="140">
        <v>1</v>
      </c>
      <c r="H27" s="141">
        <f>+F27*B27</f>
        <v>415.20000000000005</v>
      </c>
      <c r="I27" s="142">
        <v>425</v>
      </c>
      <c r="J27" s="143">
        <f t="shared" ref="J27:J35" si="29">I27-H27</f>
        <v>9.7999999999999545</v>
      </c>
      <c r="K27" s="144">
        <f>1038*0.4</f>
        <v>415.20000000000005</v>
      </c>
      <c r="L27" s="151">
        <f>+I27-K27</f>
        <v>9.7999999999999545</v>
      </c>
      <c r="M27" s="146">
        <v>15</v>
      </c>
      <c r="N27" s="203">
        <f>+K27-M27</f>
        <v>400.20000000000005</v>
      </c>
      <c r="O27" s="204">
        <f>+N27/B27</f>
        <v>0.38554913294797694</v>
      </c>
      <c r="P27" s="149">
        <f>+L27+M27</f>
        <v>24.799999999999955</v>
      </c>
      <c r="Q27" s="150"/>
      <c r="R27" s="151">
        <f>+P27-Q27</f>
        <v>24.799999999999955</v>
      </c>
      <c r="S27" s="151">
        <f t="shared" ref="S27:S35" si="30">+R27*G27</f>
        <v>24.799999999999955</v>
      </c>
      <c r="T27" s="151">
        <f t="shared" ref="T27:T35" si="31">+R27*D27</f>
        <v>495.99999999999909</v>
      </c>
      <c r="U27" s="152">
        <f>+R27/I27</f>
        <v>5.8352941176470483E-2</v>
      </c>
      <c r="V27" s="153"/>
      <c r="W27" s="205">
        <f t="shared" si="7"/>
        <v>425</v>
      </c>
      <c r="X27" s="206">
        <f t="shared" si="8"/>
        <v>415.20000000000005</v>
      </c>
      <c r="Y27" s="206">
        <f t="shared" si="9"/>
        <v>9.7999999999999545</v>
      </c>
      <c r="Z27" s="206">
        <f t="shared" si="10"/>
        <v>15</v>
      </c>
      <c r="AA27" s="207">
        <f t="shared" si="11"/>
        <v>24.799999999999955</v>
      </c>
    </row>
    <row r="28" spans="1:28" ht="45" customHeight="1" x14ac:dyDescent="0.5">
      <c r="A28" s="329"/>
      <c r="B28" s="332"/>
      <c r="C28" s="159" t="s">
        <v>134</v>
      </c>
      <c r="D28" s="160">
        <v>65</v>
      </c>
      <c r="E28" s="161" t="s">
        <v>17</v>
      </c>
      <c r="F28" s="175">
        <v>0.1</v>
      </c>
      <c r="G28" s="163">
        <v>1</v>
      </c>
      <c r="H28" s="164">
        <f>+F28*B27</f>
        <v>103.80000000000001</v>
      </c>
      <c r="I28" s="165">
        <v>108</v>
      </c>
      <c r="J28" s="166">
        <f t="shared" si="29"/>
        <v>4.1999999999999886</v>
      </c>
      <c r="K28" s="167">
        <v>103.8</v>
      </c>
      <c r="L28" s="168">
        <f t="shared" ref="L28:L35" si="32">+I28-K28</f>
        <v>4.2000000000000028</v>
      </c>
      <c r="M28" s="169">
        <v>6</v>
      </c>
      <c r="N28" s="170">
        <f t="shared" ref="N28:N35" si="33">+K28-M28</f>
        <v>97.8</v>
      </c>
      <c r="O28" s="178">
        <f>+N28/B27</f>
        <v>9.4219653179190746E-2</v>
      </c>
      <c r="P28" s="172">
        <f>+L28+M28</f>
        <v>10.200000000000003</v>
      </c>
      <c r="Q28" s="173"/>
      <c r="R28" s="168">
        <f t="shared" ref="R28:R35" si="34">+P28-Q28</f>
        <v>10.200000000000003</v>
      </c>
      <c r="S28" s="168">
        <f t="shared" si="30"/>
        <v>10.200000000000003</v>
      </c>
      <c r="T28" s="168">
        <f t="shared" si="31"/>
        <v>663.00000000000023</v>
      </c>
      <c r="U28" s="174">
        <f t="shared" ref="U28:U35" si="35">+R28/I28</f>
        <v>9.444444444444447E-2</v>
      </c>
      <c r="V28" s="153"/>
      <c r="W28" s="154">
        <f t="shared" si="7"/>
        <v>108</v>
      </c>
      <c r="X28" s="155">
        <f t="shared" si="8"/>
        <v>103.8</v>
      </c>
      <c r="Y28" s="155">
        <f t="shared" si="9"/>
        <v>4.2000000000000028</v>
      </c>
      <c r="Z28" s="155">
        <f t="shared" si="10"/>
        <v>6</v>
      </c>
      <c r="AA28" s="156">
        <f t="shared" si="11"/>
        <v>10.200000000000003</v>
      </c>
    </row>
    <row r="29" spans="1:28" ht="45" customHeight="1" x14ac:dyDescent="0.5">
      <c r="A29" s="329"/>
      <c r="B29" s="332"/>
      <c r="C29" s="159" t="s">
        <v>135</v>
      </c>
      <c r="D29" s="160">
        <v>130</v>
      </c>
      <c r="E29" s="161" t="s">
        <v>17</v>
      </c>
      <c r="F29" s="175">
        <v>0.08</v>
      </c>
      <c r="G29" s="163">
        <v>1</v>
      </c>
      <c r="H29" s="176">
        <f>+F29*B27</f>
        <v>83.04</v>
      </c>
      <c r="I29" s="165">
        <v>85</v>
      </c>
      <c r="J29" s="166">
        <f t="shared" si="29"/>
        <v>1.9599999999999937</v>
      </c>
      <c r="K29" s="167">
        <v>83</v>
      </c>
      <c r="L29" s="168">
        <f t="shared" si="32"/>
        <v>2</v>
      </c>
      <c r="M29" s="169">
        <v>9</v>
      </c>
      <c r="N29" s="177">
        <f t="shared" si="33"/>
        <v>74</v>
      </c>
      <c r="O29" s="178">
        <f>+N29/B27</f>
        <v>7.1290944123314062E-2</v>
      </c>
      <c r="P29" s="172">
        <f>+L29+M29</f>
        <v>11</v>
      </c>
      <c r="Q29" s="173"/>
      <c r="R29" s="168">
        <f t="shared" si="34"/>
        <v>11</v>
      </c>
      <c r="S29" s="168">
        <f t="shared" si="30"/>
        <v>11</v>
      </c>
      <c r="T29" s="168">
        <f t="shared" si="31"/>
        <v>1430</v>
      </c>
      <c r="U29" s="174">
        <f t="shared" si="35"/>
        <v>0.12941176470588237</v>
      </c>
      <c r="V29" s="153"/>
      <c r="W29" s="154">
        <f t="shared" si="7"/>
        <v>85</v>
      </c>
      <c r="X29" s="155">
        <f t="shared" si="8"/>
        <v>83</v>
      </c>
      <c r="Y29" s="155">
        <f t="shared" si="9"/>
        <v>2</v>
      </c>
      <c r="Z29" s="155">
        <f t="shared" si="10"/>
        <v>9</v>
      </c>
      <c r="AA29" s="156">
        <f t="shared" si="11"/>
        <v>11</v>
      </c>
    </row>
    <row r="30" spans="1:28" ht="45" customHeight="1" x14ac:dyDescent="0.5">
      <c r="A30" s="329"/>
      <c r="B30" s="332"/>
      <c r="C30" s="159" t="s">
        <v>85</v>
      </c>
      <c r="D30" s="160">
        <v>55</v>
      </c>
      <c r="E30" s="161" t="s">
        <v>17</v>
      </c>
      <c r="F30" s="175">
        <v>0.1</v>
      </c>
      <c r="G30" s="163">
        <v>1</v>
      </c>
      <c r="H30" s="176">
        <f>+F30*B27</f>
        <v>103.80000000000001</v>
      </c>
      <c r="I30" s="165">
        <v>108</v>
      </c>
      <c r="J30" s="166">
        <f t="shared" si="29"/>
        <v>4.1999999999999886</v>
      </c>
      <c r="K30" s="167">
        <v>103.8</v>
      </c>
      <c r="L30" s="168">
        <f t="shared" si="32"/>
        <v>4.2000000000000028</v>
      </c>
      <c r="M30" s="169">
        <v>4</v>
      </c>
      <c r="N30" s="170">
        <f t="shared" si="33"/>
        <v>99.8</v>
      </c>
      <c r="O30" s="178">
        <f>+N30/B27</f>
        <v>9.6146435452793833E-2</v>
      </c>
      <c r="P30" s="172">
        <f t="shared" ref="P30:P35" si="36">+L30+M30</f>
        <v>8.2000000000000028</v>
      </c>
      <c r="Q30" s="173"/>
      <c r="R30" s="168">
        <f t="shared" si="34"/>
        <v>8.2000000000000028</v>
      </c>
      <c r="S30" s="168">
        <f t="shared" si="30"/>
        <v>8.2000000000000028</v>
      </c>
      <c r="T30" s="168">
        <f t="shared" si="31"/>
        <v>451.00000000000017</v>
      </c>
      <c r="U30" s="174">
        <f t="shared" si="35"/>
        <v>7.5925925925925952E-2</v>
      </c>
      <c r="V30" s="153"/>
      <c r="W30" s="154">
        <f t="shared" si="7"/>
        <v>108</v>
      </c>
      <c r="X30" s="155">
        <f t="shared" si="8"/>
        <v>103.8</v>
      </c>
      <c r="Y30" s="155">
        <f t="shared" si="9"/>
        <v>4.2000000000000028</v>
      </c>
      <c r="Z30" s="155">
        <f t="shared" si="10"/>
        <v>4</v>
      </c>
      <c r="AA30" s="156">
        <f t="shared" si="11"/>
        <v>8.2000000000000028</v>
      </c>
    </row>
    <row r="31" spans="1:28" ht="45" customHeight="1" x14ac:dyDescent="0.5">
      <c r="A31" s="329"/>
      <c r="B31" s="332"/>
      <c r="C31" s="159" t="s">
        <v>32</v>
      </c>
      <c r="D31" s="160">
        <v>48</v>
      </c>
      <c r="E31" s="161" t="s">
        <v>18</v>
      </c>
      <c r="F31" s="175">
        <v>0.08</v>
      </c>
      <c r="G31" s="163">
        <v>1</v>
      </c>
      <c r="H31" s="176">
        <f>+F31*B27</f>
        <v>83.04</v>
      </c>
      <c r="I31" s="165">
        <v>85</v>
      </c>
      <c r="J31" s="166">
        <f t="shared" si="29"/>
        <v>1.9599999999999937</v>
      </c>
      <c r="K31" s="167">
        <v>83</v>
      </c>
      <c r="L31" s="168">
        <f t="shared" si="32"/>
        <v>2</v>
      </c>
      <c r="M31" s="169">
        <v>5</v>
      </c>
      <c r="N31" s="177">
        <f t="shared" si="33"/>
        <v>78</v>
      </c>
      <c r="O31" s="178">
        <f>+N31/B27</f>
        <v>7.5144508670520235E-2</v>
      </c>
      <c r="P31" s="172">
        <f t="shared" si="36"/>
        <v>7</v>
      </c>
      <c r="Q31" s="173"/>
      <c r="R31" s="168">
        <f t="shared" si="34"/>
        <v>7</v>
      </c>
      <c r="S31" s="168">
        <f t="shared" si="30"/>
        <v>7</v>
      </c>
      <c r="T31" s="168">
        <f t="shared" si="31"/>
        <v>336</v>
      </c>
      <c r="U31" s="174">
        <f t="shared" si="35"/>
        <v>8.2352941176470587E-2</v>
      </c>
      <c r="V31" s="153"/>
      <c r="W31" s="154">
        <f t="shared" si="7"/>
        <v>85</v>
      </c>
      <c r="X31" s="155">
        <f t="shared" si="8"/>
        <v>83</v>
      </c>
      <c r="Y31" s="155">
        <f t="shared" si="9"/>
        <v>2</v>
      </c>
      <c r="Z31" s="155">
        <f t="shared" si="10"/>
        <v>5</v>
      </c>
      <c r="AA31" s="156">
        <f t="shared" si="11"/>
        <v>7</v>
      </c>
    </row>
    <row r="32" spans="1:28" ht="45" customHeight="1" x14ac:dyDescent="0.5">
      <c r="A32" s="329"/>
      <c r="B32" s="332"/>
      <c r="C32" s="159" t="s">
        <v>54</v>
      </c>
      <c r="D32" s="160">
        <v>35</v>
      </c>
      <c r="E32" s="161" t="s">
        <v>18</v>
      </c>
      <c r="F32" s="175">
        <v>0.08</v>
      </c>
      <c r="G32" s="163">
        <v>1</v>
      </c>
      <c r="H32" s="179">
        <f>+F32*B27</f>
        <v>83.04</v>
      </c>
      <c r="I32" s="165">
        <v>86</v>
      </c>
      <c r="J32" s="166">
        <f t="shared" si="29"/>
        <v>2.9599999999999937</v>
      </c>
      <c r="K32" s="167">
        <v>83</v>
      </c>
      <c r="L32" s="168">
        <f t="shared" si="32"/>
        <v>3</v>
      </c>
      <c r="M32" s="169">
        <v>8</v>
      </c>
      <c r="N32" s="170">
        <f t="shared" si="33"/>
        <v>75</v>
      </c>
      <c r="O32" s="178">
        <f>+N32/B27</f>
        <v>7.2254335260115612E-2</v>
      </c>
      <c r="P32" s="172">
        <f t="shared" si="36"/>
        <v>11</v>
      </c>
      <c r="Q32" s="173"/>
      <c r="R32" s="168">
        <f t="shared" si="34"/>
        <v>11</v>
      </c>
      <c r="S32" s="168">
        <f t="shared" si="30"/>
        <v>11</v>
      </c>
      <c r="T32" s="168">
        <f t="shared" si="31"/>
        <v>385</v>
      </c>
      <c r="U32" s="174">
        <f t="shared" si="35"/>
        <v>0.12790697674418605</v>
      </c>
      <c r="V32" s="153"/>
      <c r="W32" s="154">
        <f t="shared" si="7"/>
        <v>86</v>
      </c>
      <c r="X32" s="155">
        <f t="shared" si="8"/>
        <v>83</v>
      </c>
      <c r="Y32" s="155">
        <f t="shared" si="9"/>
        <v>3</v>
      </c>
      <c r="Z32" s="155">
        <f t="shared" si="10"/>
        <v>8</v>
      </c>
      <c r="AA32" s="156">
        <f t="shared" si="11"/>
        <v>11</v>
      </c>
    </row>
    <row r="33" spans="1:28" ht="45" customHeight="1" x14ac:dyDescent="0.5">
      <c r="A33" s="329"/>
      <c r="B33" s="332"/>
      <c r="C33" s="159" t="s">
        <v>33</v>
      </c>
      <c r="D33" s="160">
        <v>50</v>
      </c>
      <c r="E33" s="161" t="s">
        <v>17</v>
      </c>
      <c r="F33" s="175">
        <v>0.03</v>
      </c>
      <c r="G33" s="163">
        <v>1</v>
      </c>
      <c r="H33" s="176">
        <f>+F33*B27</f>
        <v>31.14</v>
      </c>
      <c r="I33" s="165">
        <v>31</v>
      </c>
      <c r="J33" s="166">
        <f t="shared" si="29"/>
        <v>-0.14000000000000057</v>
      </c>
      <c r="K33" s="167">
        <v>31</v>
      </c>
      <c r="L33" s="168">
        <f t="shared" si="32"/>
        <v>0</v>
      </c>
      <c r="M33" s="169">
        <v>3</v>
      </c>
      <c r="N33" s="170">
        <f t="shared" si="33"/>
        <v>28</v>
      </c>
      <c r="O33" s="178">
        <f>+N33/B27</f>
        <v>2.6974951830443159E-2</v>
      </c>
      <c r="P33" s="172">
        <f t="shared" si="36"/>
        <v>3</v>
      </c>
      <c r="Q33" s="173"/>
      <c r="R33" s="168">
        <f t="shared" si="34"/>
        <v>3</v>
      </c>
      <c r="S33" s="168">
        <f t="shared" si="30"/>
        <v>3</v>
      </c>
      <c r="T33" s="168">
        <f t="shared" si="31"/>
        <v>150</v>
      </c>
      <c r="U33" s="174">
        <f t="shared" si="35"/>
        <v>9.6774193548387094E-2</v>
      </c>
      <c r="V33" s="153"/>
      <c r="W33" s="154">
        <f t="shared" si="7"/>
        <v>31</v>
      </c>
      <c r="X33" s="155">
        <f t="shared" si="8"/>
        <v>31</v>
      </c>
      <c r="Y33" s="155">
        <f t="shared" si="9"/>
        <v>0</v>
      </c>
      <c r="Z33" s="155">
        <f t="shared" si="10"/>
        <v>3</v>
      </c>
      <c r="AA33" s="156">
        <f t="shared" si="11"/>
        <v>3</v>
      </c>
    </row>
    <row r="34" spans="1:28" ht="45" customHeight="1" x14ac:dyDescent="0.5">
      <c r="A34" s="329"/>
      <c r="B34" s="332"/>
      <c r="C34" s="159" t="s">
        <v>34</v>
      </c>
      <c r="D34" s="161">
        <v>70</v>
      </c>
      <c r="E34" s="161" t="s">
        <v>17</v>
      </c>
      <c r="F34" s="163">
        <v>0.1</v>
      </c>
      <c r="G34" s="163">
        <v>1</v>
      </c>
      <c r="H34" s="176">
        <f>+F34*B27</f>
        <v>103.80000000000001</v>
      </c>
      <c r="I34" s="165">
        <v>103.8</v>
      </c>
      <c r="J34" s="166">
        <f t="shared" si="29"/>
        <v>0</v>
      </c>
      <c r="K34" s="167">
        <v>103.8</v>
      </c>
      <c r="L34" s="168">
        <f t="shared" si="32"/>
        <v>0</v>
      </c>
      <c r="M34" s="169">
        <v>0</v>
      </c>
      <c r="N34" s="170">
        <f t="shared" si="33"/>
        <v>103.8</v>
      </c>
      <c r="O34" s="178">
        <f>+N34/B27</f>
        <v>9.9999999999999992E-2</v>
      </c>
      <c r="P34" s="172">
        <f t="shared" si="36"/>
        <v>0</v>
      </c>
      <c r="Q34" s="173"/>
      <c r="R34" s="168">
        <f t="shared" si="34"/>
        <v>0</v>
      </c>
      <c r="S34" s="168">
        <f t="shared" si="30"/>
        <v>0</v>
      </c>
      <c r="T34" s="168">
        <f t="shared" si="31"/>
        <v>0</v>
      </c>
      <c r="U34" s="174">
        <f t="shared" si="35"/>
        <v>0</v>
      </c>
      <c r="V34" s="153"/>
      <c r="W34" s="154">
        <f t="shared" si="7"/>
        <v>103.8</v>
      </c>
      <c r="X34" s="155">
        <f t="shared" si="8"/>
        <v>103.8</v>
      </c>
      <c r="Y34" s="155">
        <f t="shared" si="9"/>
        <v>0</v>
      </c>
      <c r="Z34" s="155">
        <f t="shared" si="10"/>
        <v>0</v>
      </c>
      <c r="AA34" s="156">
        <f t="shared" si="11"/>
        <v>0</v>
      </c>
    </row>
    <row r="35" spans="1:28" ht="45" customHeight="1" x14ac:dyDescent="0.5">
      <c r="A35" s="330"/>
      <c r="B35" s="333"/>
      <c r="C35" s="209" t="s">
        <v>35</v>
      </c>
      <c r="D35" s="210">
        <v>2</v>
      </c>
      <c r="E35" s="210" t="s">
        <v>16</v>
      </c>
      <c r="F35" s="211">
        <v>2</v>
      </c>
      <c r="G35" s="212">
        <v>0.04</v>
      </c>
      <c r="H35" s="176">
        <f>+F35*B27</f>
        <v>2076</v>
      </c>
      <c r="I35" s="165">
        <v>2090</v>
      </c>
      <c r="J35" s="166">
        <f t="shared" si="29"/>
        <v>14</v>
      </c>
      <c r="K35" s="167">
        <f>1038*2</f>
        <v>2076</v>
      </c>
      <c r="L35" s="168">
        <f t="shared" si="32"/>
        <v>14</v>
      </c>
      <c r="M35" s="169">
        <v>15</v>
      </c>
      <c r="N35" s="177">
        <f t="shared" si="33"/>
        <v>2061</v>
      </c>
      <c r="O35" s="178">
        <f>+N35/B27</f>
        <v>1.9855491329479769</v>
      </c>
      <c r="P35" s="172">
        <f t="shared" si="36"/>
        <v>29</v>
      </c>
      <c r="Q35" s="173"/>
      <c r="R35" s="168">
        <f t="shared" si="34"/>
        <v>29</v>
      </c>
      <c r="S35" s="168">
        <f t="shared" si="30"/>
        <v>1.1599999999999999</v>
      </c>
      <c r="T35" s="168">
        <f t="shared" si="31"/>
        <v>58</v>
      </c>
      <c r="U35" s="174">
        <f t="shared" si="35"/>
        <v>1.3875598086124402E-2</v>
      </c>
      <c r="V35" s="153"/>
      <c r="W35" s="217">
        <f t="shared" si="7"/>
        <v>83.600000000000009</v>
      </c>
      <c r="X35" s="218">
        <f t="shared" si="8"/>
        <v>83.04</v>
      </c>
      <c r="Y35" s="218">
        <f t="shared" si="9"/>
        <v>0.56000000000000005</v>
      </c>
      <c r="Z35" s="218">
        <f t="shared" si="10"/>
        <v>0.6</v>
      </c>
      <c r="AA35" s="219">
        <f t="shared" si="11"/>
        <v>1.1599999999999999</v>
      </c>
    </row>
    <row r="36" spans="1:28" ht="45" customHeight="1" thickBot="1" x14ac:dyDescent="0.55000000000000004">
      <c r="A36" s="184"/>
      <c r="B36" s="224"/>
      <c r="C36" s="214"/>
      <c r="D36" s="187"/>
      <c r="E36" s="187"/>
      <c r="F36" s="187"/>
      <c r="G36" s="187"/>
      <c r="H36" s="193"/>
      <c r="I36" s="187"/>
      <c r="J36" s="190"/>
      <c r="K36" s="193"/>
      <c r="L36" s="187"/>
      <c r="M36" s="190"/>
      <c r="N36" s="193"/>
      <c r="O36" s="190"/>
      <c r="P36" s="194"/>
      <c r="Q36" s="187"/>
      <c r="R36" s="187"/>
      <c r="S36" s="197">
        <f>SUM(S27:S35)</f>
        <v>76.359999999999957</v>
      </c>
      <c r="T36" s="197">
        <f>SUM(T27:T35)</f>
        <v>3968.9999999999991</v>
      </c>
      <c r="U36" s="190"/>
      <c r="V36" s="153"/>
      <c r="W36" s="225">
        <f>SUM(W27:W35)</f>
        <v>1115.3999999999999</v>
      </c>
      <c r="X36" s="199">
        <f t="shared" ref="X36:AA36" si="37">SUM(X27:X35)</f>
        <v>1089.6399999999999</v>
      </c>
      <c r="Y36" s="199">
        <f t="shared" si="37"/>
        <v>25.759999999999959</v>
      </c>
      <c r="Z36" s="200">
        <f t="shared" si="37"/>
        <v>50.6</v>
      </c>
      <c r="AA36" s="201">
        <f t="shared" si="37"/>
        <v>76.359999999999957</v>
      </c>
      <c r="AB36" s="94"/>
    </row>
    <row r="37" spans="1:28" ht="45" customHeight="1" thickBot="1" x14ac:dyDescent="0.55000000000000004">
      <c r="A37" s="226" t="s">
        <v>42</v>
      </c>
      <c r="B37" s="227">
        <f>+B4+B12+B22+B27</f>
        <v>6164</v>
      </c>
      <c r="C37" s="214"/>
      <c r="D37" s="187"/>
      <c r="E37" s="187"/>
      <c r="F37" s="187"/>
      <c r="G37" s="187"/>
      <c r="H37" s="193"/>
      <c r="I37" s="187"/>
      <c r="J37" s="190"/>
      <c r="K37" s="193"/>
      <c r="L37" s="187"/>
      <c r="M37" s="190"/>
      <c r="N37" s="193"/>
      <c r="O37" s="190"/>
      <c r="P37" s="194"/>
      <c r="Q37" s="187"/>
      <c r="R37" s="228"/>
      <c r="S37" s="229">
        <f>+S36+S26+S21+S11</f>
        <v>229.21999999999991</v>
      </c>
      <c r="T37" s="229">
        <f>+T36+T26+T21+T11</f>
        <v>11845.5</v>
      </c>
      <c r="U37" s="230"/>
      <c r="V37" s="153"/>
      <c r="W37" s="231">
        <f>+W11+W21+W26+W36</f>
        <v>4458.08</v>
      </c>
      <c r="X37" s="232">
        <f t="shared" ref="X37:AA37" si="38">+X11+X21+X26+X36</f>
        <v>4357.6900000000005</v>
      </c>
      <c r="Y37" s="232">
        <f t="shared" si="38"/>
        <v>100.38999999999993</v>
      </c>
      <c r="Z37" s="233">
        <f t="shared" si="38"/>
        <v>217.73</v>
      </c>
      <c r="AA37" s="234">
        <f t="shared" si="38"/>
        <v>229.21999999999994</v>
      </c>
      <c r="AB37" s="94"/>
    </row>
    <row r="38" spans="1:28" ht="45" customHeight="1" x14ac:dyDescent="0.5">
      <c r="A38" s="153"/>
      <c r="B38" s="235"/>
      <c r="C38" s="153"/>
      <c r="D38" s="153"/>
      <c r="E38" s="153"/>
      <c r="F38" s="153"/>
      <c r="G38" s="153"/>
      <c r="H38" s="153"/>
      <c r="I38" s="153"/>
      <c r="J38" s="153"/>
      <c r="K38" s="153"/>
      <c r="L38" s="153"/>
      <c r="M38" s="153"/>
      <c r="N38" s="153"/>
      <c r="O38" s="153"/>
      <c r="P38" s="153"/>
      <c r="Q38" s="153"/>
      <c r="R38" s="153"/>
      <c r="S38" s="153"/>
      <c r="T38" s="153"/>
      <c r="U38" s="153"/>
      <c r="V38" s="153"/>
      <c r="W38" s="153"/>
      <c r="X38" s="153"/>
      <c r="Y38" s="236"/>
      <c r="Z38" s="153"/>
      <c r="AA38" s="153"/>
    </row>
    <row r="39" spans="1:28" ht="45" customHeight="1" thickBot="1" x14ac:dyDescent="0.55000000000000004">
      <c r="A39" s="153"/>
      <c r="B39" s="153"/>
      <c r="C39" s="153"/>
      <c r="D39" s="153"/>
      <c r="E39" s="153"/>
      <c r="F39" s="153"/>
      <c r="G39" s="153"/>
      <c r="H39" s="153"/>
      <c r="I39" s="153"/>
      <c r="J39" s="153"/>
      <c r="K39" s="153"/>
      <c r="L39" s="153"/>
      <c r="M39" s="153"/>
      <c r="N39" s="153"/>
      <c r="O39" s="153"/>
      <c r="P39" s="153"/>
      <c r="Q39" s="153"/>
      <c r="R39" s="153"/>
      <c r="S39" s="153"/>
      <c r="T39" s="153"/>
      <c r="U39" s="153"/>
      <c r="V39" s="153"/>
      <c r="W39" s="236"/>
      <c r="X39" s="236"/>
      <c r="Y39" s="236"/>
      <c r="Z39" s="236"/>
      <c r="AA39" s="236"/>
    </row>
    <row r="40" spans="1:28" ht="45" customHeight="1" thickBot="1" x14ac:dyDescent="0.55000000000000004">
      <c r="A40" s="334" t="s">
        <v>45</v>
      </c>
      <c r="B40" s="335"/>
      <c r="C40" s="335"/>
      <c r="D40" s="335"/>
      <c r="E40" s="335"/>
      <c r="F40" s="336"/>
      <c r="G40" s="153"/>
      <c r="H40" s="153"/>
      <c r="I40" s="153"/>
      <c r="J40" s="153"/>
      <c r="K40" s="153"/>
      <c r="L40" s="153"/>
      <c r="M40" s="153"/>
      <c r="N40" s="153"/>
      <c r="O40" s="153"/>
      <c r="P40" s="153"/>
      <c r="Q40" s="153"/>
      <c r="R40" s="153"/>
      <c r="S40" s="153"/>
      <c r="T40" s="153"/>
      <c r="U40" s="153"/>
      <c r="V40" s="153"/>
      <c r="W40" s="153"/>
      <c r="X40" s="153"/>
      <c r="Y40" s="153"/>
      <c r="Z40" s="153"/>
      <c r="AA40" s="153"/>
    </row>
    <row r="41" spans="1:28" ht="45" customHeight="1" x14ac:dyDescent="0.5">
      <c r="A41" s="157" t="s">
        <v>6</v>
      </c>
      <c r="B41" s="158" t="s">
        <v>7</v>
      </c>
      <c r="C41" s="158" t="s">
        <v>53</v>
      </c>
      <c r="D41" s="237" t="s">
        <v>52</v>
      </c>
      <c r="E41" s="237" t="s">
        <v>57</v>
      </c>
      <c r="F41" s="238" t="s">
        <v>46</v>
      </c>
      <c r="G41" s="153"/>
      <c r="H41" s="153"/>
      <c r="I41" s="153"/>
      <c r="J41" s="153"/>
      <c r="K41" s="153"/>
      <c r="L41" s="153"/>
      <c r="M41" s="153"/>
      <c r="N41" s="153"/>
      <c r="O41" s="239" t="s">
        <v>60</v>
      </c>
      <c r="P41" s="240" t="s">
        <v>59</v>
      </c>
      <c r="Q41" s="153"/>
      <c r="R41" s="153"/>
      <c r="S41" s="153"/>
      <c r="T41" s="153"/>
      <c r="U41" s="153"/>
      <c r="V41" s="153"/>
      <c r="W41" s="153"/>
      <c r="X41" s="236"/>
      <c r="Y41" s="153"/>
      <c r="Z41" s="153"/>
      <c r="AA41" s="153"/>
    </row>
    <row r="42" spans="1:28" ht="45" customHeight="1" x14ac:dyDescent="0.5">
      <c r="A42" s="241" t="s">
        <v>47</v>
      </c>
      <c r="B42" s="168">
        <f>+B4</f>
        <v>1887</v>
      </c>
      <c r="C42" s="242">
        <f>+W11</f>
        <v>1306.75</v>
      </c>
      <c r="D42" s="242">
        <f>+AA11</f>
        <v>58.300000000000011</v>
      </c>
      <c r="E42" s="163">
        <f>+D42/B42</f>
        <v>3.0895601483836785E-2</v>
      </c>
      <c r="F42" s="174">
        <f>+D42/C42</f>
        <v>4.461450162617181E-2</v>
      </c>
      <c r="G42" s="153"/>
      <c r="H42" s="153"/>
      <c r="I42" s="153"/>
      <c r="J42" s="153"/>
      <c r="K42" s="153"/>
      <c r="L42" s="153"/>
      <c r="M42" s="153"/>
      <c r="N42" s="153"/>
      <c r="O42" s="176">
        <f>+X11</f>
        <v>1283.2</v>
      </c>
      <c r="P42" s="171">
        <f>+Z11</f>
        <v>36.25</v>
      </c>
      <c r="Q42" s="153"/>
      <c r="R42" s="153"/>
      <c r="S42" s="153"/>
      <c r="T42" s="153"/>
      <c r="U42" s="153"/>
      <c r="V42" s="153"/>
      <c r="W42" s="153"/>
      <c r="X42" s="153"/>
      <c r="Y42" s="153"/>
      <c r="Z42" s="153"/>
      <c r="AA42" s="153"/>
    </row>
    <row r="43" spans="1:28" ht="45" customHeight="1" x14ac:dyDescent="0.5">
      <c r="A43" s="241" t="s">
        <v>48</v>
      </c>
      <c r="B43" s="168">
        <f>+B12</f>
        <v>1559</v>
      </c>
      <c r="C43" s="168">
        <f>+W21</f>
        <v>1641.3</v>
      </c>
      <c r="D43" s="242">
        <f>+AA21</f>
        <v>89.479999999999961</v>
      </c>
      <c r="E43" s="163">
        <f>+D43/B43</f>
        <v>5.7395766516998049E-2</v>
      </c>
      <c r="F43" s="174">
        <f t="shared" ref="F43:F45" si="39">+D43/C43</f>
        <v>5.4517760311947827E-2</v>
      </c>
      <c r="G43" s="153"/>
      <c r="H43" s="153"/>
      <c r="I43" s="153"/>
      <c r="J43" s="153"/>
      <c r="K43" s="153"/>
      <c r="L43" s="153"/>
      <c r="M43" s="153"/>
      <c r="N43" s="153"/>
      <c r="O43" s="176">
        <f>+X21</f>
        <v>1590.22</v>
      </c>
      <c r="P43" s="171">
        <f>+Z21</f>
        <v>124.6</v>
      </c>
      <c r="Q43" s="243"/>
      <c r="R43" s="244"/>
      <c r="S43" s="153"/>
      <c r="T43" s="153"/>
      <c r="U43" s="153"/>
      <c r="V43" s="153"/>
      <c r="W43" s="153"/>
      <c r="X43" s="153"/>
      <c r="Y43" s="153"/>
      <c r="Z43" s="153"/>
      <c r="AA43" s="153"/>
    </row>
    <row r="44" spans="1:28" ht="45" customHeight="1" x14ac:dyDescent="0.5">
      <c r="A44" s="241" t="s">
        <v>49</v>
      </c>
      <c r="B44" s="168">
        <f>+B22</f>
        <v>1680</v>
      </c>
      <c r="C44" s="168">
        <f>+W26</f>
        <v>394.63</v>
      </c>
      <c r="D44" s="242">
        <f>+AA26</f>
        <v>5.08</v>
      </c>
      <c r="E44" s="163">
        <f>+D44/B44</f>
        <v>3.0238095238095237E-3</v>
      </c>
      <c r="F44" s="174">
        <f t="shared" si="39"/>
        <v>1.2872817575957226E-2</v>
      </c>
      <c r="G44" s="153"/>
      <c r="H44" s="153"/>
      <c r="I44" s="153"/>
      <c r="J44" s="153"/>
      <c r="K44" s="153"/>
      <c r="L44" s="153"/>
      <c r="M44" s="153"/>
      <c r="N44" s="153"/>
      <c r="O44" s="176">
        <f>+X26</f>
        <v>394.63</v>
      </c>
      <c r="P44" s="171">
        <f>+Z26</f>
        <v>6.28</v>
      </c>
      <c r="Q44" s="153"/>
      <c r="R44" s="153"/>
      <c r="S44" s="153"/>
      <c r="T44" s="153"/>
      <c r="U44" s="153"/>
      <c r="V44" s="153"/>
      <c r="W44" s="153"/>
      <c r="X44" s="153"/>
      <c r="Y44" s="153"/>
      <c r="Z44" s="153"/>
      <c r="AA44" s="153"/>
    </row>
    <row r="45" spans="1:28" ht="45" customHeight="1" x14ac:dyDescent="0.5">
      <c r="A45" s="241" t="s">
        <v>50</v>
      </c>
      <c r="B45" s="168">
        <f>+B27</f>
        <v>1038</v>
      </c>
      <c r="C45" s="242">
        <f>+W36</f>
        <v>1115.3999999999999</v>
      </c>
      <c r="D45" s="242">
        <f>+AA36</f>
        <v>76.359999999999957</v>
      </c>
      <c r="E45" s="163">
        <f>+D45/B45</f>
        <v>7.3564547206165662E-2</v>
      </c>
      <c r="F45" s="174">
        <f t="shared" si="39"/>
        <v>6.8459745382822276E-2</v>
      </c>
      <c r="G45" s="153"/>
      <c r="H45" s="153"/>
      <c r="I45" s="153"/>
      <c r="J45" s="153"/>
      <c r="K45" s="153"/>
      <c r="L45" s="153"/>
      <c r="M45" s="153"/>
      <c r="N45" s="153"/>
      <c r="O45" s="176">
        <f>+X36</f>
        <v>1089.6399999999999</v>
      </c>
      <c r="P45" s="171">
        <f>+Z36</f>
        <v>50.6</v>
      </c>
      <c r="Q45" s="153"/>
      <c r="R45" s="153"/>
      <c r="S45" s="153"/>
      <c r="T45" s="153"/>
      <c r="U45" s="153"/>
      <c r="V45" s="153"/>
      <c r="W45" s="153"/>
      <c r="X45" s="153"/>
      <c r="Y45" s="153"/>
      <c r="Z45" s="153"/>
      <c r="AA45" s="153"/>
    </row>
    <row r="46" spans="1:28" ht="45" customHeight="1" thickBot="1" x14ac:dyDescent="0.55000000000000004">
      <c r="A46" s="245" t="s">
        <v>51</v>
      </c>
      <c r="B46" s="246">
        <f>SUM(B42:B45)</f>
        <v>6164</v>
      </c>
      <c r="C46" s="246">
        <f>SUM(C42:C45)</f>
        <v>4458.08</v>
      </c>
      <c r="D46" s="247">
        <f>SUM(D42:D45)</f>
        <v>229.21999999999994</v>
      </c>
      <c r="E46" s="248">
        <f>+D46/B46</f>
        <v>3.7186891628812453E-2</v>
      </c>
      <c r="F46" s="252">
        <f>+D46/C46</f>
        <v>5.1416753400567047E-2</v>
      </c>
      <c r="G46" s="249"/>
      <c r="H46" s="153"/>
      <c r="I46" s="153"/>
      <c r="J46" s="153"/>
      <c r="K46" s="153"/>
      <c r="L46" s="153"/>
      <c r="M46" s="153"/>
      <c r="N46" s="153"/>
      <c r="O46" s="250">
        <f>SUM(O42:O45)</f>
        <v>4357.6900000000005</v>
      </c>
      <c r="P46" s="251">
        <f>SUM(P42:P45)</f>
        <v>217.73</v>
      </c>
      <c r="Q46" s="153"/>
      <c r="R46" s="153"/>
      <c r="S46" s="153"/>
      <c r="T46" s="153"/>
      <c r="U46" s="153"/>
      <c r="V46" s="153"/>
      <c r="W46" s="153"/>
      <c r="X46" s="153"/>
      <c r="Y46" s="153"/>
      <c r="Z46" s="153"/>
      <c r="AA46" s="153"/>
    </row>
    <row r="47" spans="1:28" ht="21" x14ac:dyDescent="0.5">
      <c r="A47" s="153"/>
      <c r="B47" s="153"/>
      <c r="C47" s="153"/>
      <c r="D47" s="153"/>
      <c r="E47" s="153"/>
      <c r="F47" s="235"/>
      <c r="G47" s="153"/>
      <c r="H47" s="153"/>
      <c r="I47" s="153"/>
      <c r="J47" s="153"/>
      <c r="K47" s="153"/>
      <c r="L47" s="153"/>
      <c r="M47" s="153"/>
      <c r="N47" s="153"/>
      <c r="O47" s="153"/>
      <c r="P47" s="153"/>
      <c r="Q47" s="153"/>
      <c r="R47" s="153"/>
      <c r="S47" s="153"/>
      <c r="T47" s="153"/>
      <c r="U47" s="153"/>
      <c r="V47" s="153"/>
      <c r="W47" s="153"/>
      <c r="X47" s="153"/>
      <c r="Y47" s="153"/>
      <c r="Z47" s="153"/>
      <c r="AA47" s="153"/>
    </row>
    <row r="48" spans="1:28" ht="21" x14ac:dyDescent="0.5">
      <c r="A48" s="153"/>
      <c r="B48" s="153">
        <v>410</v>
      </c>
      <c r="C48" s="153"/>
      <c r="D48" s="153"/>
      <c r="E48" s="153"/>
      <c r="F48" s="153"/>
      <c r="G48" s="153"/>
      <c r="H48" s="153"/>
      <c r="I48" s="153"/>
      <c r="J48" s="153"/>
      <c r="K48" s="153"/>
      <c r="L48" s="153"/>
      <c r="M48" s="153"/>
      <c r="N48" s="153"/>
      <c r="O48" s="153"/>
      <c r="P48" s="153"/>
      <c r="Q48" s="153"/>
      <c r="R48" s="153"/>
      <c r="S48" s="153"/>
      <c r="T48" s="153"/>
      <c r="U48" s="153"/>
      <c r="V48" s="153"/>
      <c r="W48" s="153"/>
      <c r="X48" s="153"/>
      <c r="Y48" s="153"/>
      <c r="Z48" s="153"/>
      <c r="AA48" s="153"/>
    </row>
    <row r="49" spans="1:27" ht="21" x14ac:dyDescent="0.5">
      <c r="A49" s="153"/>
      <c r="B49" s="153">
        <f>+B46+B48</f>
        <v>6574</v>
      </c>
      <c r="C49" s="153"/>
      <c r="D49" s="153"/>
      <c r="E49" s="153"/>
      <c r="F49" s="153"/>
      <c r="G49" s="153"/>
      <c r="H49" s="153"/>
      <c r="I49" s="153"/>
      <c r="J49" s="153"/>
      <c r="K49" s="153"/>
      <c r="L49" s="153"/>
      <c r="M49" s="153"/>
      <c r="N49" s="153"/>
      <c r="O49" s="153"/>
      <c r="P49" s="153"/>
      <c r="Q49" s="153"/>
      <c r="R49" s="153"/>
      <c r="S49" s="153"/>
      <c r="T49" s="153"/>
      <c r="U49" s="153"/>
      <c r="V49" s="153"/>
      <c r="W49" s="153"/>
      <c r="X49" s="153"/>
      <c r="Y49" s="153"/>
      <c r="Z49" s="153"/>
      <c r="AA49" s="153"/>
    </row>
  </sheetData>
  <mergeCells count="16">
    <mergeCell ref="A1:F1"/>
    <mergeCell ref="A2:G2"/>
    <mergeCell ref="H2:J2"/>
    <mergeCell ref="K2:M2"/>
    <mergeCell ref="N2:O2"/>
    <mergeCell ref="A27:A35"/>
    <mergeCell ref="B27:B35"/>
    <mergeCell ref="A40:F40"/>
    <mergeCell ref="W2:AA2"/>
    <mergeCell ref="A4:A10"/>
    <mergeCell ref="B4:B10"/>
    <mergeCell ref="A12:A20"/>
    <mergeCell ref="B12:B20"/>
    <mergeCell ref="A22:A25"/>
    <mergeCell ref="B22:B25"/>
    <mergeCell ref="P2:U2"/>
  </mergeCells>
  <pageMargins left="0.70866141732283472" right="0.70866141732283472" top="0.74803149606299213" bottom="0.74803149606299213" header="0.31496062992125984" footer="0.31496062992125984"/>
  <pageSetup paperSize="9" scale="38" orientation="landscape" r:id="rId1"/>
  <rowBreaks count="1" manualBreakCount="1">
    <brk id="26" max="27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5123F-EDF7-4FF4-80A5-C8D1849902E0}">
  <dimension ref="A1:AB49"/>
  <sheetViews>
    <sheetView workbookViewId="0">
      <pane xSplit="7" ySplit="3" topLeftCell="H4" activePane="bottomRight" state="frozen"/>
      <selection pane="topRight" activeCell="H1" sqref="H1"/>
      <selection pane="bottomLeft" activeCell="A4" sqref="A4"/>
      <selection pane="bottomRight" activeCell="L42" sqref="L42"/>
    </sheetView>
  </sheetViews>
  <sheetFormatPr defaultRowHeight="14.5" x14ac:dyDescent="0.35"/>
  <cols>
    <col min="1" max="1" width="11" customWidth="1"/>
    <col min="2" max="2" width="7.81640625" customWidth="1"/>
    <col min="3" max="3" width="20" customWidth="1"/>
    <col min="4" max="4" width="9.1796875" customWidth="1"/>
    <col min="5" max="5" width="9.26953125" customWidth="1"/>
    <col min="6" max="6" width="10" customWidth="1"/>
    <col min="7" max="7" width="8.1796875" customWidth="1"/>
    <col min="8" max="8" width="12.54296875" customWidth="1"/>
    <col min="9" max="9" width="12.453125" customWidth="1"/>
    <col min="10" max="10" width="11" customWidth="1"/>
    <col min="11" max="11" width="9.453125" customWidth="1"/>
    <col min="12" max="12" width="11" customWidth="1"/>
    <col min="13" max="13" width="13.54296875" customWidth="1"/>
    <col min="14" max="14" width="14.81640625" customWidth="1"/>
    <col min="15" max="15" width="16" customWidth="1"/>
    <col min="16" max="16" width="11.26953125" customWidth="1"/>
    <col min="17" max="18" width="9.54296875" customWidth="1"/>
    <col min="19" max="20" width="10.81640625" customWidth="1"/>
    <col min="21" max="21" width="12.7265625" customWidth="1"/>
    <col min="22" max="22" width="8.7265625" customWidth="1"/>
    <col min="23" max="23" width="11.453125" customWidth="1"/>
    <col min="24" max="24" width="11" customWidth="1"/>
  </cols>
  <sheetData>
    <row r="1" spans="1:28" ht="22.5" customHeight="1" thickBot="1" x14ac:dyDescent="0.4">
      <c r="A1" s="308" t="s">
        <v>36</v>
      </c>
      <c r="B1" s="309"/>
      <c r="C1" s="309"/>
      <c r="D1" s="309"/>
      <c r="E1" s="309"/>
      <c r="F1" s="310"/>
    </row>
    <row r="2" spans="1:28" ht="22.5" customHeight="1" thickBot="1" x14ac:dyDescent="0.4">
      <c r="A2" s="311" t="s">
        <v>140</v>
      </c>
      <c r="B2" s="312"/>
      <c r="C2" s="312"/>
      <c r="D2" s="312"/>
      <c r="E2" s="312"/>
      <c r="F2" s="312"/>
      <c r="G2" s="313"/>
      <c r="H2" s="314" t="s">
        <v>22</v>
      </c>
      <c r="I2" s="315"/>
      <c r="J2" s="316"/>
      <c r="K2" s="317" t="s">
        <v>23</v>
      </c>
      <c r="L2" s="318"/>
      <c r="M2" s="319"/>
      <c r="N2" s="320" t="s">
        <v>24</v>
      </c>
      <c r="O2" s="321"/>
      <c r="P2" s="305" t="s">
        <v>25</v>
      </c>
      <c r="Q2" s="306"/>
      <c r="R2" s="306"/>
      <c r="S2" s="306"/>
      <c r="T2" s="306"/>
      <c r="U2" s="307"/>
      <c r="W2" s="325" t="s">
        <v>43</v>
      </c>
      <c r="X2" s="326"/>
      <c r="Y2" s="326"/>
      <c r="Z2" s="326"/>
      <c r="AA2" s="327"/>
    </row>
    <row r="3" spans="1:28" ht="58.5" thickBot="1" x14ac:dyDescent="0.4">
      <c r="A3" s="39" t="s">
        <v>6</v>
      </c>
      <c r="B3" s="38" t="s">
        <v>7</v>
      </c>
      <c r="C3" s="38" t="s">
        <v>0</v>
      </c>
      <c r="D3" s="37" t="s">
        <v>15</v>
      </c>
      <c r="E3" s="38" t="s">
        <v>1</v>
      </c>
      <c r="F3" s="36" t="s">
        <v>27</v>
      </c>
      <c r="G3" s="37" t="s">
        <v>19</v>
      </c>
      <c r="H3" s="25" t="s">
        <v>4</v>
      </c>
      <c r="I3" s="89" t="s">
        <v>44</v>
      </c>
      <c r="J3" s="26" t="s">
        <v>29</v>
      </c>
      <c r="K3" s="88" t="s">
        <v>3</v>
      </c>
      <c r="L3" s="1" t="s">
        <v>28</v>
      </c>
      <c r="M3" s="87" t="s">
        <v>5</v>
      </c>
      <c r="N3" s="25" t="s">
        <v>20</v>
      </c>
      <c r="O3" s="26" t="s">
        <v>21</v>
      </c>
      <c r="P3" s="24" t="s">
        <v>8</v>
      </c>
      <c r="Q3" s="86" t="s">
        <v>9</v>
      </c>
      <c r="R3" s="2" t="s">
        <v>10</v>
      </c>
      <c r="S3" s="1" t="s">
        <v>26</v>
      </c>
      <c r="T3" s="1" t="s">
        <v>11</v>
      </c>
      <c r="U3" s="1" t="s">
        <v>30</v>
      </c>
      <c r="W3" s="43" t="s">
        <v>2</v>
      </c>
      <c r="X3" s="60" t="s">
        <v>3</v>
      </c>
      <c r="Y3" s="60" t="s">
        <v>28</v>
      </c>
      <c r="Z3" s="60" t="s">
        <v>5</v>
      </c>
      <c r="AA3" s="61" t="s">
        <v>26</v>
      </c>
    </row>
    <row r="4" spans="1:28" ht="20.25" customHeight="1" x14ac:dyDescent="0.35">
      <c r="A4" s="301" t="s">
        <v>37</v>
      </c>
      <c r="B4" s="303">
        <v>1133</v>
      </c>
      <c r="C4" s="34" t="s">
        <v>55</v>
      </c>
      <c r="D4" s="4">
        <v>2</v>
      </c>
      <c r="E4" s="30" t="s">
        <v>16</v>
      </c>
      <c r="F4" s="47">
        <v>2</v>
      </c>
      <c r="G4" s="5">
        <v>0.05</v>
      </c>
      <c r="H4" s="71">
        <f>+F4*B4</f>
        <v>2266</v>
      </c>
      <c r="I4" s="67">
        <v>2276</v>
      </c>
      <c r="J4" s="22">
        <f t="shared" ref="J4:J10" si="0">I4-H4</f>
        <v>10</v>
      </c>
      <c r="K4" s="75">
        <v>2266</v>
      </c>
      <c r="L4" s="127">
        <f>+I4-K4</f>
        <v>10</v>
      </c>
      <c r="M4" s="78">
        <v>45</v>
      </c>
      <c r="N4" s="128">
        <f>+K4-M4</f>
        <v>2221</v>
      </c>
      <c r="O4" s="64">
        <f>+N4/B4</f>
        <v>1.9602824360105913</v>
      </c>
      <c r="P4" s="18">
        <f>+L4+M4</f>
        <v>55</v>
      </c>
      <c r="Q4" s="81">
        <v>30</v>
      </c>
      <c r="R4" s="3">
        <f t="shared" ref="R4:R10" si="1">+P4-Q4</f>
        <v>25</v>
      </c>
      <c r="S4" s="3">
        <f t="shared" ref="S4:S10" si="2">+R4*G4</f>
        <v>1.25</v>
      </c>
      <c r="T4" s="3">
        <f t="shared" ref="T4:T10" si="3">+R4*D4</f>
        <v>50</v>
      </c>
      <c r="U4" s="6">
        <f>+R4/I4</f>
        <v>1.0984182776801407E-2</v>
      </c>
      <c r="W4" s="102">
        <f>+I4*G4</f>
        <v>113.80000000000001</v>
      </c>
      <c r="X4" s="103">
        <f>+K4*G4</f>
        <v>113.30000000000001</v>
      </c>
      <c r="Y4" s="103">
        <f>+L4*G4</f>
        <v>0.5</v>
      </c>
      <c r="Z4" s="103">
        <f>+M4*G4</f>
        <v>2.25</v>
      </c>
      <c r="AA4" s="104">
        <f>+R4*G4</f>
        <v>1.25</v>
      </c>
    </row>
    <row r="5" spans="1:28" ht="20.25" customHeight="1" x14ac:dyDescent="0.35">
      <c r="A5" s="302"/>
      <c r="B5" s="304"/>
      <c r="C5" s="35" t="s">
        <v>100</v>
      </c>
      <c r="D5" s="10">
        <v>4</v>
      </c>
      <c r="E5" s="31" t="s">
        <v>16</v>
      </c>
      <c r="F5" s="48">
        <v>2</v>
      </c>
      <c r="G5" s="11">
        <v>0.05</v>
      </c>
      <c r="H5" s="70">
        <f>+F5*B4</f>
        <v>2266</v>
      </c>
      <c r="I5" s="68">
        <v>2270</v>
      </c>
      <c r="J5" s="13">
        <f t="shared" si="0"/>
        <v>4</v>
      </c>
      <c r="K5" s="76">
        <v>2266</v>
      </c>
      <c r="L5" s="9">
        <f t="shared" ref="L5:L10" si="4">+I5-K5</f>
        <v>4</v>
      </c>
      <c r="M5" s="79">
        <v>15</v>
      </c>
      <c r="N5" s="23">
        <f t="shared" ref="N5:N10" si="5">+K5-M5</f>
        <v>2251</v>
      </c>
      <c r="O5" s="65">
        <f>+N5/B4</f>
        <v>1.9867608120035305</v>
      </c>
      <c r="P5" s="19">
        <f>+L5+M5</f>
        <v>19</v>
      </c>
      <c r="Q5" s="82">
        <v>10</v>
      </c>
      <c r="R5" s="9">
        <f t="shared" si="1"/>
        <v>9</v>
      </c>
      <c r="S5" s="9">
        <f t="shared" si="2"/>
        <v>0.45</v>
      </c>
      <c r="T5" s="9">
        <f t="shared" si="3"/>
        <v>36</v>
      </c>
      <c r="U5" s="12">
        <f t="shared" ref="U5:U9" si="6">+R5/I5</f>
        <v>3.9647577092511016E-3</v>
      </c>
      <c r="W5" s="102">
        <f t="shared" ref="W5:W35" si="7">+I5*G5</f>
        <v>113.5</v>
      </c>
      <c r="X5" s="103">
        <f t="shared" ref="X5:X35" si="8">+K5*G5</f>
        <v>113.30000000000001</v>
      </c>
      <c r="Y5" s="103">
        <f t="shared" ref="Y5:Y35" si="9">+L5*G5</f>
        <v>0.2</v>
      </c>
      <c r="Z5" s="103">
        <f t="shared" ref="Z5:Z35" si="10">+M5*G5</f>
        <v>0.75</v>
      </c>
      <c r="AA5" s="104">
        <f t="shared" ref="AA5:AA35" si="11">+R5*G5</f>
        <v>0.45</v>
      </c>
    </row>
    <row r="6" spans="1:28" ht="20.25" customHeight="1" x14ac:dyDescent="0.35">
      <c r="A6" s="302"/>
      <c r="B6" s="304"/>
      <c r="C6" s="35" t="s">
        <v>122</v>
      </c>
      <c r="D6" s="10">
        <v>40</v>
      </c>
      <c r="E6" s="31" t="s">
        <v>17</v>
      </c>
      <c r="F6" s="49">
        <v>0.15</v>
      </c>
      <c r="G6" s="11">
        <v>1</v>
      </c>
      <c r="H6" s="72">
        <f>+F6*B4</f>
        <v>169.95</v>
      </c>
      <c r="I6" s="68">
        <v>175</v>
      </c>
      <c r="J6" s="13">
        <f t="shared" si="0"/>
        <v>5.0500000000000114</v>
      </c>
      <c r="K6" s="76">
        <v>170</v>
      </c>
      <c r="L6" s="9">
        <f t="shared" si="4"/>
        <v>5</v>
      </c>
      <c r="M6" s="79">
        <v>9.5</v>
      </c>
      <c r="N6" s="33">
        <f t="shared" si="5"/>
        <v>160.5</v>
      </c>
      <c r="O6" s="42">
        <f>+N6/B4</f>
        <v>0.14165931156222419</v>
      </c>
      <c r="P6" s="19">
        <f>+L6+M6</f>
        <v>14.5</v>
      </c>
      <c r="Q6" s="82">
        <v>6</v>
      </c>
      <c r="R6" s="9">
        <f t="shared" si="1"/>
        <v>8.5</v>
      </c>
      <c r="S6" s="9">
        <f t="shared" si="2"/>
        <v>8.5</v>
      </c>
      <c r="T6" s="9">
        <f t="shared" si="3"/>
        <v>340</v>
      </c>
      <c r="U6" s="12">
        <f t="shared" si="6"/>
        <v>4.8571428571428571E-2</v>
      </c>
      <c r="W6" s="102">
        <f t="shared" si="7"/>
        <v>175</v>
      </c>
      <c r="X6" s="103">
        <f t="shared" si="8"/>
        <v>170</v>
      </c>
      <c r="Y6" s="103">
        <f t="shared" si="9"/>
        <v>5</v>
      </c>
      <c r="Z6" s="103">
        <f t="shared" si="10"/>
        <v>9.5</v>
      </c>
      <c r="AA6" s="104">
        <f t="shared" si="11"/>
        <v>8.5</v>
      </c>
    </row>
    <row r="7" spans="1:28" ht="20.25" customHeight="1" x14ac:dyDescent="0.35">
      <c r="A7" s="302"/>
      <c r="B7" s="304"/>
      <c r="C7" s="35" t="s">
        <v>12</v>
      </c>
      <c r="D7" s="10">
        <v>45</v>
      </c>
      <c r="E7" s="31" t="s">
        <v>17</v>
      </c>
      <c r="F7" s="49">
        <v>0.1</v>
      </c>
      <c r="G7" s="11">
        <v>1</v>
      </c>
      <c r="H7" s="72">
        <f>+F7*B4</f>
        <v>113.30000000000001</v>
      </c>
      <c r="I7" s="68">
        <v>117</v>
      </c>
      <c r="J7" s="13">
        <f t="shared" si="0"/>
        <v>3.6999999999999886</v>
      </c>
      <c r="K7" s="76">
        <v>113</v>
      </c>
      <c r="L7" s="9">
        <f t="shared" si="4"/>
        <v>4</v>
      </c>
      <c r="M7" s="79">
        <v>5.5</v>
      </c>
      <c r="N7" s="23">
        <f t="shared" si="5"/>
        <v>107.5</v>
      </c>
      <c r="O7" s="42">
        <f>+N7/B4</f>
        <v>9.4880847308031771E-2</v>
      </c>
      <c r="P7" s="19">
        <f t="shared" ref="P7:P10" si="12">+L7+M7</f>
        <v>9.5</v>
      </c>
      <c r="Q7" s="82">
        <v>2</v>
      </c>
      <c r="R7" s="9">
        <f t="shared" si="1"/>
        <v>7.5</v>
      </c>
      <c r="S7" s="9">
        <f t="shared" si="2"/>
        <v>7.5</v>
      </c>
      <c r="T7" s="9">
        <f t="shared" si="3"/>
        <v>337.5</v>
      </c>
      <c r="U7" s="12">
        <f t="shared" si="6"/>
        <v>6.4102564102564097E-2</v>
      </c>
      <c r="W7" s="102">
        <f t="shared" si="7"/>
        <v>117</v>
      </c>
      <c r="X7" s="103">
        <f t="shared" si="8"/>
        <v>113</v>
      </c>
      <c r="Y7" s="103">
        <f t="shared" si="9"/>
        <v>4</v>
      </c>
      <c r="Z7" s="103">
        <f t="shared" si="10"/>
        <v>5.5</v>
      </c>
      <c r="AA7" s="104">
        <f t="shared" si="11"/>
        <v>7.5</v>
      </c>
    </row>
    <row r="8" spans="1:28" ht="20.25" customHeight="1" x14ac:dyDescent="0.35">
      <c r="A8" s="302"/>
      <c r="B8" s="304"/>
      <c r="C8" s="35" t="s">
        <v>13</v>
      </c>
      <c r="D8" s="10">
        <v>52</v>
      </c>
      <c r="E8" s="31" t="s">
        <v>17</v>
      </c>
      <c r="F8" s="49">
        <v>0.1</v>
      </c>
      <c r="G8" s="11">
        <v>1</v>
      </c>
      <c r="H8" s="72">
        <f>+F8*B4</f>
        <v>113.30000000000001</v>
      </c>
      <c r="I8" s="68">
        <v>116.5</v>
      </c>
      <c r="J8" s="13">
        <f t="shared" si="0"/>
        <v>3.1999999999999886</v>
      </c>
      <c r="K8" s="76">
        <v>113.3</v>
      </c>
      <c r="L8" s="9">
        <f>+I8-K8</f>
        <v>3.2000000000000028</v>
      </c>
      <c r="M8" s="79">
        <v>6</v>
      </c>
      <c r="N8" s="33">
        <f t="shared" si="5"/>
        <v>107.3</v>
      </c>
      <c r="O8" s="42">
        <f>+N8/B4</f>
        <v>9.4704324801412179E-2</v>
      </c>
      <c r="P8" s="19">
        <f t="shared" si="12"/>
        <v>9.2000000000000028</v>
      </c>
      <c r="Q8" s="82">
        <v>0</v>
      </c>
      <c r="R8" s="9">
        <f t="shared" si="1"/>
        <v>9.2000000000000028</v>
      </c>
      <c r="S8" s="9">
        <f t="shared" si="2"/>
        <v>9.2000000000000028</v>
      </c>
      <c r="T8" s="9">
        <f t="shared" si="3"/>
        <v>478.40000000000015</v>
      </c>
      <c r="U8" s="12">
        <f t="shared" si="6"/>
        <v>7.8969957081545084E-2</v>
      </c>
      <c r="W8" s="102">
        <f t="shared" si="7"/>
        <v>116.5</v>
      </c>
      <c r="X8" s="103">
        <f t="shared" si="8"/>
        <v>113.3</v>
      </c>
      <c r="Y8" s="103">
        <f t="shared" si="9"/>
        <v>3.2000000000000028</v>
      </c>
      <c r="Z8" s="103">
        <f t="shared" si="10"/>
        <v>6</v>
      </c>
      <c r="AA8" s="104">
        <f t="shared" si="11"/>
        <v>9.2000000000000028</v>
      </c>
    </row>
    <row r="9" spans="1:28" ht="20.25" customHeight="1" x14ac:dyDescent="0.35">
      <c r="A9" s="302"/>
      <c r="B9" s="304"/>
      <c r="C9" s="35" t="s">
        <v>123</v>
      </c>
      <c r="D9" s="10">
        <v>60</v>
      </c>
      <c r="E9" s="31" t="s">
        <v>17</v>
      </c>
      <c r="F9" s="49">
        <v>0.03</v>
      </c>
      <c r="G9" s="11">
        <v>1</v>
      </c>
      <c r="H9" s="73">
        <f>+F9*B4</f>
        <v>33.99</v>
      </c>
      <c r="I9" s="68">
        <v>36</v>
      </c>
      <c r="J9" s="13">
        <f t="shared" si="0"/>
        <v>2.009999999999998</v>
      </c>
      <c r="K9" s="76">
        <v>34</v>
      </c>
      <c r="L9" s="54">
        <f>+I9-K9</f>
        <v>2</v>
      </c>
      <c r="M9" s="79">
        <v>2.5</v>
      </c>
      <c r="N9" s="23">
        <f t="shared" si="5"/>
        <v>31.5</v>
      </c>
      <c r="O9" s="42">
        <f>+N9/B4</f>
        <v>2.7802294792586054E-2</v>
      </c>
      <c r="P9" s="19">
        <f t="shared" si="12"/>
        <v>4.5</v>
      </c>
      <c r="Q9" s="82">
        <v>4.5</v>
      </c>
      <c r="R9" s="9">
        <f t="shared" si="1"/>
        <v>0</v>
      </c>
      <c r="S9" s="9">
        <f t="shared" si="2"/>
        <v>0</v>
      </c>
      <c r="T9" s="9">
        <f t="shared" si="3"/>
        <v>0</v>
      </c>
      <c r="U9" s="12">
        <f t="shared" si="6"/>
        <v>0</v>
      </c>
      <c r="W9" s="102">
        <f t="shared" si="7"/>
        <v>36</v>
      </c>
      <c r="X9" s="103">
        <f t="shared" si="8"/>
        <v>34</v>
      </c>
      <c r="Y9" s="103">
        <f t="shared" si="9"/>
        <v>2</v>
      </c>
      <c r="Z9" s="103">
        <f t="shared" si="10"/>
        <v>2.5</v>
      </c>
      <c r="AA9" s="104">
        <f t="shared" si="11"/>
        <v>0</v>
      </c>
    </row>
    <row r="10" spans="1:28" ht="20.25" customHeight="1" x14ac:dyDescent="0.35">
      <c r="A10" s="302"/>
      <c r="B10" s="304"/>
      <c r="C10" s="35" t="s">
        <v>14</v>
      </c>
      <c r="D10" s="10">
        <v>60</v>
      </c>
      <c r="E10" s="31" t="s">
        <v>18</v>
      </c>
      <c r="F10" s="49">
        <v>0.1</v>
      </c>
      <c r="G10" s="11">
        <v>1</v>
      </c>
      <c r="H10" s="72">
        <f>+F10*B4</f>
        <v>113.30000000000001</v>
      </c>
      <c r="I10" s="68">
        <v>117.5</v>
      </c>
      <c r="J10" s="13">
        <f t="shared" si="0"/>
        <v>4.1999999999999886</v>
      </c>
      <c r="K10" s="76">
        <v>113.3</v>
      </c>
      <c r="L10" s="9">
        <f t="shared" si="4"/>
        <v>4.2000000000000028</v>
      </c>
      <c r="M10" s="79">
        <v>3.5</v>
      </c>
      <c r="N10" s="33">
        <f t="shared" si="5"/>
        <v>109.8</v>
      </c>
      <c r="O10" s="42">
        <f>+N10/B4</f>
        <v>9.6910856134157106E-2</v>
      </c>
      <c r="P10" s="19">
        <f t="shared" si="12"/>
        <v>7.7000000000000028</v>
      </c>
      <c r="Q10" s="82">
        <v>0</v>
      </c>
      <c r="R10" s="9">
        <f t="shared" si="1"/>
        <v>7.7000000000000028</v>
      </c>
      <c r="S10" s="9">
        <f t="shared" si="2"/>
        <v>7.7000000000000028</v>
      </c>
      <c r="T10" s="9">
        <f t="shared" si="3"/>
        <v>462.00000000000017</v>
      </c>
      <c r="U10" s="12">
        <f>+R10/I10</f>
        <v>6.5531914893617052E-2</v>
      </c>
      <c r="W10" s="115">
        <f t="shared" si="7"/>
        <v>117.5</v>
      </c>
      <c r="X10" s="116">
        <f t="shared" si="8"/>
        <v>113.3</v>
      </c>
      <c r="Y10" s="116">
        <f t="shared" si="9"/>
        <v>4.2000000000000028</v>
      </c>
      <c r="Z10" s="116">
        <f t="shared" si="10"/>
        <v>3.5</v>
      </c>
      <c r="AA10" s="117">
        <f t="shared" si="11"/>
        <v>7.7000000000000028</v>
      </c>
    </row>
    <row r="11" spans="1:28" ht="20.25" customHeight="1" thickBot="1" x14ac:dyDescent="0.4">
      <c r="A11" s="27"/>
      <c r="B11" s="51"/>
      <c r="C11" s="50"/>
      <c r="D11" s="15"/>
      <c r="E11" s="15"/>
      <c r="F11" s="15"/>
      <c r="G11" s="15"/>
      <c r="H11" s="74"/>
      <c r="I11" s="69"/>
      <c r="J11" s="16"/>
      <c r="K11" s="77"/>
      <c r="L11" s="15"/>
      <c r="M11" s="80"/>
      <c r="N11" s="14"/>
      <c r="O11" s="16"/>
      <c r="P11" s="20"/>
      <c r="Q11" s="83"/>
      <c r="R11" s="15"/>
      <c r="S11" s="84">
        <f>SUM(S4:S10)</f>
        <v>34.600000000000009</v>
      </c>
      <c r="T11" s="56">
        <f>SUM(T4:T10)</f>
        <v>1703.9000000000003</v>
      </c>
      <c r="U11" s="16"/>
      <c r="W11" s="118">
        <f>SUM(W4:W10)</f>
        <v>789.3</v>
      </c>
      <c r="X11" s="109">
        <f t="shared" ref="X11:AA11" si="13">SUM(X4:X10)</f>
        <v>770.19999999999993</v>
      </c>
      <c r="Y11" s="109">
        <f t="shared" si="13"/>
        <v>19.100000000000005</v>
      </c>
      <c r="Z11" s="110">
        <f t="shared" si="13"/>
        <v>30</v>
      </c>
      <c r="AA11" s="114">
        <f t="shared" si="13"/>
        <v>34.600000000000009</v>
      </c>
      <c r="AB11" s="94"/>
    </row>
    <row r="12" spans="1:28" ht="20.25" customHeight="1" x14ac:dyDescent="0.35">
      <c r="A12" s="292" t="s">
        <v>38</v>
      </c>
      <c r="B12" s="295">
        <f>7+17+80+80+120+230+50+120+50+140+40+70+50+10+4</f>
        <v>1068</v>
      </c>
      <c r="C12" s="34" t="s">
        <v>31</v>
      </c>
      <c r="D12" s="4">
        <v>20</v>
      </c>
      <c r="E12" s="30" t="s">
        <v>17</v>
      </c>
      <c r="F12" s="52">
        <v>0.4</v>
      </c>
      <c r="G12" s="5">
        <v>1</v>
      </c>
      <c r="H12" s="71">
        <f>+F12*B12</f>
        <v>427.20000000000005</v>
      </c>
      <c r="I12" s="67">
        <v>435</v>
      </c>
      <c r="J12" s="22">
        <f t="shared" ref="J12:J20" si="14">I12-H12</f>
        <v>7.7999999999999545</v>
      </c>
      <c r="K12" s="75">
        <v>427.2</v>
      </c>
      <c r="L12" s="3">
        <f>+I12-K12</f>
        <v>7.8000000000000114</v>
      </c>
      <c r="M12" s="78">
        <v>25</v>
      </c>
      <c r="N12" s="21">
        <f>+K12-M12</f>
        <v>402.2</v>
      </c>
      <c r="O12" s="41">
        <f>+N12/B12</f>
        <v>0.37659176029962543</v>
      </c>
      <c r="P12" s="18">
        <f>+L12+M12</f>
        <v>32.800000000000011</v>
      </c>
      <c r="Q12" s="81">
        <v>30</v>
      </c>
      <c r="R12" s="3">
        <f>+P12-Q12</f>
        <v>2.8000000000000114</v>
      </c>
      <c r="S12" s="3">
        <f>+R12*G12</f>
        <v>2.8000000000000114</v>
      </c>
      <c r="T12" s="3">
        <f t="shared" ref="T12:T20" si="15">+R12*D12</f>
        <v>56.000000000000227</v>
      </c>
      <c r="U12" s="6">
        <f>+R12/I12</f>
        <v>6.4367816091954284E-3</v>
      </c>
      <c r="W12" s="111">
        <f t="shared" si="7"/>
        <v>435</v>
      </c>
      <c r="X12" s="112">
        <f t="shared" si="8"/>
        <v>427.2</v>
      </c>
      <c r="Y12" s="112">
        <f t="shared" si="9"/>
        <v>7.8000000000000114</v>
      </c>
      <c r="Z12" s="112">
        <f t="shared" si="10"/>
        <v>25</v>
      </c>
      <c r="AA12" s="113">
        <f t="shared" si="11"/>
        <v>2.8000000000000114</v>
      </c>
    </row>
    <row r="13" spans="1:28" ht="20.25" customHeight="1" x14ac:dyDescent="0.35">
      <c r="A13" s="293"/>
      <c r="B13" s="296"/>
      <c r="C13" s="35" t="s">
        <v>141</v>
      </c>
      <c r="D13" s="10">
        <v>65</v>
      </c>
      <c r="E13" s="31" t="s">
        <v>17</v>
      </c>
      <c r="F13" s="49">
        <v>0.1</v>
      </c>
      <c r="G13" s="11">
        <v>1</v>
      </c>
      <c r="H13" s="70">
        <f>+F13*B12</f>
        <v>106.80000000000001</v>
      </c>
      <c r="I13" s="68">
        <v>109</v>
      </c>
      <c r="J13" s="13">
        <f t="shared" si="14"/>
        <v>2.1999999999999886</v>
      </c>
      <c r="K13" s="76">
        <v>106.8</v>
      </c>
      <c r="L13" s="9">
        <f t="shared" ref="L13:L20" si="16">+I13-K13</f>
        <v>2.2000000000000028</v>
      </c>
      <c r="M13" s="79">
        <v>7.5</v>
      </c>
      <c r="N13" s="23">
        <f>+K13-M13</f>
        <v>99.3</v>
      </c>
      <c r="O13" s="42">
        <f>+N13/B12</f>
        <v>9.2977528089887643E-2</v>
      </c>
      <c r="P13" s="19">
        <f>+L13+M13</f>
        <v>9.7000000000000028</v>
      </c>
      <c r="Q13" s="82">
        <v>0</v>
      </c>
      <c r="R13" s="9">
        <f t="shared" ref="R13:R20" si="17">+P13-Q13</f>
        <v>9.7000000000000028</v>
      </c>
      <c r="S13" s="9">
        <f>+R13*G13</f>
        <v>9.7000000000000028</v>
      </c>
      <c r="T13" s="9">
        <f t="shared" si="15"/>
        <v>630.50000000000023</v>
      </c>
      <c r="U13" s="12">
        <f t="shared" ref="U13:U20" si="18">+R13/I13</f>
        <v>8.8990825688073427E-2</v>
      </c>
      <c r="W13" s="102">
        <f t="shared" si="7"/>
        <v>109</v>
      </c>
      <c r="X13" s="103">
        <f t="shared" si="8"/>
        <v>106.8</v>
      </c>
      <c r="Y13" s="103">
        <f t="shared" si="9"/>
        <v>2.2000000000000028</v>
      </c>
      <c r="Z13" s="103">
        <f>+M13*G13</f>
        <v>7.5</v>
      </c>
      <c r="AA13" s="104">
        <f t="shared" si="11"/>
        <v>9.7000000000000028</v>
      </c>
    </row>
    <row r="14" spans="1:28" ht="20.25" customHeight="1" x14ac:dyDescent="0.35">
      <c r="A14" s="293"/>
      <c r="B14" s="296"/>
      <c r="C14" s="35" t="s">
        <v>142</v>
      </c>
      <c r="D14" s="10">
        <v>130</v>
      </c>
      <c r="E14" s="31" t="s">
        <v>17</v>
      </c>
      <c r="F14" s="49">
        <v>0.05</v>
      </c>
      <c r="G14" s="11">
        <v>1</v>
      </c>
      <c r="H14" s="72">
        <f>+F14*B12</f>
        <v>53.400000000000006</v>
      </c>
      <c r="I14" s="68">
        <v>54.5</v>
      </c>
      <c r="J14" s="13">
        <f t="shared" si="14"/>
        <v>1.0999999999999943</v>
      </c>
      <c r="K14" s="76">
        <v>53.4</v>
      </c>
      <c r="L14" s="9">
        <f t="shared" si="16"/>
        <v>1.1000000000000014</v>
      </c>
      <c r="M14" s="79">
        <v>3.5</v>
      </c>
      <c r="N14" s="33">
        <f>+K14-M14</f>
        <v>49.9</v>
      </c>
      <c r="O14" s="42">
        <f>+N14/B12</f>
        <v>4.6722846441947567E-2</v>
      </c>
      <c r="P14" s="19">
        <f>+L14+M14</f>
        <v>4.6000000000000014</v>
      </c>
      <c r="Q14" s="82">
        <v>0</v>
      </c>
      <c r="R14" s="9">
        <f t="shared" si="17"/>
        <v>4.6000000000000014</v>
      </c>
      <c r="S14" s="9">
        <f t="shared" ref="S14:S20" si="19">+R14*G14</f>
        <v>4.6000000000000014</v>
      </c>
      <c r="T14" s="9">
        <f t="shared" si="15"/>
        <v>598.00000000000023</v>
      </c>
      <c r="U14" s="12">
        <f t="shared" si="18"/>
        <v>8.4403669724770675E-2</v>
      </c>
      <c r="W14" s="102">
        <f t="shared" si="7"/>
        <v>54.5</v>
      </c>
      <c r="X14" s="103">
        <f t="shared" si="8"/>
        <v>53.4</v>
      </c>
      <c r="Y14" s="103">
        <f t="shared" si="9"/>
        <v>1.1000000000000014</v>
      </c>
      <c r="Z14" s="103">
        <f>+M14*G14</f>
        <v>3.5</v>
      </c>
      <c r="AA14" s="104">
        <f t="shared" si="11"/>
        <v>4.6000000000000014</v>
      </c>
    </row>
    <row r="15" spans="1:28" ht="20.25" customHeight="1" x14ac:dyDescent="0.35">
      <c r="A15" s="293"/>
      <c r="B15" s="296"/>
      <c r="C15" s="35" t="s">
        <v>115</v>
      </c>
      <c r="D15" s="10">
        <v>55</v>
      </c>
      <c r="E15" s="31" t="s">
        <v>17</v>
      </c>
      <c r="F15" s="49">
        <v>0.1</v>
      </c>
      <c r="G15" s="11">
        <v>1</v>
      </c>
      <c r="H15" s="72">
        <f>+F15*B12</f>
        <v>106.80000000000001</v>
      </c>
      <c r="I15" s="68">
        <v>108.5</v>
      </c>
      <c r="J15" s="13">
        <f t="shared" si="14"/>
        <v>1.6999999999999886</v>
      </c>
      <c r="K15" s="76">
        <v>106.8</v>
      </c>
      <c r="L15" s="9">
        <f t="shared" si="16"/>
        <v>1.7000000000000028</v>
      </c>
      <c r="M15" s="79">
        <v>6.5</v>
      </c>
      <c r="N15" s="23">
        <f t="shared" ref="N15:N20" si="20">+K15-M15</f>
        <v>100.3</v>
      </c>
      <c r="O15" s="42">
        <f>+N15/B12</f>
        <v>9.3913857677902612E-2</v>
      </c>
      <c r="P15" s="19">
        <f t="shared" ref="P15:P20" si="21">+L15+M15</f>
        <v>8.2000000000000028</v>
      </c>
      <c r="Q15" s="82">
        <v>0</v>
      </c>
      <c r="R15" s="9">
        <f t="shared" si="17"/>
        <v>8.2000000000000028</v>
      </c>
      <c r="S15" s="9">
        <f t="shared" si="19"/>
        <v>8.2000000000000028</v>
      </c>
      <c r="T15" s="9">
        <f t="shared" si="15"/>
        <v>451.00000000000017</v>
      </c>
      <c r="U15" s="12">
        <f t="shared" si="18"/>
        <v>7.5576036866359469E-2</v>
      </c>
      <c r="W15" s="102">
        <f t="shared" si="7"/>
        <v>108.5</v>
      </c>
      <c r="X15" s="103">
        <f t="shared" si="8"/>
        <v>106.8</v>
      </c>
      <c r="Y15" s="103">
        <f t="shared" si="9"/>
        <v>1.7000000000000028</v>
      </c>
      <c r="Z15" s="103">
        <f t="shared" si="10"/>
        <v>6.5</v>
      </c>
      <c r="AA15" s="104">
        <f t="shared" si="11"/>
        <v>8.2000000000000028</v>
      </c>
    </row>
    <row r="16" spans="1:28" ht="20.25" customHeight="1" x14ac:dyDescent="0.35">
      <c r="A16" s="293"/>
      <c r="B16" s="296"/>
      <c r="C16" s="35" t="s">
        <v>32</v>
      </c>
      <c r="D16" s="10">
        <v>48</v>
      </c>
      <c r="E16" s="31" t="s">
        <v>18</v>
      </c>
      <c r="F16" s="49">
        <v>0.08</v>
      </c>
      <c r="G16" s="11">
        <v>1</v>
      </c>
      <c r="H16" s="72">
        <f>+F16*B12</f>
        <v>85.44</v>
      </c>
      <c r="I16" s="68">
        <v>89.5</v>
      </c>
      <c r="J16" s="13">
        <f t="shared" si="14"/>
        <v>4.0600000000000023</v>
      </c>
      <c r="K16" s="76">
        <v>85.4</v>
      </c>
      <c r="L16" s="9">
        <f t="shared" si="16"/>
        <v>4.0999999999999943</v>
      </c>
      <c r="M16" s="79">
        <v>3.5</v>
      </c>
      <c r="N16" s="33">
        <f t="shared" si="20"/>
        <v>81.900000000000006</v>
      </c>
      <c r="O16" s="42">
        <f>+N16/B12</f>
        <v>7.6685393258426965E-2</v>
      </c>
      <c r="P16" s="19">
        <f t="shared" si="21"/>
        <v>7.5999999999999943</v>
      </c>
      <c r="Q16" s="82">
        <v>0</v>
      </c>
      <c r="R16" s="9">
        <f t="shared" si="17"/>
        <v>7.5999999999999943</v>
      </c>
      <c r="S16" s="9">
        <f t="shared" si="19"/>
        <v>7.5999999999999943</v>
      </c>
      <c r="T16" s="9">
        <f t="shared" si="15"/>
        <v>364.79999999999973</v>
      </c>
      <c r="U16" s="12">
        <f t="shared" si="18"/>
        <v>8.4916201117318374E-2</v>
      </c>
      <c r="W16" s="102">
        <f t="shared" si="7"/>
        <v>89.5</v>
      </c>
      <c r="X16" s="103">
        <f t="shared" si="8"/>
        <v>85.4</v>
      </c>
      <c r="Y16" s="103">
        <f t="shared" si="9"/>
        <v>4.0999999999999943</v>
      </c>
      <c r="Z16" s="103">
        <f t="shared" si="10"/>
        <v>3.5</v>
      </c>
      <c r="AA16" s="104">
        <f t="shared" si="11"/>
        <v>7.5999999999999943</v>
      </c>
    </row>
    <row r="17" spans="1:28" ht="20.25" customHeight="1" x14ac:dyDescent="0.35">
      <c r="A17" s="293"/>
      <c r="B17" s="296"/>
      <c r="C17" s="35" t="s">
        <v>54</v>
      </c>
      <c r="D17" s="10">
        <v>35</v>
      </c>
      <c r="E17" s="31" t="s">
        <v>18</v>
      </c>
      <c r="F17" s="49">
        <v>0.08</v>
      </c>
      <c r="G17" s="11">
        <v>1</v>
      </c>
      <c r="H17" s="73">
        <f>+F17*B12</f>
        <v>85.44</v>
      </c>
      <c r="I17" s="68">
        <v>87.5</v>
      </c>
      <c r="J17" s="66">
        <f t="shared" si="14"/>
        <v>2.0600000000000023</v>
      </c>
      <c r="K17" s="76">
        <v>85.4</v>
      </c>
      <c r="L17" s="9">
        <f t="shared" si="16"/>
        <v>2.0999999999999943</v>
      </c>
      <c r="M17" s="79">
        <v>6</v>
      </c>
      <c r="N17" s="23">
        <f t="shared" si="20"/>
        <v>79.400000000000006</v>
      </c>
      <c r="O17" s="42">
        <f>+N17/B12</f>
        <v>7.434456928838952E-2</v>
      </c>
      <c r="P17" s="19">
        <f t="shared" si="21"/>
        <v>8.0999999999999943</v>
      </c>
      <c r="Q17" s="82">
        <v>0</v>
      </c>
      <c r="R17" s="9">
        <f t="shared" si="17"/>
        <v>8.0999999999999943</v>
      </c>
      <c r="S17" s="9">
        <f t="shared" si="19"/>
        <v>8.0999999999999943</v>
      </c>
      <c r="T17" s="9">
        <f t="shared" si="15"/>
        <v>283.49999999999977</v>
      </c>
      <c r="U17" s="12">
        <f t="shared" si="18"/>
        <v>9.2571428571428513E-2</v>
      </c>
      <c r="W17" s="102">
        <f t="shared" si="7"/>
        <v>87.5</v>
      </c>
      <c r="X17" s="103">
        <f t="shared" si="8"/>
        <v>85.4</v>
      </c>
      <c r="Y17" s="103">
        <f t="shared" si="9"/>
        <v>2.0999999999999943</v>
      </c>
      <c r="Z17" s="103">
        <f t="shared" si="10"/>
        <v>6</v>
      </c>
      <c r="AA17" s="104">
        <f t="shared" si="11"/>
        <v>8.0999999999999943</v>
      </c>
    </row>
    <row r="18" spans="1:28" ht="20.25" customHeight="1" x14ac:dyDescent="0.35">
      <c r="A18" s="293"/>
      <c r="B18" s="296"/>
      <c r="C18" s="35" t="s">
        <v>33</v>
      </c>
      <c r="D18" s="10">
        <v>50</v>
      </c>
      <c r="E18" s="31" t="s">
        <v>17</v>
      </c>
      <c r="F18" s="49">
        <v>0.03</v>
      </c>
      <c r="G18" s="11">
        <v>1</v>
      </c>
      <c r="H18" s="72">
        <f>+F18*B12</f>
        <v>32.04</v>
      </c>
      <c r="I18" s="68">
        <v>33.5</v>
      </c>
      <c r="J18" s="13">
        <f t="shared" si="14"/>
        <v>1.4600000000000009</v>
      </c>
      <c r="K18" s="76">
        <v>32</v>
      </c>
      <c r="L18" s="9">
        <f t="shared" si="16"/>
        <v>1.5</v>
      </c>
      <c r="M18" s="79">
        <v>2.5</v>
      </c>
      <c r="N18" s="23">
        <f t="shared" si="20"/>
        <v>29.5</v>
      </c>
      <c r="O18" s="42">
        <f>+N18/B12</f>
        <v>2.7621722846441949E-2</v>
      </c>
      <c r="P18" s="19">
        <f t="shared" si="21"/>
        <v>4</v>
      </c>
      <c r="Q18" s="82">
        <v>0</v>
      </c>
      <c r="R18" s="9">
        <f t="shared" si="17"/>
        <v>4</v>
      </c>
      <c r="S18" s="9">
        <f t="shared" si="19"/>
        <v>4</v>
      </c>
      <c r="T18" s="9">
        <f t="shared" si="15"/>
        <v>200</v>
      </c>
      <c r="U18" s="12">
        <f t="shared" si="18"/>
        <v>0.11940298507462686</v>
      </c>
      <c r="W18" s="102">
        <f t="shared" si="7"/>
        <v>33.5</v>
      </c>
      <c r="X18" s="103">
        <f t="shared" si="8"/>
        <v>32</v>
      </c>
      <c r="Y18" s="103">
        <f t="shared" si="9"/>
        <v>1.5</v>
      </c>
      <c r="Z18" s="103">
        <f t="shared" si="10"/>
        <v>2.5</v>
      </c>
      <c r="AA18" s="104">
        <f t="shared" si="11"/>
        <v>4</v>
      </c>
    </row>
    <row r="19" spans="1:28" ht="20.25" customHeight="1" x14ac:dyDescent="0.35">
      <c r="A19" s="293"/>
      <c r="B19" s="296"/>
      <c r="C19" s="35" t="s">
        <v>34</v>
      </c>
      <c r="D19" s="31">
        <v>70</v>
      </c>
      <c r="E19" s="31" t="s">
        <v>17</v>
      </c>
      <c r="F19" s="11">
        <v>0.1</v>
      </c>
      <c r="G19" s="11">
        <v>1</v>
      </c>
      <c r="H19" s="72">
        <f>+F19*B12</f>
        <v>106.80000000000001</v>
      </c>
      <c r="I19" s="68">
        <v>106.8</v>
      </c>
      <c r="J19" s="13">
        <f t="shared" si="14"/>
        <v>0</v>
      </c>
      <c r="K19" s="76">
        <v>106.8</v>
      </c>
      <c r="L19" s="9">
        <f t="shared" si="16"/>
        <v>0</v>
      </c>
      <c r="M19" s="79">
        <v>0</v>
      </c>
      <c r="N19" s="23">
        <f t="shared" si="20"/>
        <v>106.8</v>
      </c>
      <c r="O19" s="42">
        <f>+N19/B12</f>
        <v>9.9999999999999992E-2</v>
      </c>
      <c r="P19" s="19">
        <f t="shared" si="21"/>
        <v>0</v>
      </c>
      <c r="Q19" s="82">
        <v>0</v>
      </c>
      <c r="R19" s="9">
        <f t="shared" si="17"/>
        <v>0</v>
      </c>
      <c r="S19" s="9">
        <f t="shared" si="19"/>
        <v>0</v>
      </c>
      <c r="T19" s="9">
        <f t="shared" si="15"/>
        <v>0</v>
      </c>
      <c r="U19" s="12">
        <f t="shared" si="18"/>
        <v>0</v>
      </c>
      <c r="W19" s="102">
        <f t="shared" si="7"/>
        <v>106.8</v>
      </c>
      <c r="X19" s="103">
        <f t="shared" si="8"/>
        <v>106.8</v>
      </c>
      <c r="Y19" s="103">
        <f t="shared" si="9"/>
        <v>0</v>
      </c>
      <c r="Z19" s="103">
        <f t="shared" si="10"/>
        <v>0</v>
      </c>
      <c r="AA19" s="104">
        <f t="shared" si="11"/>
        <v>0</v>
      </c>
    </row>
    <row r="20" spans="1:28" ht="20.25" customHeight="1" x14ac:dyDescent="0.35">
      <c r="A20" s="294"/>
      <c r="B20" s="297"/>
      <c r="C20" s="40" t="s">
        <v>35</v>
      </c>
      <c r="D20" s="44">
        <v>2</v>
      </c>
      <c r="E20" s="44" t="s">
        <v>16</v>
      </c>
      <c r="F20" s="53">
        <v>2</v>
      </c>
      <c r="G20" s="45">
        <v>0.04</v>
      </c>
      <c r="H20" s="72">
        <f>+F20*B12</f>
        <v>2136</v>
      </c>
      <c r="I20" s="68">
        <v>2149</v>
      </c>
      <c r="J20" s="13">
        <f t="shared" si="14"/>
        <v>13</v>
      </c>
      <c r="K20" s="76">
        <v>2136</v>
      </c>
      <c r="L20" s="9">
        <f t="shared" si="16"/>
        <v>13</v>
      </c>
      <c r="M20" s="79">
        <v>30</v>
      </c>
      <c r="N20" s="33">
        <f t="shared" si="20"/>
        <v>2106</v>
      </c>
      <c r="O20" s="42">
        <f>+N20/B12</f>
        <v>1.9719101123595506</v>
      </c>
      <c r="P20" s="19">
        <f t="shared" si="21"/>
        <v>43</v>
      </c>
      <c r="Q20" s="82">
        <v>0</v>
      </c>
      <c r="R20" s="9">
        <f t="shared" si="17"/>
        <v>43</v>
      </c>
      <c r="S20" s="9">
        <f t="shared" si="19"/>
        <v>1.72</v>
      </c>
      <c r="T20" s="9">
        <f t="shared" si="15"/>
        <v>86</v>
      </c>
      <c r="U20" s="12">
        <f t="shared" si="18"/>
        <v>2.0009306654257795E-2</v>
      </c>
      <c r="W20" s="115">
        <f t="shared" si="7"/>
        <v>85.960000000000008</v>
      </c>
      <c r="X20" s="116">
        <f t="shared" si="8"/>
        <v>85.44</v>
      </c>
      <c r="Y20" s="116">
        <f t="shared" si="9"/>
        <v>0.52</v>
      </c>
      <c r="Z20" s="116">
        <f t="shared" si="10"/>
        <v>1.2</v>
      </c>
      <c r="AA20" s="117">
        <f t="shared" si="11"/>
        <v>1.72</v>
      </c>
    </row>
    <row r="21" spans="1:28" ht="20.25" customHeight="1" thickBot="1" x14ac:dyDescent="0.4">
      <c r="A21" s="27"/>
      <c r="B21" s="28"/>
      <c r="C21" s="29"/>
      <c r="D21" s="15"/>
      <c r="E21" s="15"/>
      <c r="F21" s="15"/>
      <c r="G21" s="15"/>
      <c r="H21" s="74"/>
      <c r="I21" s="69"/>
      <c r="J21" s="16"/>
      <c r="K21" s="77"/>
      <c r="L21" s="15"/>
      <c r="M21" s="80"/>
      <c r="N21" s="14"/>
      <c r="O21" s="16"/>
      <c r="P21" s="20"/>
      <c r="Q21" s="83"/>
      <c r="R21" s="15"/>
      <c r="S21" s="56">
        <f>SUM(S12:S20)</f>
        <v>46.720000000000006</v>
      </c>
      <c r="T21" s="56">
        <f>SUM(T12:T20)</f>
        <v>2669.8</v>
      </c>
      <c r="U21" s="16"/>
      <c r="W21" s="118">
        <f>SUM(W12:W20)</f>
        <v>1110.26</v>
      </c>
      <c r="X21" s="110">
        <f t="shared" ref="X21:AA21" si="22">SUM(X12:X20)</f>
        <v>1089.2399999999998</v>
      </c>
      <c r="Y21" s="114">
        <f t="shared" si="22"/>
        <v>21.020000000000007</v>
      </c>
      <c r="Z21" s="109">
        <f t="shared" si="22"/>
        <v>55.7</v>
      </c>
      <c r="AA21" s="109">
        <f t="shared" si="22"/>
        <v>46.720000000000006</v>
      </c>
      <c r="AB21" s="94"/>
    </row>
    <row r="22" spans="1:28" ht="20.25" customHeight="1" x14ac:dyDescent="0.35">
      <c r="A22" s="292" t="s">
        <v>39</v>
      </c>
      <c r="B22" s="295">
        <v>1815</v>
      </c>
      <c r="C22" s="34" t="s">
        <v>143</v>
      </c>
      <c r="D22" s="4">
        <v>3</v>
      </c>
      <c r="E22" s="4" t="s">
        <v>58</v>
      </c>
      <c r="F22" s="135">
        <v>2</v>
      </c>
      <c r="G22" s="5">
        <v>0.04</v>
      </c>
      <c r="H22" s="71">
        <f>+F22*B22</f>
        <v>3630</v>
      </c>
      <c r="I22" s="67">
        <v>3635</v>
      </c>
      <c r="J22" s="22">
        <f>I22-H22</f>
        <v>5</v>
      </c>
      <c r="K22" s="75">
        <v>3630</v>
      </c>
      <c r="L22" s="3">
        <f>+I22-K22</f>
        <v>5</v>
      </c>
      <c r="M22" s="78">
        <v>0</v>
      </c>
      <c r="N22" s="21">
        <f>+K22-M22</f>
        <v>3630</v>
      </c>
      <c r="O22" s="41">
        <f>+N22/B22</f>
        <v>2</v>
      </c>
      <c r="P22" s="18">
        <f>+L22+M22</f>
        <v>5</v>
      </c>
      <c r="Q22" s="81">
        <v>5</v>
      </c>
      <c r="R22" s="3">
        <f>+P22-Q22</f>
        <v>0</v>
      </c>
      <c r="S22" s="3">
        <f>+R22*G22</f>
        <v>0</v>
      </c>
      <c r="T22" s="3">
        <f>+R22*D22</f>
        <v>0</v>
      </c>
      <c r="U22" s="6">
        <f>+R22/I22</f>
        <v>0</v>
      </c>
      <c r="W22" s="111">
        <f t="shared" si="7"/>
        <v>145.4</v>
      </c>
      <c r="X22" s="112">
        <f t="shared" si="8"/>
        <v>145.20000000000002</v>
      </c>
      <c r="Y22" s="112">
        <f t="shared" si="9"/>
        <v>0.2</v>
      </c>
      <c r="Z22" s="112">
        <f t="shared" si="10"/>
        <v>0</v>
      </c>
      <c r="AA22" s="113">
        <f t="shared" si="11"/>
        <v>0</v>
      </c>
    </row>
    <row r="23" spans="1:28" ht="20.25" customHeight="1" x14ac:dyDescent="0.35">
      <c r="A23" s="293"/>
      <c r="B23" s="296"/>
      <c r="C23" s="35" t="s">
        <v>144</v>
      </c>
      <c r="D23" s="10">
        <v>60</v>
      </c>
      <c r="E23" s="10" t="s">
        <v>61</v>
      </c>
      <c r="F23" s="49">
        <v>1</v>
      </c>
      <c r="G23" s="11">
        <v>0.01</v>
      </c>
      <c r="H23" s="70">
        <f>+F23*B22</f>
        <v>1815</v>
      </c>
      <c r="I23" s="68">
        <v>1815</v>
      </c>
      <c r="J23" s="13">
        <f>I23-H23</f>
        <v>0</v>
      </c>
      <c r="K23" s="76">
        <v>1815</v>
      </c>
      <c r="L23" s="9">
        <f t="shared" ref="L23:L25" si="23">+I23-K23</f>
        <v>0</v>
      </c>
      <c r="M23" s="79">
        <v>0</v>
      </c>
      <c r="N23" s="23">
        <f t="shared" ref="N23:N25" si="24">+K23-M23</f>
        <v>1815</v>
      </c>
      <c r="O23" s="42">
        <f>+N23/B22</f>
        <v>1</v>
      </c>
      <c r="P23" s="19">
        <f>+L23+M23</f>
        <v>0</v>
      </c>
      <c r="Q23" s="82">
        <v>0</v>
      </c>
      <c r="R23" s="9">
        <f t="shared" ref="R23:R25" si="25">+P23-Q23</f>
        <v>0</v>
      </c>
      <c r="S23" s="9">
        <f>+R23*G23</f>
        <v>0</v>
      </c>
      <c r="T23" s="9">
        <f>+R23*D23</f>
        <v>0</v>
      </c>
      <c r="U23" s="12">
        <f t="shared" ref="U23:U25" si="26">+R23/I23</f>
        <v>0</v>
      </c>
      <c r="W23" s="102">
        <f t="shared" si="7"/>
        <v>18.150000000000002</v>
      </c>
      <c r="X23" s="103">
        <f t="shared" si="8"/>
        <v>18.150000000000002</v>
      </c>
      <c r="Y23" s="103">
        <f t="shared" si="9"/>
        <v>0</v>
      </c>
      <c r="Z23" s="103">
        <f t="shared" si="10"/>
        <v>0</v>
      </c>
      <c r="AA23" s="104">
        <f t="shared" si="11"/>
        <v>0</v>
      </c>
    </row>
    <row r="24" spans="1:28" ht="20.25" customHeight="1" x14ac:dyDescent="0.35">
      <c r="A24" s="293"/>
      <c r="B24" s="296"/>
      <c r="C24" s="35" t="s">
        <v>145</v>
      </c>
      <c r="D24" s="10">
        <v>6</v>
      </c>
      <c r="E24" s="10" t="s">
        <v>16</v>
      </c>
      <c r="F24" s="126">
        <v>1</v>
      </c>
      <c r="G24" s="11">
        <v>0.05</v>
      </c>
      <c r="H24" s="72">
        <f>+F24*B22</f>
        <v>1815</v>
      </c>
      <c r="I24" s="68">
        <v>1815</v>
      </c>
      <c r="J24" s="13">
        <f>I24-H24</f>
        <v>0</v>
      </c>
      <c r="K24" s="76">
        <v>1815</v>
      </c>
      <c r="L24" s="9">
        <f t="shared" si="23"/>
        <v>0</v>
      </c>
      <c r="M24" s="79">
        <v>0</v>
      </c>
      <c r="N24" s="33">
        <f t="shared" si="24"/>
        <v>1815</v>
      </c>
      <c r="O24" s="42">
        <f>+N24/B22</f>
        <v>1</v>
      </c>
      <c r="P24" s="19">
        <f>+L24+M24</f>
        <v>0</v>
      </c>
      <c r="Q24" s="82">
        <v>0</v>
      </c>
      <c r="R24" s="9">
        <f t="shared" si="25"/>
        <v>0</v>
      </c>
      <c r="S24" s="9">
        <f>+R24*G24</f>
        <v>0</v>
      </c>
      <c r="T24" s="9">
        <f>+R24*D24</f>
        <v>0</v>
      </c>
      <c r="U24" s="12">
        <f t="shared" si="26"/>
        <v>0</v>
      </c>
      <c r="W24" s="102">
        <f t="shared" si="7"/>
        <v>90.75</v>
      </c>
      <c r="X24" s="103">
        <f t="shared" si="8"/>
        <v>90.75</v>
      </c>
      <c r="Y24" s="103">
        <f t="shared" si="9"/>
        <v>0</v>
      </c>
      <c r="Z24" s="103">
        <f t="shared" si="10"/>
        <v>0</v>
      </c>
      <c r="AA24" s="104">
        <f t="shared" si="11"/>
        <v>0</v>
      </c>
    </row>
    <row r="25" spans="1:28" ht="20.25" customHeight="1" x14ac:dyDescent="0.35">
      <c r="A25" s="293"/>
      <c r="B25" s="296"/>
      <c r="C25" s="35" t="s">
        <v>63</v>
      </c>
      <c r="D25" s="10">
        <v>60</v>
      </c>
      <c r="E25" s="10" t="s">
        <v>18</v>
      </c>
      <c r="F25" s="49">
        <v>0.1</v>
      </c>
      <c r="G25" s="11">
        <v>1</v>
      </c>
      <c r="H25" s="72">
        <f>+F25*B22</f>
        <v>181.5</v>
      </c>
      <c r="I25" s="68">
        <v>181.5</v>
      </c>
      <c r="J25" s="13">
        <f>I25-H25</f>
        <v>0</v>
      </c>
      <c r="K25" s="76">
        <v>181.5</v>
      </c>
      <c r="L25" s="9">
        <f t="shared" si="23"/>
        <v>0</v>
      </c>
      <c r="M25" s="79">
        <v>3.5</v>
      </c>
      <c r="N25" s="23">
        <f t="shared" si="24"/>
        <v>178</v>
      </c>
      <c r="O25" s="42">
        <f>+N25/B22</f>
        <v>9.8071625344352611E-2</v>
      </c>
      <c r="P25" s="19">
        <f t="shared" ref="P25" si="27">+L25+M25</f>
        <v>3.5</v>
      </c>
      <c r="Q25" s="82">
        <v>0</v>
      </c>
      <c r="R25" s="9">
        <f t="shared" si="25"/>
        <v>3.5</v>
      </c>
      <c r="S25" s="9">
        <f>+R25*G25</f>
        <v>3.5</v>
      </c>
      <c r="T25" s="9">
        <f>+R25*D25</f>
        <v>210</v>
      </c>
      <c r="U25" s="12">
        <f t="shared" si="26"/>
        <v>1.928374655647383E-2</v>
      </c>
      <c r="W25" s="105">
        <f t="shared" si="7"/>
        <v>181.5</v>
      </c>
      <c r="X25" s="106">
        <f t="shared" si="8"/>
        <v>181.5</v>
      </c>
      <c r="Y25" s="106">
        <f t="shared" si="9"/>
        <v>0</v>
      </c>
      <c r="Z25" s="106">
        <f t="shared" si="10"/>
        <v>3.5</v>
      </c>
      <c r="AA25" s="107">
        <f t="shared" si="11"/>
        <v>3.5</v>
      </c>
    </row>
    <row r="26" spans="1:28" ht="21.75" customHeight="1" thickBot="1" x14ac:dyDescent="0.4">
      <c r="A26" s="27"/>
      <c r="B26" s="55"/>
      <c r="C26" s="29"/>
      <c r="D26" s="15"/>
      <c r="E26" s="15"/>
      <c r="F26" s="15"/>
      <c r="G26" s="15"/>
      <c r="H26" s="74"/>
      <c r="I26" s="69"/>
      <c r="J26" s="16"/>
      <c r="K26" s="77"/>
      <c r="L26" s="15"/>
      <c r="M26" s="80"/>
      <c r="N26" s="14"/>
      <c r="O26" s="16"/>
      <c r="P26" s="20"/>
      <c r="Q26" s="83"/>
      <c r="R26" s="15"/>
      <c r="S26" s="56">
        <f>SUM(S22:S25)</f>
        <v>3.5</v>
      </c>
      <c r="T26" s="56">
        <f>SUM(T22:T25)</f>
        <v>210</v>
      </c>
      <c r="U26" s="16"/>
      <c r="W26" s="123">
        <f>SUM(W22:W25)</f>
        <v>435.8</v>
      </c>
      <c r="X26" s="124">
        <f t="shared" ref="X26:AA26" si="28">SUM(X22:X25)</f>
        <v>435.6</v>
      </c>
      <c r="Y26" s="124">
        <f t="shared" si="28"/>
        <v>0.2</v>
      </c>
      <c r="Z26" s="124">
        <f t="shared" si="28"/>
        <v>3.5</v>
      </c>
      <c r="AA26" s="125">
        <f t="shared" si="28"/>
        <v>3.5</v>
      </c>
    </row>
    <row r="27" spans="1:28" ht="20.25" customHeight="1" x14ac:dyDescent="0.35">
      <c r="A27" s="292" t="s">
        <v>40</v>
      </c>
      <c r="B27" s="295">
        <v>864</v>
      </c>
      <c r="C27" s="34" t="s">
        <v>31</v>
      </c>
      <c r="D27" s="4">
        <v>20</v>
      </c>
      <c r="E27" s="30" t="s">
        <v>17</v>
      </c>
      <c r="F27" s="52">
        <v>0.35</v>
      </c>
      <c r="G27" s="5">
        <v>1</v>
      </c>
      <c r="H27" s="71">
        <f>+F27*B27</f>
        <v>302.39999999999998</v>
      </c>
      <c r="I27" s="67">
        <v>311</v>
      </c>
      <c r="J27" s="22">
        <f t="shared" ref="J27:J35" si="29">I27-H27</f>
        <v>8.6000000000000227</v>
      </c>
      <c r="K27" s="75">
        <v>302</v>
      </c>
      <c r="L27" s="3">
        <f>+I27-K27</f>
        <v>9</v>
      </c>
      <c r="M27" s="78">
        <v>15</v>
      </c>
      <c r="N27" s="21">
        <f>+K27-M27</f>
        <v>287</v>
      </c>
      <c r="O27" s="41">
        <f>+N27/B27</f>
        <v>0.33217592592592593</v>
      </c>
      <c r="P27" s="18">
        <f>+L27+M27</f>
        <v>24</v>
      </c>
      <c r="Q27" s="81">
        <v>20</v>
      </c>
      <c r="R27" s="3">
        <f>+P27-Q27</f>
        <v>4</v>
      </c>
      <c r="S27" s="3">
        <f t="shared" ref="S27:S35" si="30">+R27*G27</f>
        <v>4</v>
      </c>
      <c r="T27" s="3">
        <f t="shared" ref="T27:T35" si="31">+R27*D27</f>
        <v>80</v>
      </c>
      <c r="U27" s="6">
        <f>+R27/I27</f>
        <v>1.2861736334405145E-2</v>
      </c>
      <c r="W27" s="111">
        <f t="shared" si="7"/>
        <v>311</v>
      </c>
      <c r="X27" s="112">
        <f t="shared" si="8"/>
        <v>302</v>
      </c>
      <c r="Y27" s="112">
        <f t="shared" si="9"/>
        <v>9</v>
      </c>
      <c r="Z27" s="112">
        <f t="shared" si="10"/>
        <v>15</v>
      </c>
      <c r="AA27" s="113">
        <f t="shared" si="11"/>
        <v>4</v>
      </c>
    </row>
    <row r="28" spans="1:28" ht="20.25" customHeight="1" x14ac:dyDescent="0.35">
      <c r="A28" s="293"/>
      <c r="B28" s="296"/>
      <c r="C28" s="35" t="s">
        <v>113</v>
      </c>
      <c r="D28" s="10">
        <v>65</v>
      </c>
      <c r="E28" s="31" t="s">
        <v>17</v>
      </c>
      <c r="F28" s="49">
        <v>0.1</v>
      </c>
      <c r="G28" s="11">
        <v>1</v>
      </c>
      <c r="H28" s="70">
        <f>+F28*B27</f>
        <v>86.4</v>
      </c>
      <c r="I28" s="68">
        <v>88</v>
      </c>
      <c r="J28" s="13">
        <f t="shared" si="29"/>
        <v>1.5999999999999943</v>
      </c>
      <c r="K28" s="76">
        <v>86.4</v>
      </c>
      <c r="L28" s="9">
        <f t="shared" ref="L28:L35" si="32">+I28-K28</f>
        <v>1.5999999999999943</v>
      </c>
      <c r="M28" s="79">
        <v>6.5</v>
      </c>
      <c r="N28" s="23">
        <f t="shared" ref="N28:N35" si="33">+K28-M28</f>
        <v>79.900000000000006</v>
      </c>
      <c r="O28" s="42">
        <f>+N28/B27</f>
        <v>9.2476851851851852E-2</v>
      </c>
      <c r="P28" s="19">
        <f>+L28+M28</f>
        <v>8.0999999999999943</v>
      </c>
      <c r="Q28" s="82">
        <v>0</v>
      </c>
      <c r="R28" s="9">
        <f t="shared" ref="R28:R35" si="34">+P28-Q28</f>
        <v>8.0999999999999943</v>
      </c>
      <c r="S28" s="9">
        <f t="shared" si="30"/>
        <v>8.0999999999999943</v>
      </c>
      <c r="T28" s="9">
        <f t="shared" si="31"/>
        <v>526.49999999999966</v>
      </c>
      <c r="U28" s="12">
        <f t="shared" ref="U28:U35" si="35">+R28/I28</f>
        <v>9.2045454545454486E-2</v>
      </c>
      <c r="W28" s="102">
        <f t="shared" si="7"/>
        <v>88</v>
      </c>
      <c r="X28" s="103">
        <f t="shared" si="8"/>
        <v>86.4</v>
      </c>
      <c r="Y28" s="103">
        <f t="shared" si="9"/>
        <v>1.5999999999999943</v>
      </c>
      <c r="Z28" s="103">
        <f t="shared" si="10"/>
        <v>6.5</v>
      </c>
      <c r="AA28" s="104">
        <f t="shared" si="11"/>
        <v>8.0999999999999943</v>
      </c>
    </row>
    <row r="29" spans="1:28" ht="20.25" customHeight="1" x14ac:dyDescent="0.35">
      <c r="A29" s="293"/>
      <c r="B29" s="296"/>
      <c r="C29" s="35" t="s">
        <v>129</v>
      </c>
      <c r="D29" s="10">
        <v>130</v>
      </c>
      <c r="E29" s="31" t="s">
        <v>17</v>
      </c>
      <c r="F29" s="49">
        <v>0.05</v>
      </c>
      <c r="G29" s="11">
        <v>1</v>
      </c>
      <c r="H29" s="72">
        <f>+F29*B27</f>
        <v>43.2</v>
      </c>
      <c r="I29" s="68">
        <v>44.5</v>
      </c>
      <c r="J29" s="13">
        <f t="shared" si="29"/>
        <v>1.2999999999999972</v>
      </c>
      <c r="K29" s="76">
        <v>43.2</v>
      </c>
      <c r="L29" s="9">
        <f t="shared" si="32"/>
        <v>1.2999999999999972</v>
      </c>
      <c r="M29" s="79">
        <v>3</v>
      </c>
      <c r="N29" s="33">
        <f t="shared" si="33"/>
        <v>40.200000000000003</v>
      </c>
      <c r="O29" s="42">
        <f>+N29/B27</f>
        <v>4.6527777777777779E-2</v>
      </c>
      <c r="P29" s="19">
        <f>+L29+M29</f>
        <v>4.2999999999999972</v>
      </c>
      <c r="Q29" s="82">
        <v>0</v>
      </c>
      <c r="R29" s="9">
        <f t="shared" si="34"/>
        <v>4.2999999999999972</v>
      </c>
      <c r="S29" s="9">
        <f t="shared" si="30"/>
        <v>4.2999999999999972</v>
      </c>
      <c r="T29" s="9">
        <f t="shared" si="31"/>
        <v>558.99999999999966</v>
      </c>
      <c r="U29" s="12">
        <f t="shared" si="35"/>
        <v>9.6629213483146001E-2</v>
      </c>
      <c r="W29" s="102">
        <f t="shared" si="7"/>
        <v>44.5</v>
      </c>
      <c r="X29" s="103">
        <f t="shared" si="8"/>
        <v>43.2</v>
      </c>
      <c r="Y29" s="103">
        <f t="shared" si="9"/>
        <v>1.2999999999999972</v>
      </c>
      <c r="Z29" s="103">
        <f t="shared" si="10"/>
        <v>3</v>
      </c>
      <c r="AA29" s="104">
        <f t="shared" si="11"/>
        <v>4.2999999999999972</v>
      </c>
    </row>
    <row r="30" spans="1:28" ht="20.25" customHeight="1" x14ac:dyDescent="0.35">
      <c r="A30" s="293"/>
      <c r="B30" s="296"/>
      <c r="C30" s="35" t="s">
        <v>146</v>
      </c>
      <c r="D30" s="10">
        <v>55</v>
      </c>
      <c r="E30" s="31" t="s">
        <v>17</v>
      </c>
      <c r="F30" s="49">
        <v>0.1</v>
      </c>
      <c r="G30" s="11">
        <v>1</v>
      </c>
      <c r="H30" s="72">
        <f>+F30*B27</f>
        <v>86.4</v>
      </c>
      <c r="I30" s="68">
        <v>87.5</v>
      </c>
      <c r="J30" s="13">
        <f t="shared" si="29"/>
        <v>1.0999999999999943</v>
      </c>
      <c r="K30" s="76">
        <v>86.4</v>
      </c>
      <c r="L30" s="9">
        <f t="shared" si="32"/>
        <v>1.0999999999999943</v>
      </c>
      <c r="M30" s="79">
        <v>4.5</v>
      </c>
      <c r="N30" s="23">
        <f t="shared" si="33"/>
        <v>81.900000000000006</v>
      </c>
      <c r="O30" s="42">
        <f>+N30/B27</f>
        <v>9.4791666666666677E-2</v>
      </c>
      <c r="P30" s="19">
        <f t="shared" ref="P30:P35" si="36">+L30+M30</f>
        <v>5.5999999999999943</v>
      </c>
      <c r="Q30" s="82">
        <v>0</v>
      </c>
      <c r="R30" s="9">
        <f t="shared" si="34"/>
        <v>5.5999999999999943</v>
      </c>
      <c r="S30" s="9">
        <f t="shared" si="30"/>
        <v>5.5999999999999943</v>
      </c>
      <c r="T30" s="9">
        <f t="shared" si="31"/>
        <v>307.99999999999966</v>
      </c>
      <c r="U30" s="12">
        <f t="shared" si="35"/>
        <v>6.3999999999999932E-2</v>
      </c>
      <c r="W30" s="102">
        <f t="shared" si="7"/>
        <v>87.5</v>
      </c>
      <c r="X30" s="103">
        <f t="shared" si="8"/>
        <v>86.4</v>
      </c>
      <c r="Y30" s="103">
        <f t="shared" si="9"/>
        <v>1.0999999999999943</v>
      </c>
      <c r="Z30" s="103">
        <f t="shared" si="10"/>
        <v>4.5</v>
      </c>
      <c r="AA30" s="104">
        <f t="shared" si="11"/>
        <v>5.5999999999999943</v>
      </c>
    </row>
    <row r="31" spans="1:28" ht="20.25" customHeight="1" x14ac:dyDescent="0.35">
      <c r="A31" s="293"/>
      <c r="B31" s="296"/>
      <c r="C31" s="35" t="s">
        <v>32</v>
      </c>
      <c r="D31" s="10">
        <v>48</v>
      </c>
      <c r="E31" s="31" t="s">
        <v>18</v>
      </c>
      <c r="F31" s="49">
        <v>0.08</v>
      </c>
      <c r="G31" s="11">
        <v>1</v>
      </c>
      <c r="H31" s="72">
        <f>+F31*B27</f>
        <v>69.12</v>
      </c>
      <c r="I31" s="68">
        <v>71</v>
      </c>
      <c r="J31" s="13">
        <f t="shared" si="29"/>
        <v>1.8799999999999955</v>
      </c>
      <c r="K31" s="76">
        <v>69.099999999999994</v>
      </c>
      <c r="L31" s="9">
        <f t="shared" si="32"/>
        <v>1.9000000000000057</v>
      </c>
      <c r="M31" s="79">
        <v>5</v>
      </c>
      <c r="N31" s="33">
        <f t="shared" si="33"/>
        <v>64.099999999999994</v>
      </c>
      <c r="O31" s="42">
        <f>+N31/B27</f>
        <v>7.4189814814814806E-2</v>
      </c>
      <c r="P31" s="19">
        <f t="shared" si="36"/>
        <v>6.9000000000000057</v>
      </c>
      <c r="Q31" s="82">
        <v>0</v>
      </c>
      <c r="R31" s="9">
        <f t="shared" si="34"/>
        <v>6.9000000000000057</v>
      </c>
      <c r="S31" s="9">
        <f t="shared" si="30"/>
        <v>6.9000000000000057</v>
      </c>
      <c r="T31" s="9">
        <f t="shared" si="31"/>
        <v>331.20000000000027</v>
      </c>
      <c r="U31" s="12">
        <f t="shared" si="35"/>
        <v>9.7183098591549374E-2</v>
      </c>
      <c r="W31" s="102">
        <f t="shared" si="7"/>
        <v>71</v>
      </c>
      <c r="X31" s="103">
        <f t="shared" si="8"/>
        <v>69.099999999999994</v>
      </c>
      <c r="Y31" s="103">
        <f t="shared" si="9"/>
        <v>1.9000000000000057</v>
      </c>
      <c r="Z31" s="103">
        <f t="shared" si="10"/>
        <v>5</v>
      </c>
      <c r="AA31" s="104">
        <f t="shared" si="11"/>
        <v>6.9000000000000057</v>
      </c>
    </row>
    <row r="32" spans="1:28" ht="20.25" customHeight="1" x14ac:dyDescent="0.35">
      <c r="A32" s="293"/>
      <c r="B32" s="296"/>
      <c r="C32" s="35" t="s">
        <v>54</v>
      </c>
      <c r="D32" s="10">
        <v>35</v>
      </c>
      <c r="E32" s="31" t="s">
        <v>18</v>
      </c>
      <c r="F32" s="49">
        <v>0.08</v>
      </c>
      <c r="G32" s="11">
        <v>1</v>
      </c>
      <c r="H32" s="73">
        <f>+F32*B27</f>
        <v>69.12</v>
      </c>
      <c r="I32" s="68">
        <v>71.599999999999994</v>
      </c>
      <c r="J32" s="13">
        <f t="shared" si="29"/>
        <v>2.4799999999999898</v>
      </c>
      <c r="K32" s="76">
        <v>69.099999999999994</v>
      </c>
      <c r="L32" s="9">
        <f t="shared" si="32"/>
        <v>2.5</v>
      </c>
      <c r="M32" s="79">
        <v>4</v>
      </c>
      <c r="N32" s="23">
        <f t="shared" si="33"/>
        <v>65.099999999999994</v>
      </c>
      <c r="O32" s="42">
        <f>+N32/B27</f>
        <v>7.5347222222222218E-2</v>
      </c>
      <c r="P32" s="19">
        <f t="shared" si="36"/>
        <v>6.5</v>
      </c>
      <c r="Q32" s="82">
        <v>0</v>
      </c>
      <c r="R32" s="9">
        <f t="shared" si="34"/>
        <v>6.5</v>
      </c>
      <c r="S32" s="9">
        <f t="shared" si="30"/>
        <v>6.5</v>
      </c>
      <c r="T32" s="9">
        <f t="shared" si="31"/>
        <v>227.5</v>
      </c>
      <c r="U32" s="12">
        <f t="shared" si="35"/>
        <v>9.0782122905027934E-2</v>
      </c>
      <c r="W32" s="102">
        <f t="shared" si="7"/>
        <v>71.599999999999994</v>
      </c>
      <c r="X32" s="103">
        <f t="shared" si="8"/>
        <v>69.099999999999994</v>
      </c>
      <c r="Y32" s="103">
        <f t="shared" si="9"/>
        <v>2.5</v>
      </c>
      <c r="Z32" s="103">
        <f t="shared" si="10"/>
        <v>4</v>
      </c>
      <c r="AA32" s="104">
        <f t="shared" si="11"/>
        <v>6.5</v>
      </c>
    </row>
    <row r="33" spans="1:28" ht="20.25" customHeight="1" x14ac:dyDescent="0.35">
      <c r="A33" s="293"/>
      <c r="B33" s="296"/>
      <c r="C33" s="35" t="s">
        <v>33</v>
      </c>
      <c r="D33" s="10">
        <v>50</v>
      </c>
      <c r="E33" s="31" t="s">
        <v>17</v>
      </c>
      <c r="F33" s="49">
        <v>0.03</v>
      </c>
      <c r="G33" s="11">
        <v>1</v>
      </c>
      <c r="H33" s="72">
        <f>+F33*B27</f>
        <v>25.919999999999998</v>
      </c>
      <c r="I33" s="68">
        <v>27.5</v>
      </c>
      <c r="J33" s="13">
        <f t="shared" si="29"/>
        <v>1.5800000000000018</v>
      </c>
      <c r="K33" s="76">
        <v>25.9</v>
      </c>
      <c r="L33" s="9">
        <f t="shared" si="32"/>
        <v>1.6000000000000014</v>
      </c>
      <c r="M33" s="79">
        <v>2.5</v>
      </c>
      <c r="N33" s="23">
        <f t="shared" si="33"/>
        <v>23.4</v>
      </c>
      <c r="O33" s="42">
        <f>+N33/B27</f>
        <v>2.7083333333333331E-2</v>
      </c>
      <c r="P33" s="19">
        <f t="shared" si="36"/>
        <v>4.1000000000000014</v>
      </c>
      <c r="Q33" s="82">
        <v>0</v>
      </c>
      <c r="R33" s="9">
        <f t="shared" si="34"/>
        <v>4.1000000000000014</v>
      </c>
      <c r="S33" s="9">
        <f t="shared" si="30"/>
        <v>4.1000000000000014</v>
      </c>
      <c r="T33" s="9">
        <f t="shared" si="31"/>
        <v>205.00000000000006</v>
      </c>
      <c r="U33" s="12">
        <f t="shared" si="35"/>
        <v>0.14909090909090914</v>
      </c>
      <c r="W33" s="102">
        <f t="shared" si="7"/>
        <v>27.5</v>
      </c>
      <c r="X33" s="103">
        <f t="shared" si="8"/>
        <v>25.9</v>
      </c>
      <c r="Y33" s="103">
        <f t="shared" si="9"/>
        <v>1.6000000000000014</v>
      </c>
      <c r="Z33" s="103">
        <f t="shared" si="10"/>
        <v>2.5</v>
      </c>
      <c r="AA33" s="104">
        <f t="shared" si="11"/>
        <v>4.1000000000000014</v>
      </c>
    </row>
    <row r="34" spans="1:28" ht="20.25" customHeight="1" x14ac:dyDescent="0.35">
      <c r="A34" s="293"/>
      <c r="B34" s="296"/>
      <c r="C34" s="35" t="s">
        <v>34</v>
      </c>
      <c r="D34" s="31">
        <v>70</v>
      </c>
      <c r="E34" s="31" t="s">
        <v>17</v>
      </c>
      <c r="F34" s="11">
        <v>0.1</v>
      </c>
      <c r="G34" s="11">
        <v>1</v>
      </c>
      <c r="H34" s="72">
        <f>+F34*B27</f>
        <v>86.4</v>
      </c>
      <c r="I34" s="68">
        <v>86.4</v>
      </c>
      <c r="J34" s="13">
        <f t="shared" si="29"/>
        <v>0</v>
      </c>
      <c r="K34" s="76">
        <v>86.4</v>
      </c>
      <c r="L34" s="9">
        <f t="shared" si="32"/>
        <v>0</v>
      </c>
      <c r="M34" s="79">
        <v>0</v>
      </c>
      <c r="N34" s="23">
        <f t="shared" si="33"/>
        <v>86.4</v>
      </c>
      <c r="O34" s="42">
        <f>+N34/B27</f>
        <v>0.1</v>
      </c>
      <c r="P34" s="19">
        <f t="shared" si="36"/>
        <v>0</v>
      </c>
      <c r="Q34" s="82">
        <v>0</v>
      </c>
      <c r="R34" s="9">
        <f t="shared" si="34"/>
        <v>0</v>
      </c>
      <c r="S34" s="9">
        <f t="shared" si="30"/>
        <v>0</v>
      </c>
      <c r="T34" s="9">
        <f t="shared" si="31"/>
        <v>0</v>
      </c>
      <c r="U34" s="12">
        <f t="shared" si="35"/>
        <v>0</v>
      </c>
      <c r="W34" s="102">
        <f t="shared" si="7"/>
        <v>86.4</v>
      </c>
      <c r="X34" s="103">
        <f t="shared" si="8"/>
        <v>86.4</v>
      </c>
      <c r="Y34" s="103">
        <f t="shared" si="9"/>
        <v>0</v>
      </c>
      <c r="Z34" s="103">
        <f t="shared" si="10"/>
        <v>0</v>
      </c>
      <c r="AA34" s="104">
        <f t="shared" si="11"/>
        <v>0</v>
      </c>
    </row>
    <row r="35" spans="1:28" ht="20.25" customHeight="1" x14ac:dyDescent="0.35">
      <c r="A35" s="294"/>
      <c r="B35" s="297"/>
      <c r="C35" s="40" t="s">
        <v>35</v>
      </c>
      <c r="D35" s="44">
        <v>2</v>
      </c>
      <c r="E35" s="44" t="s">
        <v>16</v>
      </c>
      <c r="F35" s="53">
        <v>2</v>
      </c>
      <c r="G35" s="45">
        <v>0.04</v>
      </c>
      <c r="H35" s="72">
        <f>+F35*B27</f>
        <v>1728</v>
      </c>
      <c r="I35" s="68">
        <v>1745</v>
      </c>
      <c r="J35" s="13">
        <f t="shared" si="29"/>
        <v>17</v>
      </c>
      <c r="K35" s="76">
        <v>1728</v>
      </c>
      <c r="L35" s="9">
        <f t="shared" si="32"/>
        <v>17</v>
      </c>
      <c r="M35" s="79">
        <v>30</v>
      </c>
      <c r="N35" s="33">
        <f t="shared" si="33"/>
        <v>1698</v>
      </c>
      <c r="O35" s="42">
        <f>+N35/B27</f>
        <v>1.9652777777777777</v>
      </c>
      <c r="P35" s="19">
        <f t="shared" si="36"/>
        <v>47</v>
      </c>
      <c r="Q35" s="82">
        <v>0</v>
      </c>
      <c r="R35" s="9">
        <f t="shared" si="34"/>
        <v>47</v>
      </c>
      <c r="S35" s="9">
        <f t="shared" si="30"/>
        <v>1.8800000000000001</v>
      </c>
      <c r="T35" s="9">
        <f t="shared" si="31"/>
        <v>94</v>
      </c>
      <c r="U35" s="12">
        <f t="shared" si="35"/>
        <v>2.6934097421203437E-2</v>
      </c>
      <c r="W35" s="105">
        <f t="shared" si="7"/>
        <v>69.8</v>
      </c>
      <c r="X35" s="106">
        <f t="shared" si="8"/>
        <v>69.12</v>
      </c>
      <c r="Y35" s="106">
        <f t="shared" si="9"/>
        <v>0.68</v>
      </c>
      <c r="Z35" s="106">
        <f t="shared" si="10"/>
        <v>1.2</v>
      </c>
      <c r="AA35" s="107">
        <f t="shared" si="11"/>
        <v>1.8800000000000001</v>
      </c>
    </row>
    <row r="36" spans="1:28" ht="23.25" customHeight="1" thickBot="1" x14ac:dyDescent="0.4">
      <c r="A36" s="27"/>
      <c r="B36" s="57"/>
      <c r="C36" s="29"/>
      <c r="D36" s="15"/>
      <c r="E36" s="15"/>
      <c r="F36" s="15"/>
      <c r="G36" s="15"/>
      <c r="H36" s="14"/>
      <c r="I36" s="15"/>
      <c r="J36" s="16"/>
      <c r="K36" s="14"/>
      <c r="L36" s="15"/>
      <c r="M36" s="16"/>
      <c r="N36" s="14"/>
      <c r="O36" s="16"/>
      <c r="P36" s="20"/>
      <c r="Q36" s="15"/>
      <c r="R36" s="15"/>
      <c r="S36" s="56">
        <f>SUM(S27:S35)</f>
        <v>41.379999999999995</v>
      </c>
      <c r="T36" s="56">
        <f>SUM(T27:T35)</f>
        <v>2331.1999999999994</v>
      </c>
      <c r="U36" s="16"/>
      <c r="W36" s="122">
        <f>SUM(W27:W35)</f>
        <v>857.3</v>
      </c>
      <c r="X36" s="109">
        <f t="shared" ref="X36:AA36" si="37">SUM(X27:X35)</f>
        <v>837.62</v>
      </c>
      <c r="Y36" s="109">
        <f t="shared" si="37"/>
        <v>19.679999999999993</v>
      </c>
      <c r="Z36" s="110">
        <f t="shared" si="37"/>
        <v>41.7</v>
      </c>
      <c r="AA36" s="114">
        <f t="shared" si="37"/>
        <v>41.379999999999995</v>
      </c>
      <c r="AB36" s="94"/>
    </row>
    <row r="37" spans="1:28" ht="31.5" customHeight="1" thickBot="1" x14ac:dyDescent="0.4">
      <c r="A37" s="58" t="s">
        <v>42</v>
      </c>
      <c r="B37" s="32">
        <f>+B4+B12+B22+B27</f>
        <v>4880</v>
      </c>
      <c r="C37" s="29"/>
      <c r="D37" s="15"/>
      <c r="E37" s="15"/>
      <c r="F37" s="15"/>
      <c r="G37" s="15"/>
      <c r="H37" s="14"/>
      <c r="I37" s="15"/>
      <c r="J37" s="16"/>
      <c r="K37" s="14"/>
      <c r="L37" s="15"/>
      <c r="M37" s="16"/>
      <c r="N37" s="14"/>
      <c r="O37" s="16"/>
      <c r="P37" s="20"/>
      <c r="Q37" s="15"/>
      <c r="R37" s="17"/>
      <c r="S37" s="85">
        <f>+S36+S26+S21+S11</f>
        <v>126.2</v>
      </c>
      <c r="T37" s="85">
        <f>+T36+T26+T21+T11</f>
        <v>6914.9000000000005</v>
      </c>
      <c r="U37" s="62"/>
      <c r="W37" s="108">
        <f>+W11+W21+W26+W36</f>
        <v>3192.66</v>
      </c>
      <c r="X37" s="119">
        <f t="shared" ref="X37:AA37" si="38">+X11+X21+X26+X36</f>
        <v>3132.6599999999994</v>
      </c>
      <c r="Y37" s="119">
        <f t="shared" si="38"/>
        <v>60.000000000000007</v>
      </c>
      <c r="Z37" s="121">
        <f t="shared" si="38"/>
        <v>130.9</v>
      </c>
      <c r="AA37" s="120">
        <f t="shared" si="38"/>
        <v>126.20000000000002</v>
      </c>
      <c r="AB37" s="94"/>
    </row>
    <row r="38" spans="1:28" x14ac:dyDescent="0.35">
      <c r="B38" s="59"/>
      <c r="Y38" s="63"/>
    </row>
    <row r="39" spans="1:28" ht="15" thickBot="1" x14ac:dyDescent="0.4">
      <c r="W39" s="63"/>
      <c r="X39" s="63"/>
      <c r="Y39" s="63"/>
      <c r="Z39" s="63"/>
      <c r="AA39" s="63"/>
    </row>
    <row r="40" spans="1:28" ht="16" thickBot="1" x14ac:dyDescent="0.4">
      <c r="A40" s="322" t="s">
        <v>45</v>
      </c>
      <c r="B40" s="323"/>
      <c r="C40" s="323"/>
      <c r="D40" s="323"/>
      <c r="E40" s="323"/>
      <c r="F40" s="324"/>
    </row>
    <row r="41" spans="1:28" ht="30.75" customHeight="1" x14ac:dyDescent="0.35">
      <c r="A41" s="7" t="s">
        <v>6</v>
      </c>
      <c r="B41" s="8" t="s">
        <v>7</v>
      </c>
      <c r="C41" s="8" t="s">
        <v>53</v>
      </c>
      <c r="D41" s="60" t="s">
        <v>52</v>
      </c>
      <c r="E41" s="60" t="s">
        <v>57</v>
      </c>
      <c r="F41" s="90" t="s">
        <v>46</v>
      </c>
      <c r="O41" s="129" t="s">
        <v>60</v>
      </c>
      <c r="P41" s="130" t="s">
        <v>59</v>
      </c>
      <c r="X41" s="63"/>
    </row>
    <row r="42" spans="1:28" ht="25.5" customHeight="1" x14ac:dyDescent="0.35">
      <c r="A42" s="91" t="s">
        <v>47</v>
      </c>
      <c r="B42" s="92">
        <f>+B4</f>
        <v>1133</v>
      </c>
      <c r="C42" s="99">
        <f>+W11</f>
        <v>789.3</v>
      </c>
      <c r="D42" s="99">
        <f>+AA11</f>
        <v>34.600000000000009</v>
      </c>
      <c r="E42" s="95">
        <f>+D42/B42</f>
        <v>3.053839364518977E-2</v>
      </c>
      <c r="F42" s="253">
        <f>+D42/C42</f>
        <v>4.3836310655010785E-2</v>
      </c>
      <c r="O42" s="72">
        <f>+X11</f>
        <v>770.19999999999993</v>
      </c>
      <c r="P42" s="65">
        <f>+Z11</f>
        <v>30</v>
      </c>
    </row>
    <row r="43" spans="1:28" ht="25.5" customHeight="1" x14ac:dyDescent="0.35">
      <c r="A43" s="91" t="s">
        <v>48</v>
      </c>
      <c r="B43" s="92">
        <f>+B12</f>
        <v>1068</v>
      </c>
      <c r="C43" s="92">
        <f>+W21</f>
        <v>1110.26</v>
      </c>
      <c r="D43" s="99">
        <f>+AA21</f>
        <v>46.720000000000006</v>
      </c>
      <c r="E43" s="95">
        <f>+D43/B43</f>
        <v>4.3745318352059928E-2</v>
      </c>
      <c r="F43" s="253">
        <f>+D43/C43</f>
        <v>4.2080233458829469E-2</v>
      </c>
      <c r="O43" s="72">
        <f>+X21</f>
        <v>1089.2399999999998</v>
      </c>
      <c r="P43" s="65">
        <f>+Z21</f>
        <v>55.7</v>
      </c>
      <c r="Q43" s="133"/>
      <c r="R43" s="134"/>
    </row>
    <row r="44" spans="1:28" ht="25.5" customHeight="1" x14ac:dyDescent="0.35">
      <c r="A44" s="91" t="s">
        <v>49</v>
      </c>
      <c r="B44" s="92">
        <f>+B22</f>
        <v>1815</v>
      </c>
      <c r="C44" s="92">
        <f>+W26</f>
        <v>435.8</v>
      </c>
      <c r="D44" s="99">
        <f>+AA26</f>
        <v>3.5</v>
      </c>
      <c r="E44" s="95">
        <f>+D44/B44</f>
        <v>1.928374655647383E-3</v>
      </c>
      <c r="F44" s="253">
        <f>+D44/C44</f>
        <v>8.0312069756769151E-3</v>
      </c>
      <c r="O44" s="72">
        <f>+X26</f>
        <v>435.6</v>
      </c>
      <c r="P44" s="65">
        <f>+Z26</f>
        <v>3.5</v>
      </c>
    </row>
    <row r="45" spans="1:28" ht="25.5" customHeight="1" x14ac:dyDescent="0.35">
      <c r="A45" s="91" t="s">
        <v>50</v>
      </c>
      <c r="B45" s="92">
        <f>+B27</f>
        <v>864</v>
      </c>
      <c r="C45" s="99">
        <f>+W36</f>
        <v>857.3</v>
      </c>
      <c r="D45" s="99">
        <f>+AA36</f>
        <v>41.379999999999995</v>
      </c>
      <c r="E45" s="95">
        <f>+D45/B45</f>
        <v>4.7893518518518516E-2</v>
      </c>
      <c r="F45" s="253">
        <f>+D45/C45</f>
        <v>4.826781756677942E-2</v>
      </c>
      <c r="O45" s="72">
        <f>+X36</f>
        <v>837.62</v>
      </c>
      <c r="P45" s="65">
        <f>+Z36</f>
        <v>41.7</v>
      </c>
    </row>
    <row r="46" spans="1:28" ht="27" customHeight="1" thickBot="1" x14ac:dyDescent="0.4">
      <c r="A46" s="93" t="s">
        <v>51</v>
      </c>
      <c r="B46" s="96">
        <f>SUM(B42:B45)</f>
        <v>4880</v>
      </c>
      <c r="C46" s="96">
        <f>SUM(C42:C45)</f>
        <v>3192.66</v>
      </c>
      <c r="D46" s="100">
        <f>SUM(D42:D45)</f>
        <v>126.20000000000002</v>
      </c>
      <c r="E46" s="97">
        <f>+D46/B46</f>
        <v>2.5860655737704921E-2</v>
      </c>
      <c r="F46" s="253">
        <f>+D46/C46</f>
        <v>3.9528167734741569E-2</v>
      </c>
      <c r="G46" s="98"/>
      <c r="O46" s="131">
        <f>SUM(O42:O45)</f>
        <v>3132.6599999999994</v>
      </c>
      <c r="P46" s="132">
        <f>SUM(P42:P45)</f>
        <v>130.9</v>
      </c>
    </row>
    <row r="47" spans="1:28" x14ac:dyDescent="0.35">
      <c r="F47" s="59"/>
    </row>
    <row r="48" spans="1:28" x14ac:dyDescent="0.35">
      <c r="B48">
        <v>410</v>
      </c>
    </row>
    <row r="49" spans="2:2" x14ac:dyDescent="0.35">
      <c r="B49">
        <f>+B46+B48</f>
        <v>5290</v>
      </c>
    </row>
  </sheetData>
  <mergeCells count="16">
    <mergeCell ref="A27:A35"/>
    <mergeCell ref="B27:B35"/>
    <mergeCell ref="A40:F40"/>
    <mergeCell ref="W2:AA2"/>
    <mergeCell ref="A4:A10"/>
    <mergeCell ref="B4:B10"/>
    <mergeCell ref="A12:A20"/>
    <mergeCell ref="B12:B20"/>
    <mergeCell ref="A22:A25"/>
    <mergeCell ref="B22:B25"/>
    <mergeCell ref="P2:U2"/>
    <mergeCell ref="A1:F1"/>
    <mergeCell ref="A2:G2"/>
    <mergeCell ref="H2:J2"/>
    <mergeCell ref="K2:M2"/>
    <mergeCell ref="N2:O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FCC41-66D2-423F-BF22-AD3C37E44712}">
  <dimension ref="A1:AB49"/>
  <sheetViews>
    <sheetView workbookViewId="0">
      <pane xSplit="7" ySplit="3" topLeftCell="N33" activePane="bottomRight" state="frozen"/>
      <selection pane="topRight" activeCell="H1" sqref="H1"/>
      <selection pane="bottomLeft" activeCell="A4" sqref="A4"/>
      <selection pane="bottomRight" activeCell="T44" sqref="T44"/>
    </sheetView>
  </sheetViews>
  <sheetFormatPr defaultRowHeight="14.5" x14ac:dyDescent="0.35"/>
  <cols>
    <col min="1" max="1" width="11" customWidth="1"/>
    <col min="2" max="2" width="7.81640625" customWidth="1"/>
    <col min="3" max="3" width="20" customWidth="1"/>
    <col min="4" max="4" width="9.1796875" customWidth="1"/>
    <col min="5" max="5" width="9.26953125" customWidth="1"/>
    <col min="6" max="6" width="10" customWidth="1"/>
    <col min="7" max="7" width="8.1796875" customWidth="1"/>
    <col min="8" max="8" width="12.54296875" customWidth="1"/>
    <col min="9" max="9" width="12.453125" customWidth="1"/>
    <col min="10" max="10" width="11" customWidth="1"/>
    <col min="11" max="11" width="9.453125" customWidth="1"/>
    <col min="12" max="12" width="11" customWidth="1"/>
    <col min="13" max="13" width="13.54296875" customWidth="1"/>
    <col min="14" max="14" width="14.81640625" customWidth="1"/>
    <col min="15" max="15" width="16" customWidth="1"/>
    <col min="16" max="16" width="11.26953125" customWidth="1"/>
    <col min="17" max="18" width="9.54296875" customWidth="1"/>
    <col min="19" max="20" width="10.81640625" customWidth="1"/>
    <col min="21" max="21" width="12.7265625" customWidth="1"/>
    <col min="22" max="22" width="8.7265625" customWidth="1"/>
    <col min="23" max="23" width="11.453125" customWidth="1"/>
    <col min="24" max="24" width="11" customWidth="1"/>
  </cols>
  <sheetData>
    <row r="1" spans="1:28" ht="22.5" customHeight="1" thickBot="1" x14ac:dyDescent="0.4">
      <c r="A1" s="308" t="s">
        <v>36</v>
      </c>
      <c r="B1" s="309"/>
      <c r="C1" s="309"/>
      <c r="D1" s="309"/>
      <c r="E1" s="309"/>
      <c r="F1" s="310"/>
    </row>
    <row r="2" spans="1:28" ht="22.5" customHeight="1" thickBot="1" x14ac:dyDescent="0.4">
      <c r="A2" s="311" t="s">
        <v>147</v>
      </c>
      <c r="B2" s="312"/>
      <c r="C2" s="312"/>
      <c r="D2" s="312"/>
      <c r="E2" s="312"/>
      <c r="F2" s="312"/>
      <c r="G2" s="313"/>
      <c r="H2" s="314" t="s">
        <v>22</v>
      </c>
      <c r="I2" s="315"/>
      <c r="J2" s="316"/>
      <c r="K2" s="317" t="s">
        <v>23</v>
      </c>
      <c r="L2" s="318"/>
      <c r="M2" s="319"/>
      <c r="N2" s="320" t="s">
        <v>24</v>
      </c>
      <c r="O2" s="321"/>
      <c r="P2" s="305" t="s">
        <v>25</v>
      </c>
      <c r="Q2" s="306"/>
      <c r="R2" s="306"/>
      <c r="S2" s="306"/>
      <c r="T2" s="306"/>
      <c r="U2" s="307"/>
      <c r="W2" s="325" t="s">
        <v>43</v>
      </c>
      <c r="X2" s="326"/>
      <c r="Y2" s="326"/>
      <c r="Z2" s="326"/>
      <c r="AA2" s="327"/>
    </row>
    <row r="3" spans="1:28" ht="58.5" thickBot="1" x14ac:dyDescent="0.4">
      <c r="A3" s="39" t="s">
        <v>6</v>
      </c>
      <c r="B3" s="38" t="s">
        <v>7</v>
      </c>
      <c r="C3" s="38" t="s">
        <v>0</v>
      </c>
      <c r="D3" s="37" t="s">
        <v>15</v>
      </c>
      <c r="E3" s="38" t="s">
        <v>1</v>
      </c>
      <c r="F3" s="36" t="s">
        <v>27</v>
      </c>
      <c r="G3" s="37" t="s">
        <v>19</v>
      </c>
      <c r="H3" s="25" t="s">
        <v>4</v>
      </c>
      <c r="I3" s="89" t="s">
        <v>44</v>
      </c>
      <c r="J3" s="26" t="s">
        <v>29</v>
      </c>
      <c r="K3" s="88" t="s">
        <v>3</v>
      </c>
      <c r="L3" s="1" t="s">
        <v>28</v>
      </c>
      <c r="M3" s="87" t="s">
        <v>5</v>
      </c>
      <c r="N3" s="25" t="s">
        <v>20</v>
      </c>
      <c r="O3" s="26" t="s">
        <v>21</v>
      </c>
      <c r="P3" s="24" t="s">
        <v>8</v>
      </c>
      <c r="Q3" s="86" t="s">
        <v>9</v>
      </c>
      <c r="R3" s="2" t="s">
        <v>10</v>
      </c>
      <c r="S3" s="1" t="s">
        <v>26</v>
      </c>
      <c r="T3" s="1" t="s">
        <v>11</v>
      </c>
      <c r="U3" s="1" t="s">
        <v>30</v>
      </c>
      <c r="W3" s="43" t="s">
        <v>2</v>
      </c>
      <c r="X3" s="60" t="s">
        <v>3</v>
      </c>
      <c r="Y3" s="60" t="s">
        <v>28</v>
      </c>
      <c r="Z3" s="60" t="s">
        <v>5</v>
      </c>
      <c r="AA3" s="61" t="s">
        <v>26</v>
      </c>
    </row>
    <row r="4" spans="1:28" ht="20.25" customHeight="1" x14ac:dyDescent="0.35">
      <c r="A4" s="301" t="s">
        <v>37</v>
      </c>
      <c r="B4" s="303">
        <v>1166</v>
      </c>
      <c r="C4" s="34" t="s">
        <v>55</v>
      </c>
      <c r="D4" s="4">
        <v>2</v>
      </c>
      <c r="E4" s="30" t="s">
        <v>16</v>
      </c>
      <c r="F4" s="47">
        <v>2</v>
      </c>
      <c r="G4" s="5">
        <v>0.05</v>
      </c>
      <c r="H4" s="71">
        <f>+F4*B4</f>
        <v>2332</v>
      </c>
      <c r="I4" s="67">
        <v>2340</v>
      </c>
      <c r="J4" s="22">
        <f t="shared" ref="J4:J10" si="0">I4-H4</f>
        <v>8</v>
      </c>
      <c r="K4" s="75">
        <f>1166*2</f>
        <v>2332</v>
      </c>
      <c r="L4" s="127">
        <f>+I4-K4</f>
        <v>8</v>
      </c>
      <c r="M4" s="78">
        <v>30</v>
      </c>
      <c r="N4" s="128">
        <f>+K4-M4</f>
        <v>2302</v>
      </c>
      <c r="O4" s="64">
        <f>+N4/B4</f>
        <v>1.9742710120068612</v>
      </c>
      <c r="P4" s="18">
        <f>+L4+M4</f>
        <v>38</v>
      </c>
      <c r="Q4" s="81">
        <v>0</v>
      </c>
      <c r="R4" s="3">
        <f t="shared" ref="R4:R10" si="1">+P4-Q4</f>
        <v>38</v>
      </c>
      <c r="S4" s="3">
        <f t="shared" ref="S4:S10" si="2">+R4*G4</f>
        <v>1.9000000000000001</v>
      </c>
      <c r="T4" s="3">
        <f t="shared" ref="T4:T10" si="3">+R4*D4</f>
        <v>76</v>
      </c>
      <c r="U4" s="6">
        <f>+R4/I4</f>
        <v>1.6239316239316241E-2</v>
      </c>
      <c r="W4" s="102">
        <f>+I4*G4</f>
        <v>117</v>
      </c>
      <c r="X4" s="103">
        <f>+K4*G4</f>
        <v>116.60000000000001</v>
      </c>
      <c r="Y4" s="103">
        <f>+L4*G4</f>
        <v>0.4</v>
      </c>
      <c r="Z4" s="103">
        <f>+M4*G4</f>
        <v>1.5</v>
      </c>
      <c r="AA4" s="104">
        <f>+R4*G4</f>
        <v>1.9000000000000001</v>
      </c>
    </row>
    <row r="5" spans="1:28" ht="20.25" customHeight="1" x14ac:dyDescent="0.35">
      <c r="A5" s="302"/>
      <c r="B5" s="304"/>
      <c r="C5" s="35" t="s">
        <v>148</v>
      </c>
      <c r="D5" s="10">
        <v>4</v>
      </c>
      <c r="E5" s="31" t="s">
        <v>16</v>
      </c>
      <c r="F5" s="48">
        <v>2</v>
      </c>
      <c r="G5" s="11">
        <v>0.05</v>
      </c>
      <c r="H5" s="70">
        <f>+F5*B4</f>
        <v>2332</v>
      </c>
      <c r="I5" s="68">
        <v>2345</v>
      </c>
      <c r="J5" s="13">
        <f t="shared" si="0"/>
        <v>13</v>
      </c>
      <c r="K5" s="76">
        <v>2332</v>
      </c>
      <c r="L5" s="9">
        <f t="shared" ref="L5:L10" si="4">+I5-K5</f>
        <v>13</v>
      </c>
      <c r="M5" s="79">
        <v>10</v>
      </c>
      <c r="N5" s="23">
        <f t="shared" ref="N5:N10" si="5">+K5-M5</f>
        <v>2322</v>
      </c>
      <c r="O5" s="65">
        <f>+N5/B4</f>
        <v>1.9914236706689536</v>
      </c>
      <c r="P5" s="19">
        <f>+L5+M5</f>
        <v>23</v>
      </c>
      <c r="Q5" s="82">
        <v>0</v>
      </c>
      <c r="R5" s="9">
        <f t="shared" si="1"/>
        <v>23</v>
      </c>
      <c r="S5" s="9">
        <f>+R5*G5</f>
        <v>1.1500000000000001</v>
      </c>
      <c r="T5" s="9">
        <f t="shared" si="3"/>
        <v>92</v>
      </c>
      <c r="U5" s="12">
        <f t="shared" ref="U5:U9" si="6">+R5/I5</f>
        <v>9.8081023454157784E-3</v>
      </c>
      <c r="W5" s="102">
        <f t="shared" ref="W5:W35" si="7">+I5*G5</f>
        <v>117.25</v>
      </c>
      <c r="X5" s="103">
        <f t="shared" ref="X5:X35" si="8">+K5*G5</f>
        <v>116.60000000000001</v>
      </c>
      <c r="Y5" s="103">
        <f t="shared" ref="Y5:Y35" si="9">+L5*G5</f>
        <v>0.65</v>
      </c>
      <c r="Z5" s="103">
        <f t="shared" ref="Z5:Z35" si="10">+M5*G5</f>
        <v>0.5</v>
      </c>
      <c r="AA5" s="104">
        <f t="shared" ref="AA5:AA35" si="11">+R5*G5</f>
        <v>1.1500000000000001</v>
      </c>
    </row>
    <row r="6" spans="1:28" ht="20.25" customHeight="1" x14ac:dyDescent="0.35">
      <c r="A6" s="302"/>
      <c r="B6" s="304"/>
      <c r="C6" s="35" t="s">
        <v>149</v>
      </c>
      <c r="D6" s="10">
        <v>40</v>
      </c>
      <c r="E6" s="31" t="s">
        <v>17</v>
      </c>
      <c r="F6" s="49">
        <v>0.15</v>
      </c>
      <c r="G6" s="11">
        <v>1</v>
      </c>
      <c r="H6" s="72">
        <f>+F6*B4</f>
        <v>174.9</v>
      </c>
      <c r="I6" s="68">
        <v>175</v>
      </c>
      <c r="J6" s="13">
        <f t="shared" si="0"/>
        <v>9.9999999999994316E-2</v>
      </c>
      <c r="K6" s="76">
        <f>1166*0.15</f>
        <v>174.9</v>
      </c>
      <c r="L6" s="9">
        <f t="shared" si="4"/>
        <v>9.9999999999994316E-2</v>
      </c>
      <c r="M6" s="79">
        <v>6</v>
      </c>
      <c r="N6" s="33">
        <f t="shared" si="5"/>
        <v>168.9</v>
      </c>
      <c r="O6" s="42">
        <f>+N6/B4</f>
        <v>0.14485420240137223</v>
      </c>
      <c r="P6" s="19">
        <f>+L6+M6</f>
        <v>6.0999999999999943</v>
      </c>
      <c r="Q6" s="82">
        <v>0</v>
      </c>
      <c r="R6" s="9">
        <f t="shared" si="1"/>
        <v>6.0999999999999943</v>
      </c>
      <c r="S6" s="9">
        <f t="shared" si="2"/>
        <v>6.0999999999999943</v>
      </c>
      <c r="T6" s="9">
        <f t="shared" si="3"/>
        <v>243.99999999999977</v>
      </c>
      <c r="U6" s="12">
        <f t="shared" si="6"/>
        <v>3.4857142857142823E-2</v>
      </c>
      <c r="W6" s="102">
        <f t="shared" si="7"/>
        <v>175</v>
      </c>
      <c r="X6" s="103">
        <f t="shared" si="8"/>
        <v>174.9</v>
      </c>
      <c r="Y6" s="103">
        <f t="shared" si="9"/>
        <v>9.9999999999994316E-2</v>
      </c>
      <c r="Z6" s="103">
        <f t="shared" si="10"/>
        <v>6</v>
      </c>
      <c r="AA6" s="104">
        <f t="shared" si="11"/>
        <v>6.0999999999999943</v>
      </c>
    </row>
    <row r="7" spans="1:28" ht="20.25" customHeight="1" x14ac:dyDescent="0.35">
      <c r="A7" s="302"/>
      <c r="B7" s="304"/>
      <c r="C7" s="35" t="s">
        <v>12</v>
      </c>
      <c r="D7" s="10">
        <v>45</v>
      </c>
      <c r="E7" s="31" t="s">
        <v>17</v>
      </c>
      <c r="F7" s="49">
        <v>0.1</v>
      </c>
      <c r="G7" s="11">
        <v>1</v>
      </c>
      <c r="H7" s="72">
        <f>+F7*B4</f>
        <v>116.60000000000001</v>
      </c>
      <c r="I7" s="68">
        <v>120</v>
      </c>
      <c r="J7" s="13">
        <f t="shared" si="0"/>
        <v>3.3999999999999915</v>
      </c>
      <c r="K7" s="76">
        <v>116.6</v>
      </c>
      <c r="L7" s="9">
        <f t="shared" si="4"/>
        <v>3.4000000000000057</v>
      </c>
      <c r="M7" s="79">
        <v>6</v>
      </c>
      <c r="N7" s="23">
        <f t="shared" si="5"/>
        <v>110.6</v>
      </c>
      <c r="O7" s="42">
        <f>+N7/B4</f>
        <v>9.4854202401372212E-2</v>
      </c>
      <c r="P7" s="19">
        <f t="shared" ref="P7:P10" si="12">+L7+M7</f>
        <v>9.4000000000000057</v>
      </c>
      <c r="Q7" s="82">
        <v>0</v>
      </c>
      <c r="R7" s="9">
        <f t="shared" si="1"/>
        <v>9.4000000000000057</v>
      </c>
      <c r="S7" s="9">
        <f t="shared" si="2"/>
        <v>9.4000000000000057</v>
      </c>
      <c r="T7" s="9">
        <f t="shared" si="3"/>
        <v>423.00000000000023</v>
      </c>
      <c r="U7" s="12">
        <f t="shared" si="6"/>
        <v>7.833333333333338E-2</v>
      </c>
      <c r="W7" s="102">
        <f t="shared" si="7"/>
        <v>120</v>
      </c>
      <c r="X7" s="103">
        <f t="shared" si="8"/>
        <v>116.6</v>
      </c>
      <c r="Y7" s="103">
        <f t="shared" si="9"/>
        <v>3.4000000000000057</v>
      </c>
      <c r="Z7" s="103">
        <f t="shared" si="10"/>
        <v>6</v>
      </c>
      <c r="AA7" s="104">
        <f t="shared" si="11"/>
        <v>9.4000000000000057</v>
      </c>
    </row>
    <row r="8" spans="1:28" ht="20.25" customHeight="1" x14ac:dyDescent="0.35">
      <c r="A8" s="302"/>
      <c r="B8" s="304"/>
      <c r="C8" s="35" t="s">
        <v>13</v>
      </c>
      <c r="D8" s="10">
        <v>52</v>
      </c>
      <c r="E8" s="31" t="s">
        <v>17</v>
      </c>
      <c r="F8" s="49">
        <v>0.1</v>
      </c>
      <c r="G8" s="11">
        <v>1</v>
      </c>
      <c r="H8" s="72">
        <f>+F8*B4</f>
        <v>116.60000000000001</v>
      </c>
      <c r="I8" s="68">
        <v>119</v>
      </c>
      <c r="J8" s="13">
        <f t="shared" si="0"/>
        <v>2.3999999999999915</v>
      </c>
      <c r="K8" s="76">
        <v>116.6</v>
      </c>
      <c r="L8" s="9">
        <f>+I8-K8</f>
        <v>2.4000000000000057</v>
      </c>
      <c r="M8" s="79">
        <v>7</v>
      </c>
      <c r="N8" s="33">
        <f t="shared" si="5"/>
        <v>109.6</v>
      </c>
      <c r="O8" s="42">
        <f>+N8/B4</f>
        <v>9.399656946826758E-2</v>
      </c>
      <c r="P8" s="19">
        <f t="shared" si="12"/>
        <v>9.4000000000000057</v>
      </c>
      <c r="Q8" s="82">
        <v>0</v>
      </c>
      <c r="R8" s="9">
        <f t="shared" si="1"/>
        <v>9.4000000000000057</v>
      </c>
      <c r="S8" s="9">
        <f t="shared" si="2"/>
        <v>9.4000000000000057</v>
      </c>
      <c r="T8" s="9">
        <f t="shared" si="3"/>
        <v>488.8000000000003</v>
      </c>
      <c r="U8" s="12">
        <f t="shared" si="6"/>
        <v>7.8991596638655515E-2</v>
      </c>
      <c r="W8" s="102">
        <f t="shared" si="7"/>
        <v>119</v>
      </c>
      <c r="X8" s="103">
        <f t="shared" si="8"/>
        <v>116.6</v>
      </c>
      <c r="Y8" s="103">
        <f t="shared" si="9"/>
        <v>2.4000000000000057</v>
      </c>
      <c r="Z8" s="103">
        <f t="shared" si="10"/>
        <v>7</v>
      </c>
      <c r="AA8" s="104">
        <f t="shared" si="11"/>
        <v>9.4000000000000057</v>
      </c>
    </row>
    <row r="9" spans="1:28" ht="20.25" customHeight="1" x14ac:dyDescent="0.35">
      <c r="A9" s="302"/>
      <c r="B9" s="304"/>
      <c r="C9" s="35" t="s">
        <v>152</v>
      </c>
      <c r="D9" s="10">
        <v>60</v>
      </c>
      <c r="E9" s="31" t="s">
        <v>17</v>
      </c>
      <c r="F9" s="49">
        <v>0.03</v>
      </c>
      <c r="G9" s="11">
        <v>1</v>
      </c>
      <c r="H9" s="73">
        <f>+F9*B4</f>
        <v>34.979999999999997</v>
      </c>
      <c r="I9" s="68">
        <v>58</v>
      </c>
      <c r="J9" s="13">
        <f t="shared" si="0"/>
        <v>23.020000000000003</v>
      </c>
      <c r="K9" s="76">
        <v>58</v>
      </c>
      <c r="L9" s="54">
        <f>+I9-K9</f>
        <v>0</v>
      </c>
      <c r="M9" s="79">
        <v>5</v>
      </c>
      <c r="N9" s="23">
        <f t="shared" si="5"/>
        <v>53</v>
      </c>
      <c r="O9" s="42">
        <f>+N9/B4</f>
        <v>4.5454545454545456E-2</v>
      </c>
      <c r="P9" s="19">
        <f t="shared" si="12"/>
        <v>5</v>
      </c>
      <c r="Q9" s="82">
        <v>0</v>
      </c>
      <c r="R9" s="9">
        <f t="shared" si="1"/>
        <v>5</v>
      </c>
      <c r="S9" s="9">
        <f t="shared" si="2"/>
        <v>5</v>
      </c>
      <c r="T9" s="9">
        <f t="shared" si="3"/>
        <v>300</v>
      </c>
      <c r="U9" s="12">
        <f t="shared" si="6"/>
        <v>8.6206896551724144E-2</v>
      </c>
      <c r="W9" s="102">
        <f t="shared" si="7"/>
        <v>58</v>
      </c>
      <c r="X9" s="103">
        <f t="shared" si="8"/>
        <v>58</v>
      </c>
      <c r="Y9" s="103">
        <f t="shared" si="9"/>
        <v>0</v>
      </c>
      <c r="Z9" s="103">
        <f t="shared" si="10"/>
        <v>5</v>
      </c>
      <c r="AA9" s="104">
        <f t="shared" si="11"/>
        <v>5</v>
      </c>
    </row>
    <row r="10" spans="1:28" ht="20.25" customHeight="1" x14ac:dyDescent="0.35">
      <c r="A10" s="302"/>
      <c r="B10" s="304"/>
      <c r="C10" s="35" t="s">
        <v>14</v>
      </c>
      <c r="D10" s="10">
        <v>60</v>
      </c>
      <c r="E10" s="31" t="s">
        <v>18</v>
      </c>
      <c r="F10" s="49">
        <v>0.1</v>
      </c>
      <c r="G10" s="11">
        <v>1</v>
      </c>
      <c r="H10" s="72">
        <f>+F10*B4</f>
        <v>116.60000000000001</v>
      </c>
      <c r="I10" s="68">
        <v>118</v>
      </c>
      <c r="J10" s="13">
        <f t="shared" si="0"/>
        <v>1.3999999999999915</v>
      </c>
      <c r="K10" s="76">
        <v>116.6</v>
      </c>
      <c r="L10" s="9">
        <f t="shared" si="4"/>
        <v>1.4000000000000057</v>
      </c>
      <c r="M10" s="79">
        <v>4</v>
      </c>
      <c r="N10" s="33">
        <f t="shared" si="5"/>
        <v>112.6</v>
      </c>
      <c r="O10" s="42">
        <f>+N10/B4</f>
        <v>9.6569468267581476E-2</v>
      </c>
      <c r="P10" s="19">
        <f t="shared" si="12"/>
        <v>5.4000000000000057</v>
      </c>
      <c r="Q10" s="82">
        <v>0</v>
      </c>
      <c r="R10" s="9">
        <f t="shared" si="1"/>
        <v>5.4000000000000057</v>
      </c>
      <c r="S10" s="9">
        <f t="shared" si="2"/>
        <v>5.4000000000000057</v>
      </c>
      <c r="T10" s="9">
        <f t="shared" si="3"/>
        <v>324.00000000000034</v>
      </c>
      <c r="U10" s="12">
        <f>+R10/I10</f>
        <v>4.5762711864406828E-2</v>
      </c>
      <c r="W10" s="115">
        <f t="shared" si="7"/>
        <v>118</v>
      </c>
      <c r="X10" s="116">
        <f t="shared" si="8"/>
        <v>116.6</v>
      </c>
      <c r="Y10" s="116">
        <f t="shared" si="9"/>
        <v>1.4000000000000057</v>
      </c>
      <c r="Z10" s="116">
        <f t="shared" si="10"/>
        <v>4</v>
      </c>
      <c r="AA10" s="117">
        <f t="shared" si="11"/>
        <v>5.4000000000000057</v>
      </c>
    </row>
    <row r="11" spans="1:28" ht="20.25" customHeight="1" thickBot="1" x14ac:dyDescent="0.4">
      <c r="A11" s="27"/>
      <c r="B11" s="51"/>
      <c r="C11" s="50"/>
      <c r="D11" s="15"/>
      <c r="E11" s="15"/>
      <c r="F11" s="15"/>
      <c r="G11" s="15"/>
      <c r="H11" s="74"/>
      <c r="I11" s="69"/>
      <c r="J11" s="16"/>
      <c r="K11" s="77"/>
      <c r="L11" s="15"/>
      <c r="M11" s="80"/>
      <c r="N11" s="14"/>
      <c r="O11" s="16"/>
      <c r="P11" s="20"/>
      <c r="Q11" s="83"/>
      <c r="R11" s="15"/>
      <c r="S11" s="84">
        <f>SUM(S4:S10)</f>
        <v>38.350000000000009</v>
      </c>
      <c r="T11" s="56">
        <f>SUM(T4:T10)</f>
        <v>1947.8000000000006</v>
      </c>
      <c r="U11" s="16"/>
      <c r="W11" s="118">
        <f>SUM(W4:W10)</f>
        <v>824.25</v>
      </c>
      <c r="X11" s="109">
        <f t="shared" ref="X11:AA11" si="13">SUM(X4:X10)</f>
        <v>815.90000000000009</v>
      </c>
      <c r="Y11" s="109">
        <f t="shared" si="13"/>
        <v>8.3500000000000121</v>
      </c>
      <c r="Z11" s="110">
        <f t="shared" si="13"/>
        <v>30</v>
      </c>
      <c r="AA11" s="114">
        <f t="shared" si="13"/>
        <v>38.350000000000009</v>
      </c>
      <c r="AB11" s="94"/>
    </row>
    <row r="12" spans="1:28" ht="20.25" customHeight="1" x14ac:dyDescent="0.35">
      <c r="A12" s="292" t="s">
        <v>38</v>
      </c>
      <c r="B12" s="295">
        <v>981</v>
      </c>
      <c r="C12" s="34" t="s">
        <v>31</v>
      </c>
      <c r="D12" s="4">
        <v>20</v>
      </c>
      <c r="E12" s="30" t="s">
        <v>17</v>
      </c>
      <c r="F12" s="52">
        <v>0.35</v>
      </c>
      <c r="G12" s="5">
        <v>1</v>
      </c>
      <c r="H12" s="71">
        <f>+F12*B12</f>
        <v>343.34999999999997</v>
      </c>
      <c r="I12" s="67">
        <v>358</v>
      </c>
      <c r="J12" s="22">
        <f t="shared" ref="J12:J20" si="14">I12-H12</f>
        <v>14.650000000000034</v>
      </c>
      <c r="K12" s="75">
        <f>981*0.35</f>
        <v>343.34999999999997</v>
      </c>
      <c r="L12" s="3">
        <f>+I12-K12</f>
        <v>14.650000000000034</v>
      </c>
      <c r="M12" s="78">
        <v>63</v>
      </c>
      <c r="N12" s="21">
        <f>+K12-M12</f>
        <v>280.34999999999997</v>
      </c>
      <c r="O12" s="41">
        <f>+N12/B12</f>
        <v>0.28577981651376144</v>
      </c>
      <c r="P12" s="18">
        <f>+L12+M12</f>
        <v>77.650000000000034</v>
      </c>
      <c r="Q12" s="81">
        <v>65</v>
      </c>
      <c r="R12" s="3">
        <f>+P12-Q12</f>
        <v>12.650000000000034</v>
      </c>
      <c r="S12" s="3">
        <f>+R12*G12</f>
        <v>12.650000000000034</v>
      </c>
      <c r="T12" s="3">
        <f t="shared" ref="T12:T20" si="15">+R12*D12</f>
        <v>253.00000000000068</v>
      </c>
      <c r="U12" s="6">
        <f>+R12/I12</f>
        <v>3.5335195530726352E-2</v>
      </c>
      <c r="W12" s="111">
        <f t="shared" si="7"/>
        <v>358</v>
      </c>
      <c r="X12" s="112">
        <f t="shared" si="8"/>
        <v>343.34999999999997</v>
      </c>
      <c r="Y12" s="112">
        <f t="shared" si="9"/>
        <v>14.650000000000034</v>
      </c>
      <c r="Z12" s="112">
        <f t="shared" si="10"/>
        <v>63</v>
      </c>
      <c r="AA12" s="113">
        <f t="shared" si="11"/>
        <v>12.650000000000034</v>
      </c>
    </row>
    <row r="13" spans="1:28" ht="20.25" customHeight="1" x14ac:dyDescent="0.35">
      <c r="A13" s="293"/>
      <c r="B13" s="296"/>
      <c r="C13" s="35" t="s">
        <v>150</v>
      </c>
      <c r="D13" s="10">
        <v>65</v>
      </c>
      <c r="E13" s="31" t="s">
        <v>17</v>
      </c>
      <c r="F13" s="49">
        <v>0.08</v>
      </c>
      <c r="G13" s="11">
        <v>1</v>
      </c>
      <c r="H13" s="70">
        <f>+F13*B12</f>
        <v>78.48</v>
      </c>
      <c r="I13" s="68">
        <v>103</v>
      </c>
      <c r="J13" s="13">
        <f t="shared" si="14"/>
        <v>24.519999999999996</v>
      </c>
      <c r="K13" s="76">
        <v>98.1</v>
      </c>
      <c r="L13" s="9">
        <f t="shared" ref="L13:L20" si="16">+I13-K13</f>
        <v>4.9000000000000057</v>
      </c>
      <c r="M13" s="79">
        <v>7.5</v>
      </c>
      <c r="N13" s="23">
        <f>+K13-M13</f>
        <v>90.6</v>
      </c>
      <c r="O13" s="42">
        <f>+N13/B12</f>
        <v>9.235474006116208E-2</v>
      </c>
      <c r="P13" s="19">
        <f>+L13+M13</f>
        <v>12.400000000000006</v>
      </c>
      <c r="Q13" s="82">
        <v>0</v>
      </c>
      <c r="R13" s="9">
        <f t="shared" ref="R13:R20" si="17">+P13-Q13</f>
        <v>12.400000000000006</v>
      </c>
      <c r="S13" s="9">
        <f>+R13*G13</f>
        <v>12.400000000000006</v>
      </c>
      <c r="T13" s="9">
        <f t="shared" si="15"/>
        <v>806.00000000000034</v>
      </c>
      <c r="U13" s="12">
        <f t="shared" ref="U13:U20" si="18">+R13/I13</f>
        <v>0.12038834951456316</v>
      </c>
      <c r="W13" s="102">
        <f t="shared" si="7"/>
        <v>103</v>
      </c>
      <c r="X13" s="103">
        <f t="shared" si="8"/>
        <v>98.1</v>
      </c>
      <c r="Y13" s="103">
        <f t="shared" si="9"/>
        <v>4.9000000000000057</v>
      </c>
      <c r="Z13" s="103">
        <f>+M13*G13</f>
        <v>7.5</v>
      </c>
      <c r="AA13" s="104">
        <f t="shared" si="11"/>
        <v>12.400000000000006</v>
      </c>
    </row>
    <row r="14" spans="1:28" ht="20.25" customHeight="1" x14ac:dyDescent="0.35">
      <c r="A14" s="293"/>
      <c r="B14" s="296"/>
      <c r="C14" s="35" t="s">
        <v>151</v>
      </c>
      <c r="D14" s="10">
        <v>130</v>
      </c>
      <c r="E14" s="31" t="s">
        <v>17</v>
      </c>
      <c r="F14" s="49">
        <v>0.08</v>
      </c>
      <c r="G14" s="11">
        <v>1</v>
      </c>
      <c r="H14" s="72">
        <f>+F14*B12</f>
        <v>78.48</v>
      </c>
      <c r="I14" s="68">
        <v>79</v>
      </c>
      <c r="J14" s="13">
        <f t="shared" si="14"/>
        <v>0.51999999999999602</v>
      </c>
      <c r="K14" s="76">
        <v>76</v>
      </c>
      <c r="L14" s="9">
        <f t="shared" si="16"/>
        <v>3</v>
      </c>
      <c r="M14" s="79">
        <v>6.5</v>
      </c>
      <c r="N14" s="33">
        <f>+K14-M14</f>
        <v>69.5</v>
      </c>
      <c r="O14" s="42">
        <f>+N14/B12</f>
        <v>7.084607543323139E-2</v>
      </c>
      <c r="P14" s="19">
        <f>+L14+M14</f>
        <v>9.5</v>
      </c>
      <c r="Q14" s="82">
        <v>0</v>
      </c>
      <c r="R14" s="9">
        <f t="shared" si="17"/>
        <v>9.5</v>
      </c>
      <c r="S14" s="9">
        <f t="shared" ref="S14:S20" si="19">+R14*G14</f>
        <v>9.5</v>
      </c>
      <c r="T14" s="9">
        <f t="shared" si="15"/>
        <v>1235</v>
      </c>
      <c r="U14" s="12">
        <f t="shared" si="18"/>
        <v>0.12025316455696203</v>
      </c>
      <c r="W14" s="102">
        <f t="shared" si="7"/>
        <v>79</v>
      </c>
      <c r="X14" s="103">
        <f t="shared" si="8"/>
        <v>76</v>
      </c>
      <c r="Y14" s="103">
        <f t="shared" si="9"/>
        <v>3</v>
      </c>
      <c r="Z14" s="103">
        <f>+M14*G14</f>
        <v>6.5</v>
      </c>
      <c r="AA14" s="104">
        <f t="shared" si="11"/>
        <v>9.5</v>
      </c>
    </row>
    <row r="15" spans="1:28" ht="20.25" customHeight="1" x14ac:dyDescent="0.35">
      <c r="A15" s="293"/>
      <c r="B15" s="296"/>
      <c r="C15" s="35" t="s">
        <v>70</v>
      </c>
      <c r="D15" s="10">
        <v>55</v>
      </c>
      <c r="E15" s="31" t="s">
        <v>17</v>
      </c>
      <c r="F15" s="49">
        <v>0.08</v>
      </c>
      <c r="G15" s="11">
        <v>1</v>
      </c>
      <c r="H15" s="72">
        <f>+F15*B12</f>
        <v>78.48</v>
      </c>
      <c r="I15" s="68">
        <v>100</v>
      </c>
      <c r="J15" s="13">
        <f t="shared" si="14"/>
        <v>21.519999999999996</v>
      </c>
      <c r="K15" s="76">
        <v>98.1</v>
      </c>
      <c r="L15" s="9">
        <f t="shared" si="16"/>
        <v>1.9000000000000057</v>
      </c>
      <c r="M15" s="79">
        <v>5</v>
      </c>
      <c r="N15" s="23">
        <f t="shared" ref="N15:N20" si="20">+K15-M15</f>
        <v>93.1</v>
      </c>
      <c r="O15" s="42">
        <f>+N15/B12</f>
        <v>9.4903160040774717E-2</v>
      </c>
      <c r="P15" s="19">
        <f t="shared" ref="P15:P20" si="21">+L15+M15</f>
        <v>6.9000000000000057</v>
      </c>
      <c r="Q15" s="82">
        <v>0</v>
      </c>
      <c r="R15" s="9">
        <f t="shared" si="17"/>
        <v>6.9000000000000057</v>
      </c>
      <c r="S15" s="9">
        <f t="shared" si="19"/>
        <v>6.9000000000000057</v>
      </c>
      <c r="T15" s="9">
        <f t="shared" si="15"/>
        <v>379.50000000000034</v>
      </c>
      <c r="U15" s="12">
        <f t="shared" si="18"/>
        <v>6.9000000000000061E-2</v>
      </c>
      <c r="W15" s="102">
        <f t="shared" si="7"/>
        <v>100</v>
      </c>
      <c r="X15" s="103">
        <f t="shared" si="8"/>
        <v>98.1</v>
      </c>
      <c r="Y15" s="103">
        <f t="shared" si="9"/>
        <v>1.9000000000000057</v>
      </c>
      <c r="Z15" s="103">
        <f t="shared" si="10"/>
        <v>5</v>
      </c>
      <c r="AA15" s="104">
        <f t="shared" si="11"/>
        <v>6.9000000000000057</v>
      </c>
    </row>
    <row r="16" spans="1:28" ht="20.25" customHeight="1" x14ac:dyDescent="0.35">
      <c r="A16" s="293"/>
      <c r="B16" s="296"/>
      <c r="C16" s="35" t="s">
        <v>32</v>
      </c>
      <c r="D16" s="10">
        <v>48</v>
      </c>
      <c r="E16" s="31" t="s">
        <v>18</v>
      </c>
      <c r="F16" s="49">
        <v>0.06</v>
      </c>
      <c r="G16" s="11">
        <v>1</v>
      </c>
      <c r="H16" s="72">
        <f>+F16*B12</f>
        <v>58.86</v>
      </c>
      <c r="I16" s="68">
        <v>60</v>
      </c>
      <c r="J16" s="13">
        <f t="shared" si="14"/>
        <v>1.1400000000000006</v>
      </c>
      <c r="K16" s="76">
        <v>58</v>
      </c>
      <c r="L16" s="9">
        <f t="shared" si="16"/>
        <v>2</v>
      </c>
      <c r="M16" s="79">
        <v>2.5</v>
      </c>
      <c r="N16" s="33">
        <f t="shared" si="20"/>
        <v>55.5</v>
      </c>
      <c r="O16" s="42">
        <f>+N16/B12</f>
        <v>5.657492354740061E-2</v>
      </c>
      <c r="P16" s="19">
        <f t="shared" si="21"/>
        <v>4.5</v>
      </c>
      <c r="Q16" s="82">
        <v>0</v>
      </c>
      <c r="R16" s="9">
        <f t="shared" si="17"/>
        <v>4.5</v>
      </c>
      <c r="S16" s="9">
        <f t="shared" si="19"/>
        <v>4.5</v>
      </c>
      <c r="T16" s="9">
        <f t="shared" si="15"/>
        <v>216</v>
      </c>
      <c r="U16" s="12">
        <f t="shared" si="18"/>
        <v>7.4999999999999997E-2</v>
      </c>
      <c r="W16" s="102">
        <f t="shared" si="7"/>
        <v>60</v>
      </c>
      <c r="X16" s="103">
        <f t="shared" si="8"/>
        <v>58</v>
      </c>
      <c r="Y16" s="103">
        <f t="shared" si="9"/>
        <v>2</v>
      </c>
      <c r="Z16" s="103">
        <f t="shared" si="10"/>
        <v>2.5</v>
      </c>
      <c r="AA16" s="104">
        <f t="shared" si="11"/>
        <v>4.5</v>
      </c>
    </row>
    <row r="17" spans="1:28" ht="20.25" customHeight="1" x14ac:dyDescent="0.35">
      <c r="A17" s="293"/>
      <c r="B17" s="296"/>
      <c r="C17" s="35" t="s">
        <v>155</v>
      </c>
      <c r="D17" s="10">
        <v>35</v>
      </c>
      <c r="E17" s="31" t="s">
        <v>18</v>
      </c>
      <c r="F17" s="49">
        <v>0.06</v>
      </c>
      <c r="G17" s="11">
        <v>1</v>
      </c>
      <c r="H17" s="73">
        <f>+F17*B12</f>
        <v>58.86</v>
      </c>
      <c r="I17" s="68">
        <v>59</v>
      </c>
      <c r="J17" s="66">
        <f t="shared" si="14"/>
        <v>0.14000000000000057</v>
      </c>
      <c r="K17" s="76">
        <v>58</v>
      </c>
      <c r="L17" s="9">
        <f t="shared" si="16"/>
        <v>1</v>
      </c>
      <c r="M17" s="79">
        <v>3.5</v>
      </c>
      <c r="N17" s="23">
        <f t="shared" si="20"/>
        <v>54.5</v>
      </c>
      <c r="O17" s="42">
        <f>+N17/B12</f>
        <v>5.5555555555555552E-2</v>
      </c>
      <c r="P17" s="19">
        <f t="shared" si="21"/>
        <v>4.5</v>
      </c>
      <c r="Q17" s="82">
        <v>0</v>
      </c>
      <c r="R17" s="9">
        <f t="shared" si="17"/>
        <v>4.5</v>
      </c>
      <c r="S17" s="9">
        <f t="shared" si="19"/>
        <v>4.5</v>
      </c>
      <c r="T17" s="9">
        <f t="shared" si="15"/>
        <v>157.5</v>
      </c>
      <c r="U17" s="12">
        <f t="shared" si="18"/>
        <v>7.6271186440677971E-2</v>
      </c>
      <c r="W17" s="102">
        <f t="shared" si="7"/>
        <v>59</v>
      </c>
      <c r="X17" s="103">
        <f t="shared" si="8"/>
        <v>58</v>
      </c>
      <c r="Y17" s="103">
        <f t="shared" si="9"/>
        <v>1</v>
      </c>
      <c r="Z17" s="103">
        <f t="shared" si="10"/>
        <v>3.5</v>
      </c>
      <c r="AA17" s="104">
        <f t="shared" si="11"/>
        <v>4.5</v>
      </c>
    </row>
    <row r="18" spans="1:28" ht="20.25" customHeight="1" x14ac:dyDescent="0.35">
      <c r="A18" s="293"/>
      <c r="B18" s="296"/>
      <c r="C18" s="35" t="s">
        <v>33</v>
      </c>
      <c r="D18" s="10">
        <v>50</v>
      </c>
      <c r="E18" s="31" t="s">
        <v>17</v>
      </c>
      <c r="F18" s="49">
        <v>0.03</v>
      </c>
      <c r="G18" s="11">
        <v>1</v>
      </c>
      <c r="H18" s="72">
        <f>+F18*B12</f>
        <v>29.43</v>
      </c>
      <c r="I18" s="68">
        <v>30</v>
      </c>
      <c r="J18" s="13">
        <f t="shared" si="14"/>
        <v>0.57000000000000028</v>
      </c>
      <c r="K18" s="76">
        <v>29.4</v>
      </c>
      <c r="L18" s="9">
        <f t="shared" si="16"/>
        <v>0.60000000000000142</v>
      </c>
      <c r="M18" s="79">
        <v>2</v>
      </c>
      <c r="N18" s="23">
        <f t="shared" si="20"/>
        <v>27.4</v>
      </c>
      <c r="O18" s="42">
        <f>+N18/B12</f>
        <v>2.7930682976554533E-2</v>
      </c>
      <c r="P18" s="19">
        <f t="shared" si="21"/>
        <v>2.6000000000000014</v>
      </c>
      <c r="Q18" s="82">
        <v>0</v>
      </c>
      <c r="R18" s="9">
        <f t="shared" si="17"/>
        <v>2.6000000000000014</v>
      </c>
      <c r="S18" s="9">
        <f t="shared" si="19"/>
        <v>2.6000000000000014</v>
      </c>
      <c r="T18" s="9">
        <f t="shared" si="15"/>
        <v>130.00000000000006</v>
      </c>
      <c r="U18" s="12">
        <f t="shared" si="18"/>
        <v>8.6666666666666711E-2</v>
      </c>
      <c r="W18" s="102">
        <f t="shared" si="7"/>
        <v>30</v>
      </c>
      <c r="X18" s="103">
        <f t="shared" si="8"/>
        <v>29.4</v>
      </c>
      <c r="Y18" s="103">
        <f t="shared" si="9"/>
        <v>0.60000000000000142</v>
      </c>
      <c r="Z18" s="103">
        <f t="shared" si="10"/>
        <v>2</v>
      </c>
      <c r="AA18" s="104">
        <f t="shared" si="11"/>
        <v>2.6000000000000014</v>
      </c>
    </row>
    <row r="19" spans="1:28" ht="20.25" customHeight="1" x14ac:dyDescent="0.35">
      <c r="A19" s="293"/>
      <c r="B19" s="296"/>
      <c r="C19" s="35" t="s">
        <v>34</v>
      </c>
      <c r="D19" s="31">
        <v>70</v>
      </c>
      <c r="E19" s="31" t="s">
        <v>17</v>
      </c>
      <c r="F19" s="11">
        <v>0.1</v>
      </c>
      <c r="G19" s="11">
        <v>1</v>
      </c>
      <c r="H19" s="72">
        <f>+F19*B12</f>
        <v>98.100000000000009</v>
      </c>
      <c r="I19" s="68">
        <v>98.1</v>
      </c>
      <c r="J19" s="13">
        <f t="shared" si="14"/>
        <v>0</v>
      </c>
      <c r="K19" s="76">
        <v>98.1</v>
      </c>
      <c r="L19" s="9">
        <f t="shared" si="16"/>
        <v>0</v>
      </c>
      <c r="M19" s="79">
        <v>0</v>
      </c>
      <c r="N19" s="23">
        <f t="shared" si="20"/>
        <v>98.1</v>
      </c>
      <c r="O19" s="42">
        <f>+N19/B12</f>
        <v>9.9999999999999992E-2</v>
      </c>
      <c r="P19" s="19">
        <f t="shared" si="21"/>
        <v>0</v>
      </c>
      <c r="Q19" s="82">
        <v>0</v>
      </c>
      <c r="R19" s="9">
        <f t="shared" si="17"/>
        <v>0</v>
      </c>
      <c r="S19" s="9">
        <f t="shared" si="19"/>
        <v>0</v>
      </c>
      <c r="T19" s="9">
        <f t="shared" si="15"/>
        <v>0</v>
      </c>
      <c r="U19" s="12">
        <f t="shared" si="18"/>
        <v>0</v>
      </c>
      <c r="W19" s="102">
        <f t="shared" si="7"/>
        <v>98.1</v>
      </c>
      <c r="X19" s="103">
        <f t="shared" si="8"/>
        <v>98.1</v>
      </c>
      <c r="Y19" s="103">
        <f t="shared" si="9"/>
        <v>0</v>
      </c>
      <c r="Z19" s="103">
        <f t="shared" si="10"/>
        <v>0</v>
      </c>
      <c r="AA19" s="104">
        <f t="shared" si="11"/>
        <v>0</v>
      </c>
    </row>
    <row r="20" spans="1:28" ht="20.25" customHeight="1" x14ac:dyDescent="0.35">
      <c r="A20" s="294"/>
      <c r="B20" s="297"/>
      <c r="C20" s="40" t="s">
        <v>35</v>
      </c>
      <c r="D20" s="44">
        <v>2</v>
      </c>
      <c r="E20" s="44" t="s">
        <v>16</v>
      </c>
      <c r="F20" s="53">
        <v>2</v>
      </c>
      <c r="G20" s="45">
        <v>0.04</v>
      </c>
      <c r="H20" s="72">
        <f>+F20*B12</f>
        <v>1962</v>
      </c>
      <c r="I20" s="68">
        <v>1980</v>
      </c>
      <c r="J20" s="13">
        <f t="shared" si="14"/>
        <v>18</v>
      </c>
      <c r="K20" s="76">
        <f>981*2</f>
        <v>1962</v>
      </c>
      <c r="L20" s="9">
        <f t="shared" si="16"/>
        <v>18</v>
      </c>
      <c r="M20" s="79">
        <v>25</v>
      </c>
      <c r="N20" s="33">
        <f t="shared" si="20"/>
        <v>1937</v>
      </c>
      <c r="O20" s="42">
        <f>+N20/B12</f>
        <v>1.9745158002038736</v>
      </c>
      <c r="P20" s="19">
        <f t="shared" si="21"/>
        <v>43</v>
      </c>
      <c r="Q20" s="82">
        <v>0</v>
      </c>
      <c r="R20" s="9">
        <f t="shared" si="17"/>
        <v>43</v>
      </c>
      <c r="S20" s="9">
        <f t="shared" si="19"/>
        <v>1.72</v>
      </c>
      <c r="T20" s="9">
        <f t="shared" si="15"/>
        <v>86</v>
      </c>
      <c r="U20" s="12">
        <f t="shared" si="18"/>
        <v>2.1717171717171718E-2</v>
      </c>
      <c r="W20" s="115">
        <f t="shared" si="7"/>
        <v>79.2</v>
      </c>
      <c r="X20" s="116">
        <f t="shared" si="8"/>
        <v>78.48</v>
      </c>
      <c r="Y20" s="116">
        <f t="shared" si="9"/>
        <v>0.72</v>
      </c>
      <c r="Z20" s="116">
        <f t="shared" si="10"/>
        <v>1</v>
      </c>
      <c r="AA20" s="117">
        <f t="shared" si="11"/>
        <v>1.72</v>
      </c>
    </row>
    <row r="21" spans="1:28" ht="20.25" customHeight="1" thickBot="1" x14ac:dyDescent="0.4">
      <c r="A21" s="27"/>
      <c r="B21" s="28"/>
      <c r="C21" s="29"/>
      <c r="D21" s="15"/>
      <c r="E21" s="15"/>
      <c r="F21" s="15"/>
      <c r="G21" s="15"/>
      <c r="H21" s="74"/>
      <c r="I21" s="69"/>
      <c r="J21" s="16"/>
      <c r="K21" s="77"/>
      <c r="L21" s="15"/>
      <c r="M21" s="80"/>
      <c r="N21" s="14"/>
      <c r="O21" s="16"/>
      <c r="P21" s="20"/>
      <c r="Q21" s="83"/>
      <c r="R21" s="15"/>
      <c r="S21" s="56">
        <f>SUM(S12:S20)</f>
        <v>54.770000000000046</v>
      </c>
      <c r="T21" s="56">
        <f>SUM(T12:T20)</f>
        <v>3263.0000000000014</v>
      </c>
      <c r="U21" s="16"/>
      <c r="W21" s="118">
        <f>SUM(W12:W20)</f>
        <v>966.30000000000007</v>
      </c>
      <c r="X21" s="110">
        <f t="shared" ref="X21:AA21" si="22">SUM(X12:X20)</f>
        <v>937.53</v>
      </c>
      <c r="Y21" s="114">
        <f t="shared" si="22"/>
        <v>28.770000000000046</v>
      </c>
      <c r="Z21" s="109">
        <f t="shared" si="22"/>
        <v>91</v>
      </c>
      <c r="AA21" s="109">
        <f t="shared" si="22"/>
        <v>54.770000000000046</v>
      </c>
      <c r="AB21" s="94"/>
    </row>
    <row r="22" spans="1:28" ht="20.25" customHeight="1" x14ac:dyDescent="0.35">
      <c r="A22" s="292" t="s">
        <v>39</v>
      </c>
      <c r="B22" s="295">
        <v>1060</v>
      </c>
      <c r="C22" s="34" t="s">
        <v>153</v>
      </c>
      <c r="D22" s="4">
        <v>3</v>
      </c>
      <c r="E22" s="4" t="s">
        <v>58</v>
      </c>
      <c r="F22" s="135">
        <v>6</v>
      </c>
      <c r="G22" s="5">
        <v>0.04</v>
      </c>
      <c r="H22" s="71">
        <f>+F22*B22</f>
        <v>6360</v>
      </c>
      <c r="I22" s="67">
        <v>6370</v>
      </c>
      <c r="J22" s="22">
        <f>I22-H22</f>
        <v>10</v>
      </c>
      <c r="K22" s="75">
        <v>6360</v>
      </c>
      <c r="L22" s="3">
        <f>+I22-K22</f>
        <v>10</v>
      </c>
      <c r="M22" s="78">
        <v>0</v>
      </c>
      <c r="N22" s="21">
        <f>+K22-M22</f>
        <v>6360</v>
      </c>
      <c r="O22" s="41">
        <f>+N22/B22</f>
        <v>6</v>
      </c>
      <c r="P22" s="18">
        <f>+L22+M22</f>
        <v>10</v>
      </c>
      <c r="Q22" s="81">
        <v>0</v>
      </c>
      <c r="R22" s="3">
        <f>+P22-Q22</f>
        <v>10</v>
      </c>
      <c r="S22" s="3">
        <f>+R22*G22</f>
        <v>0.4</v>
      </c>
      <c r="T22" s="3">
        <f>+R22*D22</f>
        <v>30</v>
      </c>
      <c r="U22" s="6">
        <f>+R22/I22</f>
        <v>1.5698587127158557E-3</v>
      </c>
      <c r="W22" s="111">
        <f t="shared" si="7"/>
        <v>254.8</v>
      </c>
      <c r="X22" s="112">
        <f t="shared" si="8"/>
        <v>254.4</v>
      </c>
      <c r="Y22" s="112">
        <f t="shared" si="9"/>
        <v>0.4</v>
      </c>
      <c r="Z22" s="112">
        <f t="shared" si="10"/>
        <v>0</v>
      </c>
      <c r="AA22" s="113">
        <f t="shared" si="11"/>
        <v>0.4</v>
      </c>
    </row>
    <row r="23" spans="1:28" ht="20.25" customHeight="1" x14ac:dyDescent="0.35">
      <c r="A23" s="293"/>
      <c r="B23" s="296"/>
      <c r="C23" s="35" t="s">
        <v>56</v>
      </c>
      <c r="D23" s="10">
        <v>60</v>
      </c>
      <c r="E23" s="10" t="s">
        <v>61</v>
      </c>
      <c r="F23" s="49">
        <v>0.1</v>
      </c>
      <c r="G23" s="11">
        <v>0.01</v>
      </c>
      <c r="H23" s="70">
        <f>+F23*B22</f>
        <v>106</v>
      </c>
      <c r="I23" s="68">
        <v>107</v>
      </c>
      <c r="J23" s="13">
        <f>I23-H23</f>
        <v>1</v>
      </c>
      <c r="K23" s="76">
        <v>106</v>
      </c>
      <c r="L23" s="9">
        <f t="shared" ref="L23:L25" si="23">+I23-K23</f>
        <v>1</v>
      </c>
      <c r="M23" s="79">
        <v>0</v>
      </c>
      <c r="N23" s="23">
        <f t="shared" ref="N23:N25" si="24">+K23-M23</f>
        <v>106</v>
      </c>
      <c r="O23" s="42">
        <f>+N23/B22</f>
        <v>0.1</v>
      </c>
      <c r="P23" s="19">
        <f>+L23+M23</f>
        <v>1</v>
      </c>
      <c r="Q23" s="82">
        <v>0</v>
      </c>
      <c r="R23" s="9">
        <f t="shared" ref="R23:R25" si="25">+P23-Q23</f>
        <v>1</v>
      </c>
      <c r="S23" s="9">
        <f>+R23*G23</f>
        <v>0.01</v>
      </c>
      <c r="T23" s="9">
        <f>+R23*D23</f>
        <v>60</v>
      </c>
      <c r="U23" s="12">
        <f t="shared" ref="U23:U25" si="26">+R23/I23</f>
        <v>9.3457943925233638E-3</v>
      </c>
      <c r="W23" s="102">
        <f t="shared" si="7"/>
        <v>1.07</v>
      </c>
      <c r="X23" s="103">
        <f t="shared" si="8"/>
        <v>1.06</v>
      </c>
      <c r="Y23" s="103">
        <f t="shared" si="9"/>
        <v>0.01</v>
      </c>
      <c r="Z23" s="103">
        <f t="shared" si="10"/>
        <v>0</v>
      </c>
      <c r="AA23" s="104">
        <f t="shared" si="11"/>
        <v>0.01</v>
      </c>
    </row>
    <row r="24" spans="1:28" ht="20.25" customHeight="1" x14ac:dyDescent="0.35">
      <c r="A24" s="293"/>
      <c r="B24" s="296"/>
      <c r="C24" s="35" t="s">
        <v>154</v>
      </c>
      <c r="D24" s="10">
        <v>6</v>
      </c>
      <c r="E24" s="10" t="s">
        <v>16</v>
      </c>
      <c r="F24" s="126">
        <v>1</v>
      </c>
      <c r="G24" s="11">
        <v>0.05</v>
      </c>
      <c r="H24" s="72">
        <f>+F24*B22</f>
        <v>1060</v>
      </c>
      <c r="I24" s="68">
        <v>950</v>
      </c>
      <c r="J24" s="13">
        <f>I24-H24</f>
        <v>-110</v>
      </c>
      <c r="K24" s="76">
        <v>920</v>
      </c>
      <c r="L24" s="9">
        <f t="shared" si="23"/>
        <v>30</v>
      </c>
      <c r="M24" s="79">
        <v>0</v>
      </c>
      <c r="N24" s="33">
        <f t="shared" si="24"/>
        <v>920</v>
      </c>
      <c r="O24" s="42">
        <f>+N24/B22</f>
        <v>0.86792452830188682</v>
      </c>
      <c r="P24" s="19">
        <f>+L24+M24</f>
        <v>30</v>
      </c>
      <c r="Q24" s="82">
        <v>30</v>
      </c>
      <c r="R24" s="9">
        <f t="shared" si="25"/>
        <v>0</v>
      </c>
      <c r="S24" s="9">
        <f>+R24*G24</f>
        <v>0</v>
      </c>
      <c r="T24" s="9">
        <f>+R24*D24</f>
        <v>0</v>
      </c>
      <c r="U24" s="12">
        <f t="shared" si="26"/>
        <v>0</v>
      </c>
      <c r="W24" s="102">
        <f t="shared" si="7"/>
        <v>47.5</v>
      </c>
      <c r="X24" s="103">
        <f t="shared" si="8"/>
        <v>46</v>
      </c>
      <c r="Y24" s="103">
        <f t="shared" si="9"/>
        <v>1.5</v>
      </c>
      <c r="Z24" s="103">
        <f t="shared" si="10"/>
        <v>0</v>
      </c>
      <c r="AA24" s="104">
        <f t="shared" si="11"/>
        <v>0</v>
      </c>
    </row>
    <row r="25" spans="1:28" ht="20.25" customHeight="1" x14ac:dyDescent="0.35">
      <c r="A25" s="293"/>
      <c r="B25" s="296"/>
      <c r="C25" s="35" t="s">
        <v>63</v>
      </c>
      <c r="D25" s="10">
        <v>60</v>
      </c>
      <c r="E25" s="10" t="s">
        <v>18</v>
      </c>
      <c r="F25" s="49">
        <v>0.1</v>
      </c>
      <c r="G25" s="11">
        <v>1</v>
      </c>
      <c r="H25" s="72">
        <f>+F25*B22</f>
        <v>106</v>
      </c>
      <c r="I25" s="68">
        <v>106</v>
      </c>
      <c r="J25" s="13">
        <f>I25-H25</f>
        <v>0</v>
      </c>
      <c r="K25" s="76">
        <v>106</v>
      </c>
      <c r="L25" s="9">
        <f t="shared" si="23"/>
        <v>0</v>
      </c>
      <c r="M25" s="79">
        <v>0</v>
      </c>
      <c r="N25" s="23">
        <f t="shared" si="24"/>
        <v>106</v>
      </c>
      <c r="O25" s="42">
        <f>+N25/B22</f>
        <v>0.1</v>
      </c>
      <c r="P25" s="19">
        <f t="shared" ref="P25" si="27">+L25+M25</f>
        <v>0</v>
      </c>
      <c r="Q25" s="82">
        <v>0</v>
      </c>
      <c r="R25" s="9">
        <f t="shared" si="25"/>
        <v>0</v>
      </c>
      <c r="S25" s="9">
        <f>+R25*G25</f>
        <v>0</v>
      </c>
      <c r="T25" s="9">
        <f>+R25*D25</f>
        <v>0</v>
      </c>
      <c r="U25" s="12">
        <f t="shared" si="26"/>
        <v>0</v>
      </c>
      <c r="W25" s="105">
        <f t="shared" si="7"/>
        <v>106</v>
      </c>
      <c r="X25" s="106">
        <f t="shared" si="8"/>
        <v>106</v>
      </c>
      <c r="Y25" s="106">
        <f t="shared" si="9"/>
        <v>0</v>
      </c>
      <c r="Z25" s="106">
        <f t="shared" si="10"/>
        <v>0</v>
      </c>
      <c r="AA25" s="107">
        <f t="shared" si="11"/>
        <v>0</v>
      </c>
    </row>
    <row r="26" spans="1:28" ht="21.75" customHeight="1" thickBot="1" x14ac:dyDescent="0.4">
      <c r="A26" s="27"/>
      <c r="B26" s="55"/>
      <c r="C26" s="29"/>
      <c r="D26" s="15"/>
      <c r="E26" s="15"/>
      <c r="F26" s="15"/>
      <c r="G26" s="15"/>
      <c r="H26" s="74"/>
      <c r="I26" s="69"/>
      <c r="J26" s="16"/>
      <c r="K26" s="77"/>
      <c r="L26" s="15"/>
      <c r="M26" s="80"/>
      <c r="N26" s="14"/>
      <c r="O26" s="16"/>
      <c r="P26" s="20"/>
      <c r="Q26" s="83"/>
      <c r="R26" s="15"/>
      <c r="S26" s="56">
        <f>SUM(S22:S25)</f>
        <v>0.41000000000000003</v>
      </c>
      <c r="T26" s="56">
        <f>SUM(T22:T25)</f>
        <v>90</v>
      </c>
      <c r="U26" s="16"/>
      <c r="W26" s="123">
        <f>SUM(W22:W25)</f>
        <v>409.37</v>
      </c>
      <c r="X26" s="124">
        <f t="shared" ref="X26:AA26" si="28">SUM(X22:X25)</f>
        <v>407.46000000000004</v>
      </c>
      <c r="Y26" s="124">
        <f t="shared" si="28"/>
        <v>1.9100000000000001</v>
      </c>
      <c r="Z26" s="124">
        <f t="shared" si="28"/>
        <v>0</v>
      </c>
      <c r="AA26" s="125">
        <f t="shared" si="28"/>
        <v>0.41000000000000003</v>
      </c>
    </row>
    <row r="27" spans="1:28" ht="20.25" customHeight="1" x14ac:dyDescent="0.35">
      <c r="A27" s="292" t="s">
        <v>40</v>
      </c>
      <c r="B27" s="295">
        <v>638</v>
      </c>
      <c r="C27" s="34" t="s">
        <v>31</v>
      </c>
      <c r="D27" s="4">
        <v>20</v>
      </c>
      <c r="E27" s="30" t="s">
        <v>17</v>
      </c>
      <c r="F27" s="52">
        <v>0.35</v>
      </c>
      <c r="G27" s="5">
        <v>1</v>
      </c>
      <c r="H27" s="71">
        <f>+F27*B27</f>
        <v>223.29999999999998</v>
      </c>
      <c r="I27" s="67">
        <v>229</v>
      </c>
      <c r="J27" s="22">
        <f t="shared" ref="J27:J35" si="29">I27-H27</f>
        <v>5.7000000000000171</v>
      </c>
      <c r="K27" s="75">
        <v>223.3</v>
      </c>
      <c r="L27" s="3">
        <f>+I27-K27</f>
        <v>5.6999999999999886</v>
      </c>
      <c r="M27" s="78">
        <v>15</v>
      </c>
      <c r="N27" s="21">
        <f>+K27-M27</f>
        <v>208.3</v>
      </c>
      <c r="O27" s="41">
        <f>+N27/B27</f>
        <v>0.32648902821316617</v>
      </c>
      <c r="P27" s="18">
        <f>+L27+M27</f>
        <v>20.699999999999989</v>
      </c>
      <c r="Q27" s="81">
        <v>20</v>
      </c>
      <c r="R27" s="3">
        <f>+P27-Q27</f>
        <v>0.69999999999998863</v>
      </c>
      <c r="S27" s="3">
        <f t="shared" ref="S27:S35" si="30">+R27*G27</f>
        <v>0.69999999999998863</v>
      </c>
      <c r="T27" s="3">
        <f t="shared" ref="T27:T35" si="31">+R27*D27</f>
        <v>13.999999999999773</v>
      </c>
      <c r="U27" s="6">
        <f>+R27/I27</f>
        <v>3.0567685589519152E-3</v>
      </c>
      <c r="W27" s="111">
        <f t="shared" si="7"/>
        <v>229</v>
      </c>
      <c r="X27" s="112">
        <f t="shared" si="8"/>
        <v>223.3</v>
      </c>
      <c r="Y27" s="112">
        <f t="shared" si="9"/>
        <v>5.6999999999999886</v>
      </c>
      <c r="Z27" s="112">
        <f t="shared" si="10"/>
        <v>15</v>
      </c>
      <c r="AA27" s="113">
        <f t="shared" si="11"/>
        <v>0.69999999999998863</v>
      </c>
    </row>
    <row r="28" spans="1:28" ht="20.25" customHeight="1" x14ac:dyDescent="0.35">
      <c r="A28" s="293"/>
      <c r="B28" s="296"/>
      <c r="C28" s="35" t="s">
        <v>134</v>
      </c>
      <c r="D28" s="10">
        <v>65</v>
      </c>
      <c r="E28" s="31" t="s">
        <v>17</v>
      </c>
      <c r="F28" s="49">
        <v>0.1</v>
      </c>
      <c r="G28" s="11">
        <v>1</v>
      </c>
      <c r="H28" s="70">
        <f>+F28*B27</f>
        <v>63.800000000000004</v>
      </c>
      <c r="I28" s="68">
        <v>64.5</v>
      </c>
      <c r="J28" s="13">
        <f t="shared" si="29"/>
        <v>0.69999999999999574</v>
      </c>
      <c r="K28" s="76">
        <v>63.8</v>
      </c>
      <c r="L28" s="9">
        <f t="shared" ref="L28:L35" si="32">+I28-K28</f>
        <v>0.70000000000000284</v>
      </c>
      <c r="M28" s="79">
        <v>5</v>
      </c>
      <c r="N28" s="23">
        <f t="shared" ref="N28:N35" si="33">+K28-M28</f>
        <v>58.8</v>
      </c>
      <c r="O28" s="42">
        <f>+N28/B27</f>
        <v>9.2163009404388707E-2</v>
      </c>
      <c r="P28" s="19">
        <f>+L28+M28</f>
        <v>5.7000000000000028</v>
      </c>
      <c r="Q28" s="82">
        <v>0</v>
      </c>
      <c r="R28" s="9">
        <f t="shared" ref="R28:R35" si="34">+P28-Q28</f>
        <v>5.7000000000000028</v>
      </c>
      <c r="S28" s="9">
        <f t="shared" si="30"/>
        <v>5.7000000000000028</v>
      </c>
      <c r="T28" s="9">
        <f t="shared" si="31"/>
        <v>370.50000000000017</v>
      </c>
      <c r="U28" s="12">
        <f t="shared" ref="U28:U35" si="35">+R28/I28</f>
        <v>8.8372093023255854E-2</v>
      </c>
      <c r="W28" s="102">
        <f t="shared" si="7"/>
        <v>64.5</v>
      </c>
      <c r="X28" s="103">
        <f t="shared" si="8"/>
        <v>63.8</v>
      </c>
      <c r="Y28" s="103">
        <f t="shared" si="9"/>
        <v>0.70000000000000284</v>
      </c>
      <c r="Z28" s="103">
        <f t="shared" si="10"/>
        <v>5</v>
      </c>
      <c r="AA28" s="104">
        <f t="shared" si="11"/>
        <v>5.7000000000000028</v>
      </c>
    </row>
    <row r="29" spans="1:28" ht="20.25" customHeight="1" x14ac:dyDescent="0.35">
      <c r="A29" s="293"/>
      <c r="B29" s="296"/>
      <c r="C29" s="35" t="s">
        <v>156</v>
      </c>
      <c r="D29" s="10">
        <v>130</v>
      </c>
      <c r="E29" s="31" t="s">
        <v>17</v>
      </c>
      <c r="F29" s="49">
        <v>0.05</v>
      </c>
      <c r="G29" s="11">
        <v>1</v>
      </c>
      <c r="H29" s="72">
        <f>+F29*B27</f>
        <v>31.900000000000002</v>
      </c>
      <c r="I29" s="68">
        <v>33</v>
      </c>
      <c r="J29" s="13">
        <f t="shared" si="29"/>
        <v>1.0999999999999979</v>
      </c>
      <c r="K29" s="76">
        <v>31.9</v>
      </c>
      <c r="L29" s="9">
        <f t="shared" si="32"/>
        <v>1.1000000000000014</v>
      </c>
      <c r="M29" s="79">
        <v>2</v>
      </c>
      <c r="N29" s="33">
        <f t="shared" si="33"/>
        <v>29.9</v>
      </c>
      <c r="O29" s="42">
        <f>+N29/B27</f>
        <v>4.6865203761755486E-2</v>
      </c>
      <c r="P29" s="19">
        <f>+L29+M29</f>
        <v>3.1000000000000014</v>
      </c>
      <c r="Q29" s="82">
        <v>0</v>
      </c>
      <c r="R29" s="9">
        <f t="shared" si="34"/>
        <v>3.1000000000000014</v>
      </c>
      <c r="S29" s="9">
        <f t="shared" si="30"/>
        <v>3.1000000000000014</v>
      </c>
      <c r="T29" s="9">
        <f t="shared" si="31"/>
        <v>403.00000000000017</v>
      </c>
      <c r="U29" s="12">
        <f t="shared" si="35"/>
        <v>9.3939393939393989E-2</v>
      </c>
      <c r="W29" s="102">
        <f t="shared" si="7"/>
        <v>33</v>
      </c>
      <c r="X29" s="103">
        <f t="shared" si="8"/>
        <v>31.9</v>
      </c>
      <c r="Y29" s="103">
        <f t="shared" si="9"/>
        <v>1.1000000000000014</v>
      </c>
      <c r="Z29" s="103">
        <f t="shared" si="10"/>
        <v>2</v>
      </c>
      <c r="AA29" s="104">
        <f t="shared" si="11"/>
        <v>3.1000000000000014</v>
      </c>
    </row>
    <row r="30" spans="1:28" ht="20.25" customHeight="1" x14ac:dyDescent="0.35">
      <c r="A30" s="293"/>
      <c r="B30" s="296"/>
      <c r="C30" s="35" t="s">
        <v>73</v>
      </c>
      <c r="D30" s="10">
        <v>55</v>
      </c>
      <c r="E30" s="31" t="s">
        <v>17</v>
      </c>
      <c r="F30" s="49">
        <v>0.1</v>
      </c>
      <c r="G30" s="11">
        <v>1</v>
      </c>
      <c r="H30" s="72">
        <f>+F30*B27</f>
        <v>63.800000000000004</v>
      </c>
      <c r="I30" s="68">
        <v>67.5</v>
      </c>
      <c r="J30" s="13">
        <f t="shared" si="29"/>
        <v>3.6999999999999957</v>
      </c>
      <c r="K30" s="76">
        <v>63.8</v>
      </c>
      <c r="L30" s="9">
        <f t="shared" si="32"/>
        <v>3.7000000000000028</v>
      </c>
      <c r="M30" s="79">
        <v>4</v>
      </c>
      <c r="N30" s="23">
        <f t="shared" si="33"/>
        <v>59.8</v>
      </c>
      <c r="O30" s="42">
        <f>+N30/B27</f>
        <v>9.3730407523510972E-2</v>
      </c>
      <c r="P30" s="19">
        <f t="shared" ref="P30:P35" si="36">+L30+M30</f>
        <v>7.7000000000000028</v>
      </c>
      <c r="Q30" s="82">
        <v>0</v>
      </c>
      <c r="R30" s="9">
        <f t="shared" si="34"/>
        <v>7.7000000000000028</v>
      </c>
      <c r="S30" s="9">
        <f t="shared" si="30"/>
        <v>7.7000000000000028</v>
      </c>
      <c r="T30" s="9">
        <f t="shared" si="31"/>
        <v>423.50000000000017</v>
      </c>
      <c r="U30" s="12">
        <f t="shared" si="35"/>
        <v>0.11407407407407412</v>
      </c>
      <c r="W30" s="102">
        <f t="shared" si="7"/>
        <v>67.5</v>
      </c>
      <c r="X30" s="103">
        <f t="shared" si="8"/>
        <v>63.8</v>
      </c>
      <c r="Y30" s="103">
        <f t="shared" si="9"/>
        <v>3.7000000000000028</v>
      </c>
      <c r="Z30" s="103">
        <f t="shared" si="10"/>
        <v>4</v>
      </c>
      <c r="AA30" s="104">
        <f t="shared" si="11"/>
        <v>7.7000000000000028</v>
      </c>
    </row>
    <row r="31" spans="1:28" ht="20.25" customHeight="1" x14ac:dyDescent="0.35">
      <c r="A31" s="293"/>
      <c r="B31" s="296"/>
      <c r="C31" s="35" t="s">
        <v>32</v>
      </c>
      <c r="D31" s="10">
        <v>48</v>
      </c>
      <c r="E31" s="31" t="s">
        <v>18</v>
      </c>
      <c r="F31" s="49">
        <v>0.08</v>
      </c>
      <c r="G31" s="11">
        <v>1</v>
      </c>
      <c r="H31" s="72">
        <f>+F31*B27</f>
        <v>51.04</v>
      </c>
      <c r="I31" s="68">
        <v>55</v>
      </c>
      <c r="J31" s="13">
        <f t="shared" si="29"/>
        <v>3.9600000000000009</v>
      </c>
      <c r="K31" s="76">
        <v>51</v>
      </c>
      <c r="L31" s="9">
        <f t="shared" si="32"/>
        <v>4</v>
      </c>
      <c r="M31" s="79">
        <v>5</v>
      </c>
      <c r="N31" s="33">
        <f t="shared" si="33"/>
        <v>46</v>
      </c>
      <c r="O31" s="42">
        <f>+N31/B27</f>
        <v>7.2100313479623826E-2</v>
      </c>
      <c r="P31" s="19">
        <f t="shared" si="36"/>
        <v>9</v>
      </c>
      <c r="Q31" s="82">
        <v>0</v>
      </c>
      <c r="R31" s="9">
        <f t="shared" si="34"/>
        <v>9</v>
      </c>
      <c r="S31" s="9">
        <f t="shared" si="30"/>
        <v>9</v>
      </c>
      <c r="T31" s="9">
        <f t="shared" si="31"/>
        <v>432</v>
      </c>
      <c r="U31" s="12">
        <f t="shared" si="35"/>
        <v>0.16363636363636364</v>
      </c>
      <c r="W31" s="102">
        <f t="shared" si="7"/>
        <v>55</v>
      </c>
      <c r="X31" s="103">
        <f t="shared" si="8"/>
        <v>51</v>
      </c>
      <c r="Y31" s="103">
        <f t="shared" si="9"/>
        <v>4</v>
      </c>
      <c r="Z31" s="103">
        <f t="shared" si="10"/>
        <v>5</v>
      </c>
      <c r="AA31" s="104">
        <f t="shared" si="11"/>
        <v>9</v>
      </c>
    </row>
    <row r="32" spans="1:28" ht="20.25" customHeight="1" x14ac:dyDescent="0.35">
      <c r="A32" s="293"/>
      <c r="B32" s="296"/>
      <c r="C32" s="35" t="s">
        <v>54</v>
      </c>
      <c r="D32" s="10">
        <v>35</v>
      </c>
      <c r="E32" s="31" t="s">
        <v>18</v>
      </c>
      <c r="F32" s="49">
        <v>0.08</v>
      </c>
      <c r="G32" s="11">
        <v>1</v>
      </c>
      <c r="H32" s="73">
        <f>+F32*B27</f>
        <v>51.04</v>
      </c>
      <c r="I32" s="68">
        <v>54</v>
      </c>
      <c r="J32" s="13">
        <f t="shared" si="29"/>
        <v>2.9600000000000009</v>
      </c>
      <c r="K32" s="76">
        <v>51</v>
      </c>
      <c r="L32" s="9">
        <f t="shared" si="32"/>
        <v>3</v>
      </c>
      <c r="M32" s="79">
        <v>6</v>
      </c>
      <c r="N32" s="23">
        <f t="shared" si="33"/>
        <v>45</v>
      </c>
      <c r="O32" s="42">
        <f>+N32/B27</f>
        <v>7.0532915360501561E-2</v>
      </c>
      <c r="P32" s="19">
        <f t="shared" si="36"/>
        <v>9</v>
      </c>
      <c r="Q32" s="82">
        <v>0</v>
      </c>
      <c r="R32" s="9">
        <f t="shared" si="34"/>
        <v>9</v>
      </c>
      <c r="S32" s="9">
        <f t="shared" si="30"/>
        <v>9</v>
      </c>
      <c r="T32" s="9">
        <f t="shared" si="31"/>
        <v>315</v>
      </c>
      <c r="U32" s="12">
        <f t="shared" si="35"/>
        <v>0.16666666666666666</v>
      </c>
      <c r="W32" s="102">
        <f t="shared" si="7"/>
        <v>54</v>
      </c>
      <c r="X32" s="103">
        <f t="shared" si="8"/>
        <v>51</v>
      </c>
      <c r="Y32" s="103">
        <f t="shared" si="9"/>
        <v>3</v>
      </c>
      <c r="Z32" s="103">
        <f t="shared" si="10"/>
        <v>6</v>
      </c>
      <c r="AA32" s="104">
        <f t="shared" si="11"/>
        <v>9</v>
      </c>
    </row>
    <row r="33" spans="1:28" ht="20.25" customHeight="1" x14ac:dyDescent="0.35">
      <c r="A33" s="293"/>
      <c r="B33" s="296"/>
      <c r="C33" s="35" t="s">
        <v>33</v>
      </c>
      <c r="D33" s="10">
        <v>50</v>
      </c>
      <c r="E33" s="31" t="s">
        <v>17</v>
      </c>
      <c r="F33" s="49">
        <v>0.03</v>
      </c>
      <c r="G33" s="11">
        <v>1</v>
      </c>
      <c r="H33" s="72">
        <f>+F33*B27</f>
        <v>19.14</v>
      </c>
      <c r="I33" s="68">
        <v>21</v>
      </c>
      <c r="J33" s="13">
        <f t="shared" si="29"/>
        <v>1.8599999999999994</v>
      </c>
      <c r="K33" s="76">
        <v>19.100000000000001</v>
      </c>
      <c r="L33" s="9">
        <f t="shared" si="32"/>
        <v>1.8999999999999986</v>
      </c>
      <c r="M33" s="79">
        <v>1.5</v>
      </c>
      <c r="N33" s="23">
        <f t="shared" si="33"/>
        <v>17.600000000000001</v>
      </c>
      <c r="O33" s="42">
        <f>+N33/B27</f>
        <v>2.7586206896551727E-2</v>
      </c>
      <c r="P33" s="19">
        <f t="shared" si="36"/>
        <v>3.3999999999999986</v>
      </c>
      <c r="Q33" s="82">
        <v>0</v>
      </c>
      <c r="R33" s="9">
        <f t="shared" si="34"/>
        <v>3.3999999999999986</v>
      </c>
      <c r="S33" s="9">
        <f t="shared" si="30"/>
        <v>3.3999999999999986</v>
      </c>
      <c r="T33" s="9">
        <f t="shared" si="31"/>
        <v>169.99999999999994</v>
      </c>
      <c r="U33" s="12">
        <f t="shared" si="35"/>
        <v>0.16190476190476183</v>
      </c>
      <c r="W33" s="102">
        <f t="shared" si="7"/>
        <v>21</v>
      </c>
      <c r="X33" s="103">
        <f t="shared" si="8"/>
        <v>19.100000000000001</v>
      </c>
      <c r="Y33" s="103">
        <f t="shared" si="9"/>
        <v>1.8999999999999986</v>
      </c>
      <c r="Z33" s="103">
        <f t="shared" si="10"/>
        <v>1.5</v>
      </c>
      <c r="AA33" s="104">
        <f t="shared" si="11"/>
        <v>3.3999999999999986</v>
      </c>
    </row>
    <row r="34" spans="1:28" ht="20.25" customHeight="1" x14ac:dyDescent="0.35">
      <c r="A34" s="293"/>
      <c r="B34" s="296"/>
      <c r="C34" s="35" t="s">
        <v>34</v>
      </c>
      <c r="D34" s="31">
        <v>70</v>
      </c>
      <c r="E34" s="31" t="s">
        <v>17</v>
      </c>
      <c r="F34" s="11">
        <v>0.1</v>
      </c>
      <c r="G34" s="11">
        <v>1</v>
      </c>
      <c r="H34" s="72">
        <f>+F34*B27</f>
        <v>63.800000000000004</v>
      </c>
      <c r="I34" s="68">
        <v>63.8</v>
      </c>
      <c r="J34" s="13">
        <f t="shared" si="29"/>
        <v>0</v>
      </c>
      <c r="K34" s="76">
        <v>63.8</v>
      </c>
      <c r="L34" s="9">
        <f t="shared" si="32"/>
        <v>0</v>
      </c>
      <c r="M34" s="79">
        <v>0</v>
      </c>
      <c r="N34" s="23">
        <f t="shared" si="33"/>
        <v>63.8</v>
      </c>
      <c r="O34" s="42">
        <f>+N34/B27</f>
        <v>9.9999999999999992E-2</v>
      </c>
      <c r="P34" s="19">
        <f t="shared" si="36"/>
        <v>0</v>
      </c>
      <c r="Q34" s="82">
        <v>0</v>
      </c>
      <c r="R34" s="9">
        <f t="shared" si="34"/>
        <v>0</v>
      </c>
      <c r="S34" s="9">
        <f t="shared" si="30"/>
        <v>0</v>
      </c>
      <c r="T34" s="9">
        <f t="shared" si="31"/>
        <v>0</v>
      </c>
      <c r="U34" s="12">
        <f t="shared" si="35"/>
        <v>0</v>
      </c>
      <c r="W34" s="102">
        <f t="shared" si="7"/>
        <v>63.8</v>
      </c>
      <c r="X34" s="103">
        <f t="shared" si="8"/>
        <v>63.8</v>
      </c>
      <c r="Y34" s="103">
        <f t="shared" si="9"/>
        <v>0</v>
      </c>
      <c r="Z34" s="103">
        <f t="shared" si="10"/>
        <v>0</v>
      </c>
      <c r="AA34" s="104">
        <f t="shared" si="11"/>
        <v>0</v>
      </c>
    </row>
    <row r="35" spans="1:28" ht="20.25" customHeight="1" x14ac:dyDescent="0.35">
      <c r="A35" s="294"/>
      <c r="B35" s="297"/>
      <c r="C35" s="40" t="s">
        <v>35</v>
      </c>
      <c r="D35" s="44">
        <v>2</v>
      </c>
      <c r="E35" s="44" t="s">
        <v>16</v>
      </c>
      <c r="F35" s="53">
        <v>2</v>
      </c>
      <c r="G35" s="45">
        <v>0.04</v>
      </c>
      <c r="H35" s="72">
        <f>+F35*B27</f>
        <v>1276</v>
      </c>
      <c r="I35" s="68">
        <v>1290</v>
      </c>
      <c r="J35" s="13">
        <f t="shared" si="29"/>
        <v>14</v>
      </c>
      <c r="K35" s="76">
        <v>1276</v>
      </c>
      <c r="L35" s="9">
        <f t="shared" si="32"/>
        <v>14</v>
      </c>
      <c r="M35" s="79">
        <v>30</v>
      </c>
      <c r="N35" s="33">
        <f t="shared" si="33"/>
        <v>1246</v>
      </c>
      <c r="O35" s="42">
        <f>+N35/B27</f>
        <v>1.9529780564263324</v>
      </c>
      <c r="P35" s="19">
        <f t="shared" si="36"/>
        <v>44</v>
      </c>
      <c r="Q35" s="82">
        <v>0</v>
      </c>
      <c r="R35" s="9">
        <f t="shared" si="34"/>
        <v>44</v>
      </c>
      <c r="S35" s="9">
        <f t="shared" si="30"/>
        <v>1.76</v>
      </c>
      <c r="T35" s="9">
        <f t="shared" si="31"/>
        <v>88</v>
      </c>
      <c r="U35" s="12">
        <f t="shared" si="35"/>
        <v>3.4108527131782945E-2</v>
      </c>
      <c r="W35" s="105">
        <f t="shared" si="7"/>
        <v>51.6</v>
      </c>
      <c r="X35" s="106">
        <f t="shared" si="8"/>
        <v>51.04</v>
      </c>
      <c r="Y35" s="106">
        <f t="shared" si="9"/>
        <v>0.56000000000000005</v>
      </c>
      <c r="Z35" s="106">
        <f t="shared" si="10"/>
        <v>1.2</v>
      </c>
      <c r="AA35" s="107">
        <f t="shared" si="11"/>
        <v>1.76</v>
      </c>
    </row>
    <row r="36" spans="1:28" ht="23.25" customHeight="1" thickBot="1" x14ac:dyDescent="0.4">
      <c r="A36" s="27"/>
      <c r="B36" s="57"/>
      <c r="C36" s="29"/>
      <c r="D36" s="15"/>
      <c r="E36" s="15"/>
      <c r="F36" s="15"/>
      <c r="G36" s="15"/>
      <c r="H36" s="14"/>
      <c r="I36" s="15"/>
      <c r="J36" s="16"/>
      <c r="K36" s="14"/>
      <c r="L36" s="15"/>
      <c r="M36" s="16"/>
      <c r="N36" s="14"/>
      <c r="O36" s="16"/>
      <c r="P36" s="20"/>
      <c r="Q36" s="15"/>
      <c r="R36" s="15"/>
      <c r="S36" s="56">
        <f>SUM(S27:S35)</f>
        <v>40.359999999999992</v>
      </c>
      <c r="T36" s="56">
        <f>SUM(T27:T35)</f>
        <v>2216</v>
      </c>
      <c r="U36" s="16"/>
      <c r="W36" s="122">
        <f>SUM(W27:W35)</f>
        <v>639.4</v>
      </c>
      <c r="X36" s="109">
        <f t="shared" ref="X36:AA36" si="37">SUM(X27:X35)</f>
        <v>618.74</v>
      </c>
      <c r="Y36" s="109">
        <f t="shared" si="37"/>
        <v>20.659999999999993</v>
      </c>
      <c r="Z36" s="110">
        <f t="shared" si="37"/>
        <v>39.700000000000003</v>
      </c>
      <c r="AA36" s="114">
        <f t="shared" si="37"/>
        <v>40.359999999999992</v>
      </c>
      <c r="AB36" s="94"/>
    </row>
    <row r="37" spans="1:28" ht="31.5" customHeight="1" thickBot="1" x14ac:dyDescent="0.4">
      <c r="A37" s="58" t="s">
        <v>42</v>
      </c>
      <c r="B37" s="32">
        <f>+B4+B12+B22+B27</f>
        <v>3845</v>
      </c>
      <c r="C37" s="29"/>
      <c r="D37" s="15"/>
      <c r="E37" s="15"/>
      <c r="F37" s="15"/>
      <c r="G37" s="15"/>
      <c r="H37" s="14"/>
      <c r="I37" s="15"/>
      <c r="J37" s="16"/>
      <c r="K37" s="14"/>
      <c r="L37" s="15"/>
      <c r="M37" s="16"/>
      <c r="N37" s="14"/>
      <c r="O37" s="16"/>
      <c r="P37" s="20"/>
      <c r="Q37" s="15"/>
      <c r="R37" s="17"/>
      <c r="S37" s="85">
        <f>+S36+S26+S21+S11</f>
        <v>133.89000000000004</v>
      </c>
      <c r="T37" s="85">
        <f>+T36+T26+T21+T11</f>
        <v>7516.8000000000029</v>
      </c>
      <c r="U37" s="62"/>
      <c r="W37" s="108">
        <f>+W11+W21+W26+W36</f>
        <v>2839.32</v>
      </c>
      <c r="X37" s="119">
        <f t="shared" ref="X37:AA37" si="38">+X11+X21+X26+X36</f>
        <v>2779.63</v>
      </c>
      <c r="Y37" s="119">
        <f t="shared" si="38"/>
        <v>59.690000000000055</v>
      </c>
      <c r="Z37" s="121">
        <f t="shared" si="38"/>
        <v>160.69999999999999</v>
      </c>
      <c r="AA37" s="120">
        <f t="shared" si="38"/>
        <v>133.89000000000004</v>
      </c>
      <c r="AB37" s="94"/>
    </row>
    <row r="38" spans="1:28" x14ac:dyDescent="0.35">
      <c r="B38" s="59"/>
      <c r="Y38" s="63"/>
    </row>
    <row r="39" spans="1:28" ht="15" thickBot="1" x14ac:dyDescent="0.4">
      <c r="W39" s="63"/>
      <c r="X39" s="63"/>
      <c r="Y39" s="63"/>
      <c r="Z39" s="63"/>
      <c r="AA39" s="63"/>
    </row>
    <row r="40" spans="1:28" ht="16" thickBot="1" x14ac:dyDescent="0.4">
      <c r="A40" s="322" t="s">
        <v>45</v>
      </c>
      <c r="B40" s="323"/>
      <c r="C40" s="323"/>
      <c r="D40" s="323"/>
      <c r="E40" s="323"/>
      <c r="F40" s="324"/>
    </row>
    <row r="41" spans="1:28" ht="30.75" customHeight="1" x14ac:dyDescent="0.35">
      <c r="A41" s="7" t="s">
        <v>6</v>
      </c>
      <c r="B41" s="8" t="s">
        <v>7</v>
      </c>
      <c r="C41" s="8" t="s">
        <v>53</v>
      </c>
      <c r="D41" s="60" t="s">
        <v>52</v>
      </c>
      <c r="E41" s="60" t="s">
        <v>57</v>
      </c>
      <c r="F41" s="90" t="s">
        <v>46</v>
      </c>
      <c r="O41" s="129" t="s">
        <v>60</v>
      </c>
      <c r="P41" s="130" t="s">
        <v>59</v>
      </c>
      <c r="X41" s="63"/>
    </row>
    <row r="42" spans="1:28" ht="25.5" customHeight="1" x14ac:dyDescent="0.35">
      <c r="A42" s="91" t="s">
        <v>47</v>
      </c>
      <c r="B42" s="92">
        <f>+B4</f>
        <v>1166</v>
      </c>
      <c r="C42" s="99">
        <f>+W11</f>
        <v>824.25</v>
      </c>
      <c r="D42" s="99">
        <f>+AA11</f>
        <v>38.350000000000009</v>
      </c>
      <c r="E42" s="95">
        <f>+D42/B42</f>
        <v>3.2890222984562616E-2</v>
      </c>
      <c r="F42" s="253">
        <f>+D42/C42</f>
        <v>4.6527145890203223E-2</v>
      </c>
      <c r="O42" s="72">
        <f>+X11</f>
        <v>815.90000000000009</v>
      </c>
      <c r="P42" s="65">
        <f>+Z11</f>
        <v>30</v>
      </c>
    </row>
    <row r="43" spans="1:28" ht="25.5" customHeight="1" x14ac:dyDescent="0.35">
      <c r="A43" s="91" t="s">
        <v>48</v>
      </c>
      <c r="B43" s="92">
        <f>+B12</f>
        <v>981</v>
      </c>
      <c r="C43" s="92">
        <f>+W21</f>
        <v>966.30000000000007</v>
      </c>
      <c r="D43" s="99">
        <f>+AA21</f>
        <v>54.770000000000046</v>
      </c>
      <c r="E43" s="95">
        <f>+D43/B43</f>
        <v>5.5830784913353769E-2</v>
      </c>
      <c r="F43" s="253">
        <f>+D43/C43</f>
        <v>5.6680120045534556E-2</v>
      </c>
      <c r="O43" s="72">
        <f>+X21</f>
        <v>937.53</v>
      </c>
      <c r="P43" s="65">
        <f>+Z21</f>
        <v>91</v>
      </c>
      <c r="Q43" s="133"/>
      <c r="R43" s="134"/>
    </row>
    <row r="44" spans="1:28" ht="25.5" customHeight="1" x14ac:dyDescent="0.35">
      <c r="A44" s="91" t="s">
        <v>49</v>
      </c>
      <c r="B44" s="92">
        <f>+B22</f>
        <v>1060</v>
      </c>
      <c r="C44" s="92">
        <f>+W26</f>
        <v>409.37</v>
      </c>
      <c r="D44" s="99">
        <f>+AA26</f>
        <v>0.41000000000000003</v>
      </c>
      <c r="E44" s="95">
        <f>+D44/B44</f>
        <v>3.8679245283018872E-4</v>
      </c>
      <c r="F44" s="253">
        <f>+D44/C44</f>
        <v>1.001538950094047E-3</v>
      </c>
      <c r="O44" s="72">
        <f>+X26</f>
        <v>407.46000000000004</v>
      </c>
      <c r="P44" s="65">
        <f>+Z26</f>
        <v>0</v>
      </c>
    </row>
    <row r="45" spans="1:28" ht="25.5" customHeight="1" x14ac:dyDescent="0.35">
      <c r="A45" s="91" t="s">
        <v>50</v>
      </c>
      <c r="B45" s="92">
        <f>+B27</f>
        <v>638</v>
      </c>
      <c r="C45" s="99">
        <f>+W36</f>
        <v>639.4</v>
      </c>
      <c r="D45" s="99">
        <f>+AA36</f>
        <v>40.359999999999992</v>
      </c>
      <c r="E45" s="95">
        <f>+D45/B45</f>
        <v>6.3260188087774283E-2</v>
      </c>
      <c r="F45" s="253">
        <f>+D45/C45</f>
        <v>6.3121676571786037E-2</v>
      </c>
      <c r="O45" s="72">
        <f>+X36</f>
        <v>618.74</v>
      </c>
      <c r="P45" s="65">
        <f>+Z36</f>
        <v>39.700000000000003</v>
      </c>
    </row>
    <row r="46" spans="1:28" ht="27" customHeight="1" thickBot="1" x14ac:dyDescent="0.4">
      <c r="A46" s="93" t="s">
        <v>51</v>
      </c>
      <c r="B46" s="96">
        <f>SUM(B42:B45)</f>
        <v>3845</v>
      </c>
      <c r="C46" s="96">
        <f>SUM(C42:C45)</f>
        <v>2839.32</v>
      </c>
      <c r="D46" s="100">
        <f>SUM(D42:D45)</f>
        <v>133.89000000000004</v>
      </c>
      <c r="E46" s="97">
        <f>+D46/B46</f>
        <v>3.4821846553966203E-2</v>
      </c>
      <c r="F46" s="253">
        <f>+D46/C46</f>
        <v>4.7155656988292986E-2</v>
      </c>
      <c r="G46" s="98"/>
      <c r="O46" s="131">
        <f>SUM(O42:O45)</f>
        <v>2779.63</v>
      </c>
      <c r="P46" s="132">
        <f>SUM(P42:P45)</f>
        <v>160.69999999999999</v>
      </c>
    </row>
    <row r="47" spans="1:28" x14ac:dyDescent="0.35">
      <c r="F47" s="59"/>
    </row>
    <row r="48" spans="1:28" x14ac:dyDescent="0.35">
      <c r="B48">
        <v>410</v>
      </c>
    </row>
    <row r="49" spans="2:2" x14ac:dyDescent="0.35">
      <c r="B49">
        <f>+B46+B48</f>
        <v>4255</v>
      </c>
    </row>
  </sheetData>
  <mergeCells count="16">
    <mergeCell ref="A1:F1"/>
    <mergeCell ref="A2:G2"/>
    <mergeCell ref="H2:J2"/>
    <mergeCell ref="K2:M2"/>
    <mergeCell ref="N2:O2"/>
    <mergeCell ref="A27:A35"/>
    <mergeCell ref="B27:B35"/>
    <mergeCell ref="A40:F40"/>
    <mergeCell ref="W2:AA2"/>
    <mergeCell ref="A4:A10"/>
    <mergeCell ref="B4:B10"/>
    <mergeCell ref="A12:A20"/>
    <mergeCell ref="B12:B20"/>
    <mergeCell ref="A22:A25"/>
    <mergeCell ref="B22:B25"/>
    <mergeCell ref="P2:U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351E6-DEDC-429D-888B-EC2D2D85C7E7}">
  <dimension ref="A1:AB48"/>
  <sheetViews>
    <sheetView workbookViewId="0">
      <pane xSplit="7" ySplit="3" topLeftCell="P37" activePane="bottomRight" state="frozen"/>
      <selection pane="topRight" activeCell="H1" sqref="H1"/>
      <selection pane="bottomLeft" activeCell="A4" sqref="A4"/>
      <selection pane="bottomRight" activeCell="T42" sqref="T42:AA45"/>
    </sheetView>
  </sheetViews>
  <sheetFormatPr defaultRowHeight="14.5" x14ac:dyDescent="0.35"/>
  <cols>
    <col min="1" max="1" width="11" customWidth="1"/>
    <col min="2" max="2" width="7.81640625" customWidth="1"/>
    <col min="3" max="3" width="20" customWidth="1"/>
    <col min="4" max="4" width="9.1796875" customWidth="1"/>
    <col min="5" max="5" width="9.26953125" customWidth="1"/>
    <col min="6" max="6" width="10" customWidth="1"/>
    <col min="7" max="7" width="8.1796875" customWidth="1"/>
    <col min="8" max="8" width="12.54296875" customWidth="1"/>
    <col min="9" max="9" width="12.453125" customWidth="1"/>
    <col min="10" max="10" width="11" customWidth="1"/>
    <col min="11" max="11" width="9.453125" customWidth="1"/>
    <col min="12" max="12" width="11" customWidth="1"/>
    <col min="13" max="13" width="13.54296875" customWidth="1"/>
    <col min="14" max="14" width="14.81640625" customWidth="1"/>
    <col min="15" max="15" width="16" customWidth="1"/>
    <col min="16" max="16" width="11.26953125" customWidth="1"/>
    <col min="17" max="18" width="9.54296875" customWidth="1"/>
    <col min="19" max="20" width="10.81640625" customWidth="1"/>
    <col min="21" max="21" width="12.7265625" customWidth="1"/>
    <col min="22" max="22" width="10" customWidth="1"/>
    <col min="23" max="23" width="11.453125" customWidth="1"/>
    <col min="24" max="24" width="11" customWidth="1"/>
    <col min="25" max="25" width="13.453125" customWidth="1"/>
    <col min="26" max="26" width="10.26953125" customWidth="1"/>
    <col min="27" max="27" width="13.7265625" customWidth="1"/>
  </cols>
  <sheetData>
    <row r="1" spans="1:28" ht="22.5" customHeight="1" thickBot="1" x14ac:dyDescent="0.4">
      <c r="A1" s="308" t="s">
        <v>36</v>
      </c>
      <c r="B1" s="309"/>
      <c r="C1" s="309"/>
      <c r="D1" s="309"/>
      <c r="E1" s="309"/>
      <c r="F1" s="310"/>
    </row>
    <row r="2" spans="1:28" ht="22.5" customHeight="1" thickBot="1" x14ac:dyDescent="0.4">
      <c r="A2" s="311" t="s">
        <v>157</v>
      </c>
      <c r="B2" s="312"/>
      <c r="C2" s="312"/>
      <c r="D2" s="312"/>
      <c r="E2" s="312"/>
      <c r="F2" s="312"/>
      <c r="G2" s="313"/>
      <c r="H2" s="314" t="s">
        <v>22</v>
      </c>
      <c r="I2" s="315"/>
      <c r="J2" s="316"/>
      <c r="K2" s="317" t="s">
        <v>23</v>
      </c>
      <c r="L2" s="318"/>
      <c r="M2" s="319"/>
      <c r="N2" s="320" t="s">
        <v>24</v>
      </c>
      <c r="O2" s="321"/>
      <c r="P2" s="305" t="s">
        <v>25</v>
      </c>
      <c r="Q2" s="306"/>
      <c r="R2" s="306"/>
      <c r="S2" s="306"/>
      <c r="T2" s="306"/>
      <c r="U2" s="307"/>
      <c r="W2" s="325" t="s">
        <v>43</v>
      </c>
      <c r="X2" s="326"/>
      <c r="Y2" s="326"/>
      <c r="Z2" s="326"/>
      <c r="AA2" s="327"/>
    </row>
    <row r="3" spans="1:28" ht="58.5" thickBot="1" x14ac:dyDescent="0.4">
      <c r="A3" s="39" t="s">
        <v>6</v>
      </c>
      <c r="B3" s="38" t="s">
        <v>7</v>
      </c>
      <c r="C3" s="38" t="s">
        <v>0</v>
      </c>
      <c r="D3" s="37" t="s">
        <v>15</v>
      </c>
      <c r="E3" s="38" t="s">
        <v>1</v>
      </c>
      <c r="F3" s="36" t="s">
        <v>27</v>
      </c>
      <c r="G3" s="37" t="s">
        <v>19</v>
      </c>
      <c r="H3" s="25" t="s">
        <v>4</v>
      </c>
      <c r="I3" s="89" t="s">
        <v>44</v>
      </c>
      <c r="J3" s="26" t="s">
        <v>29</v>
      </c>
      <c r="K3" s="88" t="s">
        <v>3</v>
      </c>
      <c r="L3" s="1" t="s">
        <v>28</v>
      </c>
      <c r="M3" s="87" t="s">
        <v>5</v>
      </c>
      <c r="N3" s="25" t="s">
        <v>20</v>
      </c>
      <c r="O3" s="26" t="s">
        <v>21</v>
      </c>
      <c r="P3" s="24" t="s">
        <v>8</v>
      </c>
      <c r="Q3" s="86" t="s">
        <v>9</v>
      </c>
      <c r="R3" s="2" t="s">
        <v>10</v>
      </c>
      <c r="S3" s="1" t="s">
        <v>26</v>
      </c>
      <c r="T3" s="1" t="s">
        <v>11</v>
      </c>
      <c r="U3" s="1" t="s">
        <v>30</v>
      </c>
      <c r="W3" s="43" t="s">
        <v>2</v>
      </c>
      <c r="X3" s="60" t="s">
        <v>3</v>
      </c>
      <c r="Y3" s="60" t="s">
        <v>28</v>
      </c>
      <c r="Z3" s="60" t="s">
        <v>5</v>
      </c>
      <c r="AA3" s="61" t="s">
        <v>26</v>
      </c>
    </row>
    <row r="4" spans="1:28" ht="20.25" customHeight="1" x14ac:dyDescent="0.35">
      <c r="A4" s="301" t="s">
        <v>37</v>
      </c>
      <c r="B4" s="303">
        <v>791</v>
      </c>
      <c r="C4" s="34" t="s">
        <v>55</v>
      </c>
      <c r="D4" s="4">
        <v>2</v>
      </c>
      <c r="E4" s="30" t="s">
        <v>16</v>
      </c>
      <c r="F4" s="47">
        <v>2</v>
      </c>
      <c r="G4" s="5">
        <v>0.05</v>
      </c>
      <c r="H4" s="71">
        <f>+F4*B4</f>
        <v>1582</v>
      </c>
      <c r="I4" s="67">
        <v>1595</v>
      </c>
      <c r="J4" s="22">
        <f t="shared" ref="J4:J10" si="0">I4-H4</f>
        <v>13</v>
      </c>
      <c r="K4" s="75">
        <v>1582</v>
      </c>
      <c r="L4" s="127">
        <f>+I4-K4</f>
        <v>13</v>
      </c>
      <c r="M4" s="78">
        <v>25</v>
      </c>
      <c r="N4" s="128">
        <f>+K4-M4</f>
        <v>1557</v>
      </c>
      <c r="O4" s="64">
        <f>+N4/B4</f>
        <v>1.9683944374209861</v>
      </c>
      <c r="P4" s="18">
        <f>+L4+M4</f>
        <v>38</v>
      </c>
      <c r="Q4" s="81">
        <v>25</v>
      </c>
      <c r="R4" s="3">
        <f t="shared" ref="R4:R10" si="1">+P4-Q4</f>
        <v>13</v>
      </c>
      <c r="S4" s="3">
        <f t="shared" ref="S4:S10" si="2">+R4*G4</f>
        <v>0.65</v>
      </c>
      <c r="T4" s="3">
        <f t="shared" ref="T4:T10" si="3">+R4*D4</f>
        <v>26</v>
      </c>
      <c r="U4" s="6">
        <f>+R4/I4</f>
        <v>8.1504702194357369E-3</v>
      </c>
      <c r="W4" s="102">
        <f>+I4*G4</f>
        <v>79.75</v>
      </c>
      <c r="X4" s="103">
        <f>+K4*G4</f>
        <v>79.100000000000009</v>
      </c>
      <c r="Y4" s="103">
        <f>+L4*G4</f>
        <v>0.65</v>
      </c>
      <c r="Z4" s="103">
        <f>+M4*G4</f>
        <v>1.25</v>
      </c>
      <c r="AA4" s="104">
        <f>+R4*G4</f>
        <v>0.65</v>
      </c>
    </row>
    <row r="5" spans="1:28" ht="20.25" customHeight="1" x14ac:dyDescent="0.35">
      <c r="A5" s="302"/>
      <c r="B5" s="304"/>
      <c r="C5" s="35" t="s">
        <v>121</v>
      </c>
      <c r="D5" s="10">
        <v>4</v>
      </c>
      <c r="E5" s="31" t="s">
        <v>16</v>
      </c>
      <c r="F5" s="48">
        <v>2</v>
      </c>
      <c r="G5" s="11">
        <v>0.05</v>
      </c>
      <c r="H5" s="70">
        <f>+F5*B4</f>
        <v>1582</v>
      </c>
      <c r="I5" s="68">
        <v>1593</v>
      </c>
      <c r="J5" s="13">
        <f t="shared" si="0"/>
        <v>11</v>
      </c>
      <c r="K5" s="76">
        <v>1582</v>
      </c>
      <c r="L5" s="9">
        <f t="shared" ref="L5:L10" si="4">+I5-K5</f>
        <v>11</v>
      </c>
      <c r="M5" s="79">
        <v>10</v>
      </c>
      <c r="N5" s="23">
        <f t="shared" ref="N5:N10" si="5">+K5-M5</f>
        <v>1572</v>
      </c>
      <c r="O5" s="65">
        <f>+N5/B4</f>
        <v>1.9873577749683944</v>
      </c>
      <c r="P5" s="19">
        <f>+L5+M5</f>
        <v>21</v>
      </c>
      <c r="Q5" s="82">
        <v>10</v>
      </c>
      <c r="R5" s="9">
        <f t="shared" si="1"/>
        <v>11</v>
      </c>
      <c r="S5" s="9">
        <f>+R5*G5</f>
        <v>0.55000000000000004</v>
      </c>
      <c r="T5" s="9">
        <f t="shared" si="3"/>
        <v>44</v>
      </c>
      <c r="U5" s="12">
        <f t="shared" ref="U5:U9" si="6">+R5/I5</f>
        <v>6.9052102950408036E-3</v>
      </c>
      <c r="W5" s="102">
        <f t="shared" ref="W5:W35" si="7">+I5*G5</f>
        <v>79.650000000000006</v>
      </c>
      <c r="X5" s="103">
        <f t="shared" ref="X5:X35" si="8">+K5*G5</f>
        <v>79.100000000000009</v>
      </c>
      <c r="Y5" s="103">
        <f t="shared" ref="Y5:Y35" si="9">+L5*G5</f>
        <v>0.55000000000000004</v>
      </c>
      <c r="Z5" s="103">
        <f t="shared" ref="Z5:Z35" si="10">+M5*G5</f>
        <v>0.5</v>
      </c>
      <c r="AA5" s="104">
        <f t="shared" ref="AA5:AA35" si="11">+R5*G5</f>
        <v>0.55000000000000004</v>
      </c>
    </row>
    <row r="6" spans="1:28" ht="20.25" customHeight="1" x14ac:dyDescent="0.35">
      <c r="A6" s="302"/>
      <c r="B6" s="304"/>
      <c r="C6" s="35" t="s">
        <v>122</v>
      </c>
      <c r="D6" s="10">
        <v>40</v>
      </c>
      <c r="E6" s="31" t="s">
        <v>17</v>
      </c>
      <c r="F6" s="49">
        <v>0.15</v>
      </c>
      <c r="G6" s="11">
        <v>1</v>
      </c>
      <c r="H6" s="72">
        <f>+F6*B4</f>
        <v>118.64999999999999</v>
      </c>
      <c r="I6" s="68">
        <v>121.5</v>
      </c>
      <c r="J6" s="13">
        <f t="shared" si="0"/>
        <v>2.8500000000000085</v>
      </c>
      <c r="K6" s="76">
        <v>118.7</v>
      </c>
      <c r="L6" s="9">
        <f t="shared" si="4"/>
        <v>2.7999999999999972</v>
      </c>
      <c r="M6" s="79">
        <v>6</v>
      </c>
      <c r="N6" s="33">
        <f t="shared" si="5"/>
        <v>112.7</v>
      </c>
      <c r="O6" s="42">
        <f>+N6/B4</f>
        <v>0.1424778761061947</v>
      </c>
      <c r="P6" s="19">
        <f>+L6+M6</f>
        <v>8.7999999999999972</v>
      </c>
      <c r="Q6" s="82">
        <v>5</v>
      </c>
      <c r="R6" s="9">
        <f t="shared" si="1"/>
        <v>3.7999999999999972</v>
      </c>
      <c r="S6" s="9">
        <f t="shared" si="2"/>
        <v>3.7999999999999972</v>
      </c>
      <c r="T6" s="9">
        <f t="shared" si="3"/>
        <v>151.99999999999989</v>
      </c>
      <c r="U6" s="12">
        <f t="shared" si="6"/>
        <v>3.1275720164609028E-2</v>
      </c>
      <c r="W6" s="102">
        <f t="shared" si="7"/>
        <v>121.5</v>
      </c>
      <c r="X6" s="103">
        <f t="shared" si="8"/>
        <v>118.7</v>
      </c>
      <c r="Y6" s="103">
        <f t="shared" si="9"/>
        <v>2.7999999999999972</v>
      </c>
      <c r="Z6" s="103">
        <f t="shared" si="10"/>
        <v>6</v>
      </c>
      <c r="AA6" s="104">
        <f t="shared" si="11"/>
        <v>3.7999999999999972</v>
      </c>
    </row>
    <row r="7" spans="1:28" ht="20.25" customHeight="1" x14ac:dyDescent="0.35">
      <c r="A7" s="302"/>
      <c r="B7" s="304"/>
      <c r="C7" s="35" t="s">
        <v>12</v>
      </c>
      <c r="D7" s="10">
        <v>45</v>
      </c>
      <c r="E7" s="31" t="s">
        <v>17</v>
      </c>
      <c r="F7" s="49">
        <v>0.1</v>
      </c>
      <c r="G7" s="11">
        <v>1</v>
      </c>
      <c r="H7" s="72">
        <f>+F7*B4</f>
        <v>79.100000000000009</v>
      </c>
      <c r="I7" s="68">
        <v>83</v>
      </c>
      <c r="J7" s="13">
        <f t="shared" si="0"/>
        <v>3.8999999999999915</v>
      </c>
      <c r="K7" s="76">
        <v>79.099999999999994</v>
      </c>
      <c r="L7" s="9">
        <f t="shared" si="4"/>
        <v>3.9000000000000057</v>
      </c>
      <c r="M7" s="79">
        <v>3</v>
      </c>
      <c r="N7" s="23">
        <f t="shared" si="5"/>
        <v>76.099999999999994</v>
      </c>
      <c r="O7" s="42">
        <f>+N7/B4</f>
        <v>9.6207332490518327E-2</v>
      </c>
      <c r="P7" s="19">
        <f t="shared" ref="P7:P10" si="12">+L7+M7</f>
        <v>6.9000000000000057</v>
      </c>
      <c r="Q7" s="82">
        <v>0</v>
      </c>
      <c r="R7" s="9">
        <f t="shared" si="1"/>
        <v>6.9000000000000057</v>
      </c>
      <c r="S7" s="9">
        <f t="shared" si="2"/>
        <v>6.9000000000000057</v>
      </c>
      <c r="T7" s="9">
        <f t="shared" si="3"/>
        <v>310.50000000000023</v>
      </c>
      <c r="U7" s="12">
        <f t="shared" si="6"/>
        <v>8.3132530120481996E-2</v>
      </c>
      <c r="W7" s="102">
        <f t="shared" si="7"/>
        <v>83</v>
      </c>
      <c r="X7" s="103">
        <f t="shared" si="8"/>
        <v>79.099999999999994</v>
      </c>
      <c r="Y7" s="103">
        <f t="shared" si="9"/>
        <v>3.9000000000000057</v>
      </c>
      <c r="Z7" s="103">
        <f t="shared" si="10"/>
        <v>3</v>
      </c>
      <c r="AA7" s="104">
        <f t="shared" si="11"/>
        <v>6.9000000000000057</v>
      </c>
    </row>
    <row r="8" spans="1:28" ht="20.25" customHeight="1" x14ac:dyDescent="0.35">
      <c r="A8" s="302"/>
      <c r="B8" s="304"/>
      <c r="C8" s="35" t="s">
        <v>13</v>
      </c>
      <c r="D8" s="10">
        <v>52</v>
      </c>
      <c r="E8" s="31" t="s">
        <v>17</v>
      </c>
      <c r="F8" s="49">
        <v>0.1</v>
      </c>
      <c r="G8" s="11">
        <v>1</v>
      </c>
      <c r="H8" s="72">
        <f>+F8*B4</f>
        <v>79.100000000000009</v>
      </c>
      <c r="I8" s="68">
        <v>81.5</v>
      </c>
      <c r="J8" s="13">
        <f t="shared" si="0"/>
        <v>2.3999999999999915</v>
      </c>
      <c r="K8" s="76">
        <v>79.099999999999994</v>
      </c>
      <c r="L8" s="9">
        <f>+I8-K8</f>
        <v>2.4000000000000057</v>
      </c>
      <c r="M8" s="79">
        <v>2.5</v>
      </c>
      <c r="N8" s="33">
        <f t="shared" si="5"/>
        <v>76.599999999999994</v>
      </c>
      <c r="O8" s="42">
        <f>+N8/B4</f>
        <v>9.6839443742098602E-2</v>
      </c>
      <c r="P8" s="19">
        <f t="shared" si="12"/>
        <v>4.9000000000000057</v>
      </c>
      <c r="Q8" s="82">
        <v>0</v>
      </c>
      <c r="R8" s="9">
        <f t="shared" si="1"/>
        <v>4.9000000000000057</v>
      </c>
      <c r="S8" s="9">
        <f t="shared" si="2"/>
        <v>4.9000000000000057</v>
      </c>
      <c r="T8" s="9">
        <f t="shared" si="3"/>
        <v>254.8000000000003</v>
      </c>
      <c r="U8" s="12">
        <f t="shared" si="6"/>
        <v>6.0122699386503137E-2</v>
      </c>
      <c r="W8" s="102">
        <f t="shared" si="7"/>
        <v>81.5</v>
      </c>
      <c r="X8" s="103">
        <f t="shared" si="8"/>
        <v>79.099999999999994</v>
      </c>
      <c r="Y8" s="103">
        <f t="shared" si="9"/>
        <v>2.4000000000000057</v>
      </c>
      <c r="Z8" s="103">
        <f t="shared" si="10"/>
        <v>2.5</v>
      </c>
      <c r="AA8" s="104">
        <f t="shared" si="11"/>
        <v>4.9000000000000057</v>
      </c>
    </row>
    <row r="9" spans="1:28" ht="20.25" customHeight="1" x14ac:dyDescent="0.35">
      <c r="A9" s="302"/>
      <c r="B9" s="304"/>
      <c r="C9" s="35" t="s">
        <v>123</v>
      </c>
      <c r="D9" s="10">
        <v>90</v>
      </c>
      <c r="E9" s="31" t="s">
        <v>17</v>
      </c>
      <c r="F9" s="49">
        <v>0.03</v>
      </c>
      <c r="G9" s="11">
        <v>1</v>
      </c>
      <c r="H9" s="73">
        <f>+F9*B4</f>
        <v>23.73</v>
      </c>
      <c r="I9" s="68">
        <v>25</v>
      </c>
      <c r="J9" s="13">
        <f t="shared" si="0"/>
        <v>1.2699999999999996</v>
      </c>
      <c r="K9" s="76">
        <v>23.7</v>
      </c>
      <c r="L9" s="54">
        <f>+I9-K9</f>
        <v>1.3000000000000007</v>
      </c>
      <c r="M9" s="79">
        <v>1.5</v>
      </c>
      <c r="N9" s="23">
        <f t="shared" si="5"/>
        <v>22.2</v>
      </c>
      <c r="O9" s="42">
        <f>+N9/B4</f>
        <v>2.8065739570164349E-2</v>
      </c>
      <c r="P9" s="19">
        <f t="shared" si="12"/>
        <v>2.8000000000000007</v>
      </c>
      <c r="Q9" s="82">
        <v>2.5</v>
      </c>
      <c r="R9" s="9">
        <f t="shared" si="1"/>
        <v>0.30000000000000071</v>
      </c>
      <c r="S9" s="9">
        <f t="shared" si="2"/>
        <v>0.30000000000000071</v>
      </c>
      <c r="T9" s="9">
        <f t="shared" si="3"/>
        <v>27.000000000000064</v>
      </c>
      <c r="U9" s="12">
        <f t="shared" si="6"/>
        <v>1.2000000000000028E-2</v>
      </c>
      <c r="W9" s="102">
        <f t="shared" si="7"/>
        <v>25</v>
      </c>
      <c r="X9" s="103">
        <f t="shared" si="8"/>
        <v>23.7</v>
      </c>
      <c r="Y9" s="103">
        <f t="shared" si="9"/>
        <v>1.3000000000000007</v>
      </c>
      <c r="Z9" s="103">
        <f t="shared" si="10"/>
        <v>1.5</v>
      </c>
      <c r="AA9" s="104">
        <f t="shared" si="11"/>
        <v>0.30000000000000071</v>
      </c>
    </row>
    <row r="10" spans="1:28" ht="20.25" customHeight="1" x14ac:dyDescent="0.35">
      <c r="A10" s="302"/>
      <c r="B10" s="304"/>
      <c r="C10" s="35" t="s">
        <v>14</v>
      </c>
      <c r="D10" s="10">
        <v>60</v>
      </c>
      <c r="E10" s="31" t="s">
        <v>18</v>
      </c>
      <c r="F10" s="49">
        <v>0.1</v>
      </c>
      <c r="G10" s="11">
        <v>1</v>
      </c>
      <c r="H10" s="72">
        <f>+F10*B4</f>
        <v>79.100000000000009</v>
      </c>
      <c r="I10" s="68">
        <v>82.5</v>
      </c>
      <c r="J10" s="13">
        <f t="shared" si="0"/>
        <v>3.3999999999999915</v>
      </c>
      <c r="K10" s="76">
        <v>79.099999999999994</v>
      </c>
      <c r="L10" s="9">
        <f t="shared" si="4"/>
        <v>3.4000000000000057</v>
      </c>
      <c r="M10" s="79">
        <v>4</v>
      </c>
      <c r="N10" s="33">
        <f t="shared" si="5"/>
        <v>75.099999999999994</v>
      </c>
      <c r="O10" s="42">
        <f>+N10/B4</f>
        <v>9.4943109987357763E-2</v>
      </c>
      <c r="P10" s="19">
        <f t="shared" si="12"/>
        <v>7.4000000000000057</v>
      </c>
      <c r="Q10" s="82">
        <v>0</v>
      </c>
      <c r="R10" s="9">
        <f t="shared" si="1"/>
        <v>7.4000000000000057</v>
      </c>
      <c r="S10" s="9">
        <f t="shared" si="2"/>
        <v>7.4000000000000057</v>
      </c>
      <c r="T10" s="9">
        <f t="shared" si="3"/>
        <v>444.00000000000034</v>
      </c>
      <c r="U10" s="12">
        <f>+R10/I10</f>
        <v>8.9696969696969761E-2</v>
      </c>
      <c r="W10" s="115">
        <f t="shared" si="7"/>
        <v>82.5</v>
      </c>
      <c r="X10" s="116">
        <f t="shared" si="8"/>
        <v>79.099999999999994</v>
      </c>
      <c r="Y10" s="116">
        <f t="shared" si="9"/>
        <v>3.4000000000000057</v>
      </c>
      <c r="Z10" s="116">
        <f t="shared" si="10"/>
        <v>4</v>
      </c>
      <c r="AA10" s="117">
        <f t="shared" si="11"/>
        <v>7.4000000000000057</v>
      </c>
    </row>
    <row r="11" spans="1:28" ht="20.25" customHeight="1" thickBot="1" x14ac:dyDescent="0.4">
      <c r="A11" s="27"/>
      <c r="B11" s="51"/>
      <c r="C11" s="50"/>
      <c r="D11" s="15"/>
      <c r="E11" s="15"/>
      <c r="F11" s="15"/>
      <c r="G11" s="15"/>
      <c r="H11" s="74"/>
      <c r="I11" s="69"/>
      <c r="J11" s="16"/>
      <c r="K11" s="77"/>
      <c r="L11" s="15"/>
      <c r="M11" s="80"/>
      <c r="N11" s="14"/>
      <c r="O11" s="16"/>
      <c r="P11" s="20"/>
      <c r="Q11" s="83"/>
      <c r="R11" s="15"/>
      <c r="S11" s="84">
        <f>SUM(S4:S10)</f>
        <v>24.500000000000014</v>
      </c>
      <c r="T11" s="56">
        <f>SUM(T4:T10)</f>
        <v>1258.3000000000009</v>
      </c>
      <c r="U11" s="16"/>
      <c r="W11" s="118">
        <f>SUM(W4:W10)</f>
        <v>552.9</v>
      </c>
      <c r="X11" s="109">
        <f t="shared" ref="X11:AA11" si="13">SUM(X4:X10)</f>
        <v>537.9</v>
      </c>
      <c r="Y11" s="109">
        <f t="shared" si="13"/>
        <v>15.000000000000014</v>
      </c>
      <c r="Z11" s="110">
        <f t="shared" si="13"/>
        <v>18.75</v>
      </c>
      <c r="AA11" s="114">
        <f t="shared" si="13"/>
        <v>24.500000000000014</v>
      </c>
      <c r="AB11" s="94"/>
    </row>
    <row r="12" spans="1:28" ht="20.25" customHeight="1" x14ac:dyDescent="0.35">
      <c r="A12" s="292" t="s">
        <v>38</v>
      </c>
      <c r="B12" s="295">
        <v>738</v>
      </c>
      <c r="C12" s="34" t="s">
        <v>31</v>
      </c>
      <c r="D12" s="4">
        <v>20</v>
      </c>
      <c r="E12" s="30" t="s">
        <v>17</v>
      </c>
      <c r="F12" s="52">
        <v>0.4</v>
      </c>
      <c r="G12" s="5">
        <v>1</v>
      </c>
      <c r="H12" s="71">
        <f>+F12*B12</f>
        <v>295.2</v>
      </c>
      <c r="I12" s="67">
        <v>315</v>
      </c>
      <c r="J12" s="22">
        <f t="shared" ref="J12:J20" si="14">I12-H12</f>
        <v>19.800000000000011</v>
      </c>
      <c r="K12" s="75">
        <v>295.2</v>
      </c>
      <c r="L12" s="3">
        <f>+I12-K12</f>
        <v>19.800000000000011</v>
      </c>
      <c r="M12" s="78">
        <v>35</v>
      </c>
      <c r="N12" s="21">
        <f>+K12-M12</f>
        <v>260.2</v>
      </c>
      <c r="O12" s="41">
        <f>+N12/B12</f>
        <v>0.35257452574525744</v>
      </c>
      <c r="P12" s="18">
        <f>+L12+M12</f>
        <v>54.800000000000011</v>
      </c>
      <c r="Q12" s="81">
        <v>45</v>
      </c>
      <c r="R12" s="3">
        <f>+P12-Q12</f>
        <v>9.8000000000000114</v>
      </c>
      <c r="S12" s="3">
        <f>+R12*G12</f>
        <v>9.8000000000000114</v>
      </c>
      <c r="T12" s="3">
        <f t="shared" ref="T12:T20" si="15">+R12*D12</f>
        <v>196.00000000000023</v>
      </c>
      <c r="U12" s="6">
        <f>+R12/I12</f>
        <v>3.1111111111111148E-2</v>
      </c>
      <c r="W12" s="111">
        <f t="shared" si="7"/>
        <v>315</v>
      </c>
      <c r="X12" s="112">
        <f t="shared" si="8"/>
        <v>295.2</v>
      </c>
      <c r="Y12" s="112">
        <f t="shared" si="9"/>
        <v>19.800000000000011</v>
      </c>
      <c r="Z12" s="112">
        <f t="shared" si="10"/>
        <v>35</v>
      </c>
      <c r="AA12" s="113">
        <f t="shared" si="11"/>
        <v>9.8000000000000114</v>
      </c>
    </row>
    <row r="13" spans="1:28" ht="20.25" customHeight="1" x14ac:dyDescent="0.35">
      <c r="A13" s="293"/>
      <c r="B13" s="296"/>
      <c r="C13" s="35" t="s">
        <v>90</v>
      </c>
      <c r="D13" s="10">
        <v>65</v>
      </c>
      <c r="E13" s="31" t="s">
        <v>17</v>
      </c>
      <c r="F13" s="49">
        <v>0.08</v>
      </c>
      <c r="G13" s="11">
        <v>1</v>
      </c>
      <c r="H13" s="70">
        <f>+F13*B12</f>
        <v>59.04</v>
      </c>
      <c r="I13" s="68">
        <v>60.5</v>
      </c>
      <c r="J13" s="13">
        <f t="shared" si="14"/>
        <v>1.4600000000000009</v>
      </c>
      <c r="K13" s="76">
        <v>59</v>
      </c>
      <c r="L13" s="9">
        <f t="shared" ref="L13:L20" si="16">+I13-K13</f>
        <v>1.5</v>
      </c>
      <c r="M13" s="79">
        <v>2.8</v>
      </c>
      <c r="N13" s="23">
        <f>+K13-M13</f>
        <v>56.2</v>
      </c>
      <c r="O13" s="42">
        <f>+N13/B12</f>
        <v>7.6151761517615185E-2</v>
      </c>
      <c r="P13" s="19">
        <f>+L13+M13</f>
        <v>4.3</v>
      </c>
      <c r="Q13" s="82">
        <v>0</v>
      </c>
      <c r="R13" s="9">
        <f t="shared" ref="R13:R20" si="17">+P13-Q13</f>
        <v>4.3</v>
      </c>
      <c r="S13" s="9">
        <f>+R13*G13</f>
        <v>4.3</v>
      </c>
      <c r="T13" s="9">
        <f t="shared" si="15"/>
        <v>279.5</v>
      </c>
      <c r="U13" s="12">
        <f t="shared" ref="U13:U20" si="18">+R13/I13</f>
        <v>7.1074380165289247E-2</v>
      </c>
      <c r="W13" s="102">
        <f t="shared" si="7"/>
        <v>60.5</v>
      </c>
      <c r="X13" s="103">
        <f t="shared" si="8"/>
        <v>59</v>
      </c>
      <c r="Y13" s="103">
        <f t="shared" si="9"/>
        <v>1.5</v>
      </c>
      <c r="Z13" s="103">
        <f>+M13*G13</f>
        <v>2.8</v>
      </c>
      <c r="AA13" s="104">
        <f t="shared" si="11"/>
        <v>4.3</v>
      </c>
    </row>
    <row r="14" spans="1:28" ht="20.25" customHeight="1" x14ac:dyDescent="0.35">
      <c r="A14" s="293"/>
      <c r="B14" s="296"/>
      <c r="C14" s="35" t="s">
        <v>158</v>
      </c>
      <c r="D14" s="10">
        <v>130</v>
      </c>
      <c r="E14" s="31" t="s">
        <v>17</v>
      </c>
      <c r="F14" s="49">
        <v>0.08</v>
      </c>
      <c r="G14" s="11">
        <v>1</v>
      </c>
      <c r="H14" s="72">
        <f>+F14*B12</f>
        <v>59.04</v>
      </c>
      <c r="I14" s="68">
        <v>61</v>
      </c>
      <c r="J14" s="13">
        <f t="shared" si="14"/>
        <v>1.9600000000000009</v>
      </c>
      <c r="K14" s="76">
        <v>59</v>
      </c>
      <c r="L14" s="9">
        <f t="shared" si="16"/>
        <v>2</v>
      </c>
      <c r="M14" s="79">
        <v>5</v>
      </c>
      <c r="N14" s="33">
        <f>+K14-M14</f>
        <v>54</v>
      </c>
      <c r="O14" s="42">
        <f>+N14/B12</f>
        <v>7.3170731707317069E-2</v>
      </c>
      <c r="P14" s="19">
        <f>+L14+M14</f>
        <v>7</v>
      </c>
      <c r="Q14" s="82">
        <v>0</v>
      </c>
      <c r="R14" s="9">
        <f t="shared" si="17"/>
        <v>7</v>
      </c>
      <c r="S14" s="9">
        <f t="shared" ref="S14:S20" si="19">+R14*G14</f>
        <v>7</v>
      </c>
      <c r="T14" s="9">
        <f t="shared" si="15"/>
        <v>910</v>
      </c>
      <c r="U14" s="12">
        <f t="shared" si="18"/>
        <v>0.11475409836065574</v>
      </c>
      <c r="W14" s="102">
        <f t="shared" si="7"/>
        <v>61</v>
      </c>
      <c r="X14" s="103">
        <f t="shared" si="8"/>
        <v>59</v>
      </c>
      <c r="Y14" s="103">
        <f t="shared" si="9"/>
        <v>2</v>
      </c>
      <c r="Z14" s="103">
        <f>+M14*G14</f>
        <v>5</v>
      </c>
      <c r="AA14" s="104">
        <f t="shared" si="11"/>
        <v>7</v>
      </c>
    </row>
    <row r="15" spans="1:28" ht="20.25" customHeight="1" x14ac:dyDescent="0.35">
      <c r="A15" s="293"/>
      <c r="B15" s="296"/>
      <c r="C15" s="35" t="s">
        <v>130</v>
      </c>
      <c r="D15" s="10">
        <v>55</v>
      </c>
      <c r="E15" s="31" t="s">
        <v>17</v>
      </c>
      <c r="F15" s="49">
        <v>0.08</v>
      </c>
      <c r="G15" s="11">
        <v>1</v>
      </c>
      <c r="H15" s="72">
        <f>+F15*B12</f>
        <v>59.04</v>
      </c>
      <c r="I15" s="68">
        <v>60</v>
      </c>
      <c r="J15" s="13">
        <f t="shared" si="14"/>
        <v>0.96000000000000085</v>
      </c>
      <c r="K15" s="76">
        <v>59</v>
      </c>
      <c r="L15" s="9">
        <f t="shared" si="16"/>
        <v>1</v>
      </c>
      <c r="M15" s="79">
        <v>3.5</v>
      </c>
      <c r="N15" s="23">
        <f t="shared" ref="N15:N20" si="20">+K15-M15</f>
        <v>55.5</v>
      </c>
      <c r="O15" s="42">
        <f>+N15/B12</f>
        <v>7.5203252032520332E-2</v>
      </c>
      <c r="P15" s="19">
        <f t="shared" ref="P15:P20" si="21">+L15+M15</f>
        <v>4.5</v>
      </c>
      <c r="Q15" s="82">
        <v>0</v>
      </c>
      <c r="R15" s="9">
        <f t="shared" si="17"/>
        <v>4.5</v>
      </c>
      <c r="S15" s="9">
        <f t="shared" si="19"/>
        <v>4.5</v>
      </c>
      <c r="T15" s="9">
        <f t="shared" si="15"/>
        <v>247.5</v>
      </c>
      <c r="U15" s="12">
        <f t="shared" si="18"/>
        <v>7.4999999999999997E-2</v>
      </c>
      <c r="W15" s="102">
        <f t="shared" si="7"/>
        <v>60</v>
      </c>
      <c r="X15" s="103">
        <f t="shared" si="8"/>
        <v>59</v>
      </c>
      <c r="Y15" s="103">
        <f t="shared" si="9"/>
        <v>1</v>
      </c>
      <c r="Z15" s="103">
        <f t="shared" si="10"/>
        <v>3.5</v>
      </c>
      <c r="AA15" s="104">
        <f t="shared" si="11"/>
        <v>4.5</v>
      </c>
    </row>
    <row r="16" spans="1:28" ht="20.25" customHeight="1" x14ac:dyDescent="0.35">
      <c r="A16" s="293"/>
      <c r="B16" s="296"/>
      <c r="C16" s="35" t="s">
        <v>32</v>
      </c>
      <c r="D16" s="10">
        <v>48</v>
      </c>
      <c r="E16" s="31" t="s">
        <v>18</v>
      </c>
      <c r="F16" s="49">
        <v>0.06</v>
      </c>
      <c r="G16" s="11">
        <v>1</v>
      </c>
      <c r="H16" s="72">
        <f>+F16*B12</f>
        <v>44.28</v>
      </c>
      <c r="I16" s="68">
        <v>45</v>
      </c>
      <c r="J16" s="13">
        <f t="shared" si="14"/>
        <v>0.71999999999999886</v>
      </c>
      <c r="K16" s="76">
        <v>44.3</v>
      </c>
      <c r="L16" s="9">
        <f t="shared" si="16"/>
        <v>0.70000000000000284</v>
      </c>
      <c r="M16" s="79">
        <v>4</v>
      </c>
      <c r="N16" s="33">
        <f t="shared" si="20"/>
        <v>40.299999999999997</v>
      </c>
      <c r="O16" s="42">
        <f>+N16/B12</f>
        <v>5.4607046070460699E-2</v>
      </c>
      <c r="P16" s="19">
        <f t="shared" si="21"/>
        <v>4.7000000000000028</v>
      </c>
      <c r="Q16" s="82">
        <v>0</v>
      </c>
      <c r="R16" s="9">
        <f t="shared" si="17"/>
        <v>4.7000000000000028</v>
      </c>
      <c r="S16" s="9">
        <f t="shared" si="19"/>
        <v>4.7000000000000028</v>
      </c>
      <c r="T16" s="9">
        <f t="shared" si="15"/>
        <v>225.60000000000014</v>
      </c>
      <c r="U16" s="12">
        <f t="shared" si="18"/>
        <v>0.10444444444444451</v>
      </c>
      <c r="W16" s="102">
        <f t="shared" si="7"/>
        <v>45</v>
      </c>
      <c r="X16" s="103">
        <f t="shared" si="8"/>
        <v>44.3</v>
      </c>
      <c r="Y16" s="103">
        <f t="shared" si="9"/>
        <v>0.70000000000000284</v>
      </c>
      <c r="Z16" s="103">
        <f t="shared" si="10"/>
        <v>4</v>
      </c>
      <c r="AA16" s="104">
        <f t="shared" si="11"/>
        <v>4.7000000000000028</v>
      </c>
    </row>
    <row r="17" spans="1:28" ht="20.25" customHeight="1" x14ac:dyDescent="0.35">
      <c r="A17" s="293"/>
      <c r="B17" s="296"/>
      <c r="C17" s="35" t="s">
        <v>155</v>
      </c>
      <c r="D17" s="10">
        <v>35</v>
      </c>
      <c r="E17" s="31" t="s">
        <v>18</v>
      </c>
      <c r="F17" s="49">
        <v>0.06</v>
      </c>
      <c r="G17" s="11">
        <v>1</v>
      </c>
      <c r="H17" s="73">
        <f>+F17*B12</f>
        <v>44.28</v>
      </c>
      <c r="I17" s="68">
        <v>46.5</v>
      </c>
      <c r="J17" s="66">
        <f t="shared" si="14"/>
        <v>2.2199999999999989</v>
      </c>
      <c r="K17" s="76">
        <v>44.3</v>
      </c>
      <c r="L17" s="9">
        <f t="shared" si="16"/>
        <v>2.2000000000000028</v>
      </c>
      <c r="M17" s="79">
        <v>3</v>
      </c>
      <c r="N17" s="23">
        <f t="shared" si="20"/>
        <v>41.3</v>
      </c>
      <c r="O17" s="42">
        <f>+N17/B12</f>
        <v>5.5962059620596201E-2</v>
      </c>
      <c r="P17" s="19">
        <f t="shared" si="21"/>
        <v>5.2000000000000028</v>
      </c>
      <c r="Q17" s="82">
        <v>0</v>
      </c>
      <c r="R17" s="9">
        <f t="shared" si="17"/>
        <v>5.2000000000000028</v>
      </c>
      <c r="S17" s="9">
        <f t="shared" si="19"/>
        <v>5.2000000000000028</v>
      </c>
      <c r="T17" s="9">
        <f t="shared" si="15"/>
        <v>182.00000000000011</v>
      </c>
      <c r="U17" s="12">
        <f t="shared" si="18"/>
        <v>0.11182795698924737</v>
      </c>
      <c r="W17" s="102">
        <f t="shared" si="7"/>
        <v>46.5</v>
      </c>
      <c r="X17" s="103">
        <f t="shared" si="8"/>
        <v>44.3</v>
      </c>
      <c r="Y17" s="103">
        <f t="shared" si="9"/>
        <v>2.2000000000000028</v>
      </c>
      <c r="Z17" s="103">
        <f t="shared" si="10"/>
        <v>3</v>
      </c>
      <c r="AA17" s="104">
        <f t="shared" si="11"/>
        <v>5.2000000000000028</v>
      </c>
    </row>
    <row r="18" spans="1:28" ht="20.25" customHeight="1" x14ac:dyDescent="0.35">
      <c r="A18" s="293"/>
      <c r="B18" s="296"/>
      <c r="C18" s="35" t="s">
        <v>33</v>
      </c>
      <c r="D18" s="10">
        <v>50</v>
      </c>
      <c r="E18" s="31" t="s">
        <v>17</v>
      </c>
      <c r="F18" s="49">
        <v>0.03</v>
      </c>
      <c r="G18" s="11">
        <v>1</v>
      </c>
      <c r="H18" s="72">
        <f>+F18*B12</f>
        <v>22.14</v>
      </c>
      <c r="I18" s="68">
        <v>23.5</v>
      </c>
      <c r="J18" s="13">
        <f t="shared" si="14"/>
        <v>1.3599999999999994</v>
      </c>
      <c r="K18" s="76">
        <v>22.1</v>
      </c>
      <c r="L18" s="9">
        <f t="shared" si="16"/>
        <v>1.3999999999999986</v>
      </c>
      <c r="M18" s="79">
        <v>1.5</v>
      </c>
      <c r="N18" s="23">
        <f t="shared" si="20"/>
        <v>20.6</v>
      </c>
      <c r="O18" s="42">
        <f>+N18/B12</f>
        <v>2.7913279132791329E-2</v>
      </c>
      <c r="P18" s="19">
        <f t="shared" si="21"/>
        <v>2.8999999999999986</v>
      </c>
      <c r="Q18" s="82">
        <v>0</v>
      </c>
      <c r="R18" s="9">
        <f t="shared" si="17"/>
        <v>2.8999999999999986</v>
      </c>
      <c r="S18" s="9">
        <f t="shared" si="19"/>
        <v>2.8999999999999986</v>
      </c>
      <c r="T18" s="9">
        <f t="shared" si="15"/>
        <v>144.99999999999994</v>
      </c>
      <c r="U18" s="12">
        <f t="shared" si="18"/>
        <v>0.12340425531914888</v>
      </c>
      <c r="W18" s="102">
        <f t="shared" si="7"/>
        <v>23.5</v>
      </c>
      <c r="X18" s="103">
        <f t="shared" si="8"/>
        <v>22.1</v>
      </c>
      <c r="Y18" s="103">
        <f t="shared" si="9"/>
        <v>1.3999999999999986</v>
      </c>
      <c r="Z18" s="103">
        <f t="shared" si="10"/>
        <v>1.5</v>
      </c>
      <c r="AA18" s="104">
        <f t="shared" si="11"/>
        <v>2.8999999999999986</v>
      </c>
    </row>
    <row r="19" spans="1:28" ht="20.25" customHeight="1" x14ac:dyDescent="0.35">
      <c r="A19" s="293"/>
      <c r="B19" s="296"/>
      <c r="C19" s="35" t="s">
        <v>34</v>
      </c>
      <c r="D19" s="31">
        <v>70</v>
      </c>
      <c r="E19" s="31" t="s">
        <v>17</v>
      </c>
      <c r="F19" s="11">
        <v>0.1</v>
      </c>
      <c r="G19" s="11">
        <v>1</v>
      </c>
      <c r="H19" s="72">
        <f>+F19*B12</f>
        <v>73.8</v>
      </c>
      <c r="I19" s="68">
        <v>73.8</v>
      </c>
      <c r="J19" s="13">
        <f t="shared" si="14"/>
        <v>0</v>
      </c>
      <c r="K19" s="76">
        <v>73.8</v>
      </c>
      <c r="L19" s="9">
        <f t="shared" si="16"/>
        <v>0</v>
      </c>
      <c r="M19" s="79">
        <v>0</v>
      </c>
      <c r="N19" s="23">
        <f t="shared" si="20"/>
        <v>73.8</v>
      </c>
      <c r="O19" s="42">
        <f>+N19/B12</f>
        <v>9.9999999999999992E-2</v>
      </c>
      <c r="P19" s="19">
        <f t="shared" si="21"/>
        <v>0</v>
      </c>
      <c r="Q19" s="82">
        <v>0</v>
      </c>
      <c r="R19" s="9">
        <f t="shared" si="17"/>
        <v>0</v>
      </c>
      <c r="S19" s="9">
        <f t="shared" si="19"/>
        <v>0</v>
      </c>
      <c r="T19" s="9">
        <f t="shared" si="15"/>
        <v>0</v>
      </c>
      <c r="U19" s="12">
        <f t="shared" si="18"/>
        <v>0</v>
      </c>
      <c r="W19" s="102">
        <f t="shared" si="7"/>
        <v>73.8</v>
      </c>
      <c r="X19" s="103">
        <f t="shared" si="8"/>
        <v>73.8</v>
      </c>
      <c r="Y19" s="103">
        <f t="shared" si="9"/>
        <v>0</v>
      </c>
      <c r="Z19" s="103">
        <f t="shared" si="10"/>
        <v>0</v>
      </c>
      <c r="AA19" s="104">
        <f t="shared" si="11"/>
        <v>0</v>
      </c>
    </row>
    <row r="20" spans="1:28" ht="20.25" customHeight="1" x14ac:dyDescent="0.35">
      <c r="A20" s="294"/>
      <c r="B20" s="297"/>
      <c r="C20" s="40" t="s">
        <v>35</v>
      </c>
      <c r="D20" s="44">
        <v>2</v>
      </c>
      <c r="E20" s="44" t="s">
        <v>16</v>
      </c>
      <c r="F20" s="53">
        <v>2</v>
      </c>
      <c r="G20" s="45">
        <v>0.04</v>
      </c>
      <c r="H20" s="72">
        <f>+F20*B12</f>
        <v>1476</v>
      </c>
      <c r="I20" s="68">
        <v>1496</v>
      </c>
      <c r="J20" s="13">
        <f t="shared" si="14"/>
        <v>20</v>
      </c>
      <c r="K20" s="76">
        <v>1476</v>
      </c>
      <c r="L20" s="9">
        <f t="shared" si="16"/>
        <v>20</v>
      </c>
      <c r="M20" s="79">
        <v>25</v>
      </c>
      <c r="N20" s="33">
        <f t="shared" si="20"/>
        <v>1451</v>
      </c>
      <c r="O20" s="42">
        <f>+N20/B12</f>
        <v>1.9661246612466126</v>
      </c>
      <c r="P20" s="19">
        <f t="shared" si="21"/>
        <v>45</v>
      </c>
      <c r="Q20" s="82">
        <v>30</v>
      </c>
      <c r="R20" s="9">
        <f t="shared" si="17"/>
        <v>15</v>
      </c>
      <c r="S20" s="9">
        <f t="shared" si="19"/>
        <v>0.6</v>
      </c>
      <c r="T20" s="9">
        <f t="shared" si="15"/>
        <v>30</v>
      </c>
      <c r="U20" s="12">
        <f t="shared" si="18"/>
        <v>1.0026737967914439E-2</v>
      </c>
      <c r="W20" s="115">
        <f t="shared" si="7"/>
        <v>59.84</v>
      </c>
      <c r="X20" s="116">
        <f t="shared" si="8"/>
        <v>59.04</v>
      </c>
      <c r="Y20" s="116">
        <f t="shared" si="9"/>
        <v>0.8</v>
      </c>
      <c r="Z20" s="116">
        <f t="shared" si="10"/>
        <v>1</v>
      </c>
      <c r="AA20" s="117">
        <f t="shared" si="11"/>
        <v>0.6</v>
      </c>
    </row>
    <row r="21" spans="1:28" ht="20.25" customHeight="1" thickBot="1" x14ac:dyDescent="0.4">
      <c r="A21" s="27"/>
      <c r="B21" s="28"/>
      <c r="C21" s="29"/>
      <c r="D21" s="15"/>
      <c r="E21" s="15"/>
      <c r="F21" s="15"/>
      <c r="G21" s="15"/>
      <c r="H21" s="74"/>
      <c r="I21" s="69"/>
      <c r="J21" s="16"/>
      <c r="K21" s="77"/>
      <c r="L21" s="15"/>
      <c r="M21" s="80"/>
      <c r="N21" s="14"/>
      <c r="O21" s="16"/>
      <c r="P21" s="20"/>
      <c r="Q21" s="83"/>
      <c r="R21" s="15"/>
      <c r="S21" s="56">
        <f>SUM(S12:S20)</f>
        <v>39.000000000000014</v>
      </c>
      <c r="T21" s="56">
        <f>SUM(T12:T20)</f>
        <v>2215.6000000000004</v>
      </c>
      <c r="U21" s="16"/>
      <c r="W21" s="118">
        <f>SUM(W12:W20)</f>
        <v>745.14</v>
      </c>
      <c r="X21" s="110">
        <f t="shared" ref="X21:AA21" si="22">SUM(X12:X20)</f>
        <v>715.7399999999999</v>
      </c>
      <c r="Y21" s="114">
        <f t="shared" si="22"/>
        <v>29.400000000000016</v>
      </c>
      <c r="Z21" s="109">
        <f t="shared" si="22"/>
        <v>55.8</v>
      </c>
      <c r="AA21" s="109">
        <f t="shared" si="22"/>
        <v>39.000000000000014</v>
      </c>
      <c r="AB21" s="94"/>
    </row>
    <row r="22" spans="1:28" ht="20.25" customHeight="1" x14ac:dyDescent="0.35">
      <c r="A22" s="292" t="s">
        <v>39</v>
      </c>
      <c r="B22" s="295">
        <v>1210</v>
      </c>
      <c r="C22" s="34" t="s">
        <v>93</v>
      </c>
      <c r="D22" s="4">
        <v>6.5</v>
      </c>
      <c r="E22" s="4" t="s">
        <v>58</v>
      </c>
      <c r="F22" s="135">
        <v>2</v>
      </c>
      <c r="G22" s="5">
        <v>0.04</v>
      </c>
      <c r="H22" s="71">
        <f>+F22*B22</f>
        <v>2420</v>
      </c>
      <c r="I22" s="67">
        <v>2440</v>
      </c>
      <c r="J22" s="22">
        <f>I22-H22</f>
        <v>20</v>
      </c>
      <c r="K22" s="75">
        <v>2420</v>
      </c>
      <c r="L22" s="3">
        <f>+I22-K22</f>
        <v>20</v>
      </c>
      <c r="M22" s="78">
        <v>5</v>
      </c>
      <c r="N22" s="21">
        <f>+K22-M22</f>
        <v>2415</v>
      </c>
      <c r="O22" s="41">
        <f>+N22/B22</f>
        <v>1.9958677685950412</v>
      </c>
      <c r="P22" s="18">
        <f>+L22+M22</f>
        <v>25</v>
      </c>
      <c r="Q22" s="81">
        <v>20</v>
      </c>
      <c r="R22" s="3">
        <f>+P22-Q22</f>
        <v>5</v>
      </c>
      <c r="S22" s="3">
        <f>+R22*G22</f>
        <v>0.2</v>
      </c>
      <c r="T22" s="3">
        <f>+R22*D22</f>
        <v>32.5</v>
      </c>
      <c r="U22" s="6">
        <f>+R22/I22</f>
        <v>2.0491803278688526E-3</v>
      </c>
      <c r="W22" s="111">
        <f t="shared" si="7"/>
        <v>97.600000000000009</v>
      </c>
      <c r="X22" s="112">
        <f t="shared" si="8"/>
        <v>96.8</v>
      </c>
      <c r="Y22" s="112">
        <f t="shared" si="9"/>
        <v>0.8</v>
      </c>
      <c r="Z22" s="112">
        <f t="shared" si="10"/>
        <v>0.2</v>
      </c>
      <c r="AA22" s="113">
        <f t="shared" si="11"/>
        <v>0.2</v>
      </c>
    </row>
    <row r="23" spans="1:28" ht="20.25" customHeight="1" x14ac:dyDescent="0.35">
      <c r="A23" s="293"/>
      <c r="B23" s="296"/>
      <c r="C23" s="35" t="s">
        <v>94</v>
      </c>
      <c r="D23" s="10">
        <v>1</v>
      </c>
      <c r="E23" s="10" t="s">
        <v>61</v>
      </c>
      <c r="F23" s="49">
        <v>0.1</v>
      </c>
      <c r="G23" s="11">
        <v>0.01</v>
      </c>
      <c r="H23" s="70">
        <f>+F23*B22</f>
        <v>121</v>
      </c>
      <c r="I23" s="68">
        <v>121</v>
      </c>
      <c r="J23" s="13">
        <f>I23-H23</f>
        <v>0</v>
      </c>
      <c r="K23" s="76">
        <v>121</v>
      </c>
      <c r="L23" s="9">
        <f t="shared" ref="L23:L25" si="23">+I23-K23</f>
        <v>0</v>
      </c>
      <c r="M23" s="79">
        <v>0</v>
      </c>
      <c r="N23" s="23">
        <f t="shared" ref="N23:N25" si="24">+K23-M23</f>
        <v>121</v>
      </c>
      <c r="O23" s="42">
        <f>+N23/B22</f>
        <v>0.1</v>
      </c>
      <c r="P23" s="19">
        <f>+L23+M23</f>
        <v>0</v>
      </c>
      <c r="Q23" s="82">
        <v>0</v>
      </c>
      <c r="R23" s="9">
        <f t="shared" ref="R23:R25" si="25">+P23-Q23</f>
        <v>0</v>
      </c>
      <c r="S23" s="9">
        <f>+R23*G23</f>
        <v>0</v>
      </c>
      <c r="T23" s="9">
        <f>+R23*D23</f>
        <v>0</v>
      </c>
      <c r="U23" s="12">
        <f t="shared" ref="U23:U25" si="26">+R23/I23</f>
        <v>0</v>
      </c>
      <c r="W23" s="102">
        <f t="shared" si="7"/>
        <v>1.21</v>
      </c>
      <c r="X23" s="103">
        <f t="shared" si="8"/>
        <v>1.21</v>
      </c>
      <c r="Y23" s="103">
        <f t="shared" si="9"/>
        <v>0</v>
      </c>
      <c r="Z23" s="103">
        <f t="shared" si="10"/>
        <v>0</v>
      </c>
      <c r="AA23" s="104">
        <f t="shared" si="11"/>
        <v>0</v>
      </c>
    </row>
    <row r="24" spans="1:28" ht="20.25" customHeight="1" x14ac:dyDescent="0.35">
      <c r="A24" s="293"/>
      <c r="B24" s="296"/>
      <c r="C24" s="35" t="s">
        <v>159</v>
      </c>
      <c r="D24" s="10">
        <v>6</v>
      </c>
      <c r="E24" s="10" t="s">
        <v>16</v>
      </c>
      <c r="F24" s="126">
        <v>1</v>
      </c>
      <c r="G24" s="11">
        <v>0.05</v>
      </c>
      <c r="H24" s="72">
        <f>+F24*B22</f>
        <v>1210</v>
      </c>
      <c r="I24" s="68">
        <v>1210</v>
      </c>
      <c r="J24" s="13">
        <f>I24-H24</f>
        <v>0</v>
      </c>
      <c r="K24" s="76">
        <v>1210</v>
      </c>
      <c r="L24" s="9">
        <f t="shared" si="23"/>
        <v>0</v>
      </c>
      <c r="M24" s="79">
        <v>0</v>
      </c>
      <c r="N24" s="33">
        <f t="shared" si="24"/>
        <v>1210</v>
      </c>
      <c r="O24" s="42">
        <f>+N24/B22</f>
        <v>1</v>
      </c>
      <c r="P24" s="19">
        <f>+L24+M24</f>
        <v>0</v>
      </c>
      <c r="Q24" s="82"/>
      <c r="R24" s="9">
        <f t="shared" si="25"/>
        <v>0</v>
      </c>
      <c r="S24" s="9">
        <f>+R24*G24</f>
        <v>0</v>
      </c>
      <c r="T24" s="9">
        <f>+R24*D24</f>
        <v>0</v>
      </c>
      <c r="U24" s="12">
        <f t="shared" si="26"/>
        <v>0</v>
      </c>
      <c r="W24" s="102">
        <f t="shared" si="7"/>
        <v>60.5</v>
      </c>
      <c r="X24" s="103">
        <f t="shared" si="8"/>
        <v>60.5</v>
      </c>
      <c r="Y24" s="103">
        <f t="shared" si="9"/>
        <v>0</v>
      </c>
      <c r="Z24" s="103">
        <f t="shared" si="10"/>
        <v>0</v>
      </c>
      <c r="AA24" s="104">
        <f t="shared" si="11"/>
        <v>0</v>
      </c>
    </row>
    <row r="25" spans="1:28" ht="20.25" customHeight="1" x14ac:dyDescent="0.35">
      <c r="A25" s="293"/>
      <c r="B25" s="296"/>
      <c r="C25" s="35" t="s">
        <v>14</v>
      </c>
      <c r="D25" s="10">
        <v>60</v>
      </c>
      <c r="E25" s="10" t="s">
        <v>18</v>
      </c>
      <c r="F25" s="49">
        <v>0.1</v>
      </c>
      <c r="G25" s="11">
        <v>1</v>
      </c>
      <c r="H25" s="72">
        <f>+F25*B22</f>
        <v>121</v>
      </c>
      <c r="I25" s="68">
        <v>121</v>
      </c>
      <c r="J25" s="13">
        <f>I25-H25</f>
        <v>0</v>
      </c>
      <c r="K25" s="76">
        <v>121</v>
      </c>
      <c r="L25" s="9">
        <f t="shared" si="23"/>
        <v>0</v>
      </c>
      <c r="M25" s="79">
        <v>2</v>
      </c>
      <c r="N25" s="23">
        <f t="shared" si="24"/>
        <v>119</v>
      </c>
      <c r="O25" s="42">
        <f>+N25/B22</f>
        <v>9.8347107438016529E-2</v>
      </c>
      <c r="P25" s="19">
        <f t="shared" ref="P25" si="27">+L25+M25</f>
        <v>2</v>
      </c>
      <c r="Q25" s="82">
        <v>0</v>
      </c>
      <c r="R25" s="9">
        <f t="shared" si="25"/>
        <v>2</v>
      </c>
      <c r="S25" s="9">
        <f>+R25*G25</f>
        <v>2</v>
      </c>
      <c r="T25" s="9">
        <f>+R25*D25</f>
        <v>120</v>
      </c>
      <c r="U25" s="12">
        <f t="shared" si="26"/>
        <v>1.6528925619834711E-2</v>
      </c>
      <c r="W25" s="105">
        <f t="shared" si="7"/>
        <v>121</v>
      </c>
      <c r="X25" s="106">
        <f t="shared" si="8"/>
        <v>121</v>
      </c>
      <c r="Y25" s="106">
        <f t="shared" si="9"/>
        <v>0</v>
      </c>
      <c r="Z25" s="106">
        <f t="shared" si="10"/>
        <v>2</v>
      </c>
      <c r="AA25" s="107">
        <f t="shared" si="11"/>
        <v>2</v>
      </c>
    </row>
    <row r="26" spans="1:28" ht="21.75" customHeight="1" thickBot="1" x14ac:dyDescent="0.4">
      <c r="A26" s="27"/>
      <c r="B26" s="55"/>
      <c r="C26" s="29"/>
      <c r="D26" s="15"/>
      <c r="E26" s="15"/>
      <c r="F26" s="15"/>
      <c r="G26" s="15"/>
      <c r="H26" s="74"/>
      <c r="I26" s="69"/>
      <c r="J26" s="16"/>
      <c r="K26" s="77"/>
      <c r="L26" s="15"/>
      <c r="M26" s="80"/>
      <c r="N26" s="14"/>
      <c r="O26" s="16"/>
      <c r="P26" s="20"/>
      <c r="Q26" s="83"/>
      <c r="R26" s="15"/>
      <c r="S26" s="56">
        <f>SUM(S22:S25)</f>
        <v>2.2000000000000002</v>
      </c>
      <c r="T26" s="56">
        <f>SUM(T22:T25)</f>
        <v>152.5</v>
      </c>
      <c r="U26" s="16"/>
      <c r="W26" s="123">
        <f>SUM(W22:W25)</f>
        <v>280.31</v>
      </c>
      <c r="X26" s="124">
        <f t="shared" ref="X26:AA26" si="28">SUM(X22:X25)</f>
        <v>279.51</v>
      </c>
      <c r="Y26" s="124">
        <f t="shared" si="28"/>
        <v>0.8</v>
      </c>
      <c r="Z26" s="124">
        <f t="shared" si="28"/>
        <v>2.2000000000000002</v>
      </c>
      <c r="AA26" s="125">
        <f t="shared" si="28"/>
        <v>2.2000000000000002</v>
      </c>
    </row>
    <row r="27" spans="1:28" ht="20.25" customHeight="1" x14ac:dyDescent="0.35">
      <c r="A27" s="292" t="s">
        <v>40</v>
      </c>
      <c r="B27" s="295">
        <v>747</v>
      </c>
      <c r="C27" s="34" t="s">
        <v>31</v>
      </c>
      <c r="D27" s="4">
        <v>20</v>
      </c>
      <c r="E27" s="30" t="s">
        <v>17</v>
      </c>
      <c r="F27" s="52">
        <v>0.35</v>
      </c>
      <c r="G27" s="5">
        <v>1</v>
      </c>
      <c r="H27" s="71">
        <f>+F27*B27</f>
        <v>261.45</v>
      </c>
      <c r="I27" s="67">
        <v>268.5</v>
      </c>
      <c r="J27" s="22">
        <f t="shared" ref="J27:J35" si="29">I27-H27</f>
        <v>7.0500000000000114</v>
      </c>
      <c r="K27" s="75">
        <v>261.5</v>
      </c>
      <c r="L27" s="3">
        <f>+I27-K27</f>
        <v>7</v>
      </c>
      <c r="M27" s="78">
        <v>13</v>
      </c>
      <c r="N27" s="21">
        <f>+K27-M27</f>
        <v>248.5</v>
      </c>
      <c r="O27" s="41">
        <f>+N27/B27</f>
        <v>0.33266398929049529</v>
      </c>
      <c r="P27" s="18">
        <f>+L27+M27</f>
        <v>20</v>
      </c>
      <c r="Q27" s="81">
        <v>10</v>
      </c>
      <c r="R27" s="3">
        <f>+P27-Q27</f>
        <v>10</v>
      </c>
      <c r="S27" s="3">
        <f t="shared" ref="S27:S35" si="30">+R27*G27</f>
        <v>10</v>
      </c>
      <c r="T27" s="3">
        <f t="shared" ref="T27:T35" si="31">+R27*D27</f>
        <v>200</v>
      </c>
      <c r="U27" s="6">
        <f>+R27/I27</f>
        <v>3.7243947858473E-2</v>
      </c>
      <c r="W27" s="111">
        <f t="shared" si="7"/>
        <v>268.5</v>
      </c>
      <c r="X27" s="112">
        <f t="shared" si="8"/>
        <v>261.5</v>
      </c>
      <c r="Y27" s="112">
        <f t="shared" si="9"/>
        <v>7</v>
      </c>
      <c r="Z27" s="112">
        <f t="shared" si="10"/>
        <v>13</v>
      </c>
      <c r="AA27" s="113">
        <f t="shared" si="11"/>
        <v>10</v>
      </c>
    </row>
    <row r="28" spans="1:28" ht="20.25" customHeight="1" x14ac:dyDescent="0.35">
      <c r="A28" s="293"/>
      <c r="B28" s="296"/>
      <c r="C28" s="35" t="s">
        <v>160</v>
      </c>
      <c r="D28" s="10">
        <v>65</v>
      </c>
      <c r="E28" s="31" t="s">
        <v>17</v>
      </c>
      <c r="F28" s="49">
        <v>0.1</v>
      </c>
      <c r="G28" s="11">
        <v>1</v>
      </c>
      <c r="H28" s="70">
        <f>+F28*B27</f>
        <v>74.7</v>
      </c>
      <c r="I28" s="68">
        <v>76.5</v>
      </c>
      <c r="J28" s="13">
        <f t="shared" si="29"/>
        <v>1.7999999999999972</v>
      </c>
      <c r="K28" s="76">
        <v>74.7</v>
      </c>
      <c r="L28" s="9">
        <f t="shared" ref="L28:L35" si="32">+I28-K28</f>
        <v>1.7999999999999972</v>
      </c>
      <c r="M28" s="79">
        <v>3</v>
      </c>
      <c r="N28" s="23">
        <f t="shared" ref="N28:N35" si="33">+K28-M28</f>
        <v>71.7</v>
      </c>
      <c r="O28" s="42">
        <f>+N28/B27</f>
        <v>9.5983935742971885E-2</v>
      </c>
      <c r="P28" s="19">
        <f>+L28+M28</f>
        <v>4.7999999999999972</v>
      </c>
      <c r="Q28" s="82">
        <v>0</v>
      </c>
      <c r="R28" s="9">
        <f t="shared" ref="R28:R35" si="34">+P28-Q28</f>
        <v>4.7999999999999972</v>
      </c>
      <c r="S28" s="9">
        <f t="shared" si="30"/>
        <v>4.7999999999999972</v>
      </c>
      <c r="T28" s="9">
        <f t="shared" si="31"/>
        <v>311.99999999999983</v>
      </c>
      <c r="U28" s="12">
        <f t="shared" ref="U28:U35" si="35">+R28/I28</f>
        <v>6.2745098039215644E-2</v>
      </c>
      <c r="W28" s="102">
        <f t="shared" si="7"/>
        <v>76.5</v>
      </c>
      <c r="X28" s="103">
        <f t="shared" si="8"/>
        <v>74.7</v>
      </c>
      <c r="Y28" s="103">
        <f t="shared" si="9"/>
        <v>1.7999999999999972</v>
      </c>
      <c r="Z28" s="103">
        <f t="shared" si="10"/>
        <v>3</v>
      </c>
      <c r="AA28" s="104">
        <f t="shared" si="11"/>
        <v>4.7999999999999972</v>
      </c>
    </row>
    <row r="29" spans="1:28" ht="20.25" customHeight="1" x14ac:dyDescent="0.35">
      <c r="A29" s="293"/>
      <c r="B29" s="296"/>
      <c r="C29" s="35" t="s">
        <v>161</v>
      </c>
      <c r="D29" s="10">
        <v>90</v>
      </c>
      <c r="E29" s="31" t="s">
        <v>17</v>
      </c>
      <c r="F29" s="49">
        <v>0.08</v>
      </c>
      <c r="G29" s="11">
        <v>1</v>
      </c>
      <c r="H29" s="72">
        <f>+F29*B27</f>
        <v>59.76</v>
      </c>
      <c r="I29" s="68">
        <v>61.5</v>
      </c>
      <c r="J29" s="13">
        <f t="shared" si="29"/>
        <v>1.740000000000002</v>
      </c>
      <c r="K29" s="76">
        <v>59.8</v>
      </c>
      <c r="L29" s="9">
        <f t="shared" si="32"/>
        <v>1.7000000000000028</v>
      </c>
      <c r="M29" s="79">
        <v>1</v>
      </c>
      <c r="N29" s="33">
        <f t="shared" si="33"/>
        <v>58.8</v>
      </c>
      <c r="O29" s="42">
        <f>+N29/B27</f>
        <v>7.8714859437751E-2</v>
      </c>
      <c r="P29" s="19">
        <f>+L29+M29</f>
        <v>2.7000000000000028</v>
      </c>
      <c r="Q29" s="82">
        <v>0</v>
      </c>
      <c r="R29" s="9">
        <f t="shared" si="34"/>
        <v>2.7000000000000028</v>
      </c>
      <c r="S29" s="9">
        <f t="shared" si="30"/>
        <v>2.7000000000000028</v>
      </c>
      <c r="T29" s="9">
        <f t="shared" si="31"/>
        <v>243.00000000000026</v>
      </c>
      <c r="U29" s="12">
        <f t="shared" si="35"/>
        <v>4.390243902439029E-2</v>
      </c>
      <c r="W29" s="102">
        <f t="shared" si="7"/>
        <v>61.5</v>
      </c>
      <c r="X29" s="103">
        <f t="shared" si="8"/>
        <v>59.8</v>
      </c>
      <c r="Y29" s="103">
        <f t="shared" si="9"/>
        <v>1.7000000000000028</v>
      </c>
      <c r="Z29" s="103">
        <f t="shared" si="10"/>
        <v>1</v>
      </c>
      <c r="AA29" s="104">
        <f t="shared" si="11"/>
        <v>2.7000000000000028</v>
      </c>
    </row>
    <row r="30" spans="1:28" ht="20.25" customHeight="1" x14ac:dyDescent="0.35">
      <c r="A30" s="293"/>
      <c r="B30" s="296"/>
      <c r="C30" s="35" t="s">
        <v>146</v>
      </c>
      <c r="D30" s="10">
        <v>55</v>
      </c>
      <c r="E30" s="31" t="s">
        <v>17</v>
      </c>
      <c r="F30" s="49">
        <v>0.1</v>
      </c>
      <c r="G30" s="11">
        <v>1</v>
      </c>
      <c r="H30" s="72">
        <f>+F30*B27</f>
        <v>74.7</v>
      </c>
      <c r="I30" s="68">
        <v>78.5</v>
      </c>
      <c r="J30" s="13">
        <f t="shared" si="29"/>
        <v>3.7999999999999972</v>
      </c>
      <c r="K30" s="76">
        <v>74.7</v>
      </c>
      <c r="L30" s="9">
        <f t="shared" si="32"/>
        <v>3.7999999999999972</v>
      </c>
      <c r="M30" s="79">
        <v>2.5</v>
      </c>
      <c r="N30" s="23">
        <f t="shared" si="33"/>
        <v>72.2</v>
      </c>
      <c r="O30" s="42">
        <f>+N30/B27</f>
        <v>9.6653279785809912E-2</v>
      </c>
      <c r="P30" s="19">
        <f t="shared" ref="P30:P35" si="36">+L30+M30</f>
        <v>6.2999999999999972</v>
      </c>
      <c r="Q30" s="82">
        <v>0</v>
      </c>
      <c r="R30" s="9">
        <f t="shared" si="34"/>
        <v>6.2999999999999972</v>
      </c>
      <c r="S30" s="9">
        <f t="shared" si="30"/>
        <v>6.2999999999999972</v>
      </c>
      <c r="T30" s="9">
        <f t="shared" si="31"/>
        <v>346.49999999999983</v>
      </c>
      <c r="U30" s="12">
        <f t="shared" si="35"/>
        <v>8.0254777070063663E-2</v>
      </c>
      <c r="W30" s="102">
        <f t="shared" si="7"/>
        <v>78.5</v>
      </c>
      <c r="X30" s="103">
        <f t="shared" si="8"/>
        <v>74.7</v>
      </c>
      <c r="Y30" s="103">
        <f t="shared" si="9"/>
        <v>3.7999999999999972</v>
      </c>
      <c r="Z30" s="103">
        <f t="shared" si="10"/>
        <v>2.5</v>
      </c>
      <c r="AA30" s="104">
        <f t="shared" si="11"/>
        <v>6.2999999999999972</v>
      </c>
    </row>
    <row r="31" spans="1:28" ht="20.25" customHeight="1" x14ac:dyDescent="0.35">
      <c r="A31" s="293"/>
      <c r="B31" s="296"/>
      <c r="C31" s="35" t="s">
        <v>32</v>
      </c>
      <c r="D31" s="10">
        <v>48</v>
      </c>
      <c r="E31" s="31" t="s">
        <v>18</v>
      </c>
      <c r="F31" s="49">
        <v>0.08</v>
      </c>
      <c r="G31" s="11">
        <v>1</v>
      </c>
      <c r="H31" s="72">
        <f>+F31*B27</f>
        <v>59.76</v>
      </c>
      <c r="I31" s="68">
        <v>62.5</v>
      </c>
      <c r="J31" s="13">
        <f t="shared" si="29"/>
        <v>2.740000000000002</v>
      </c>
      <c r="K31" s="76">
        <v>59.8</v>
      </c>
      <c r="L31" s="9">
        <f t="shared" si="32"/>
        <v>2.7000000000000028</v>
      </c>
      <c r="M31" s="79">
        <v>3</v>
      </c>
      <c r="N31" s="33">
        <f t="shared" si="33"/>
        <v>56.8</v>
      </c>
      <c r="O31" s="42">
        <f>+N31/B27</f>
        <v>7.603748326639892E-2</v>
      </c>
      <c r="P31" s="19">
        <f t="shared" si="36"/>
        <v>5.7000000000000028</v>
      </c>
      <c r="Q31" s="82">
        <v>0</v>
      </c>
      <c r="R31" s="9">
        <f t="shared" si="34"/>
        <v>5.7000000000000028</v>
      </c>
      <c r="S31" s="9">
        <f t="shared" si="30"/>
        <v>5.7000000000000028</v>
      </c>
      <c r="T31" s="9">
        <f t="shared" si="31"/>
        <v>273.60000000000014</v>
      </c>
      <c r="U31" s="12">
        <f t="shared" si="35"/>
        <v>9.1200000000000045E-2</v>
      </c>
      <c r="W31" s="102">
        <f t="shared" si="7"/>
        <v>62.5</v>
      </c>
      <c r="X31" s="103">
        <f t="shared" si="8"/>
        <v>59.8</v>
      </c>
      <c r="Y31" s="103">
        <f t="shared" si="9"/>
        <v>2.7000000000000028</v>
      </c>
      <c r="Z31" s="103">
        <f t="shared" si="10"/>
        <v>3</v>
      </c>
      <c r="AA31" s="104">
        <f t="shared" si="11"/>
        <v>5.7000000000000028</v>
      </c>
    </row>
    <row r="32" spans="1:28" ht="20.25" customHeight="1" x14ac:dyDescent="0.35">
      <c r="A32" s="293"/>
      <c r="B32" s="296"/>
      <c r="C32" s="35" t="s">
        <v>54</v>
      </c>
      <c r="D32" s="10">
        <v>35</v>
      </c>
      <c r="E32" s="31" t="s">
        <v>18</v>
      </c>
      <c r="F32" s="49">
        <v>0.08</v>
      </c>
      <c r="G32" s="11">
        <v>1</v>
      </c>
      <c r="H32" s="73">
        <f>+F32*B27</f>
        <v>59.76</v>
      </c>
      <c r="I32" s="68">
        <v>62.5</v>
      </c>
      <c r="J32" s="13">
        <f t="shared" si="29"/>
        <v>2.740000000000002</v>
      </c>
      <c r="K32" s="76">
        <v>59.8</v>
      </c>
      <c r="L32" s="9">
        <f t="shared" si="32"/>
        <v>2.7000000000000028</v>
      </c>
      <c r="M32" s="79">
        <v>3</v>
      </c>
      <c r="N32" s="23">
        <f t="shared" si="33"/>
        <v>56.8</v>
      </c>
      <c r="O32" s="42">
        <f>+N32/B27</f>
        <v>7.603748326639892E-2</v>
      </c>
      <c r="P32" s="19">
        <f t="shared" si="36"/>
        <v>5.7000000000000028</v>
      </c>
      <c r="Q32" s="82">
        <v>0</v>
      </c>
      <c r="R32" s="9">
        <f t="shared" si="34"/>
        <v>5.7000000000000028</v>
      </c>
      <c r="S32" s="9">
        <f t="shared" si="30"/>
        <v>5.7000000000000028</v>
      </c>
      <c r="T32" s="9">
        <f t="shared" si="31"/>
        <v>199.50000000000011</v>
      </c>
      <c r="U32" s="12">
        <f t="shared" si="35"/>
        <v>9.1200000000000045E-2</v>
      </c>
      <c r="W32" s="102">
        <f t="shared" si="7"/>
        <v>62.5</v>
      </c>
      <c r="X32" s="103">
        <f t="shared" si="8"/>
        <v>59.8</v>
      </c>
      <c r="Y32" s="103">
        <f t="shared" si="9"/>
        <v>2.7000000000000028</v>
      </c>
      <c r="Z32" s="103">
        <f t="shared" si="10"/>
        <v>3</v>
      </c>
      <c r="AA32" s="104">
        <f t="shared" si="11"/>
        <v>5.7000000000000028</v>
      </c>
    </row>
    <row r="33" spans="1:28" ht="20.25" customHeight="1" x14ac:dyDescent="0.35">
      <c r="A33" s="293"/>
      <c r="B33" s="296"/>
      <c r="C33" s="35" t="s">
        <v>33</v>
      </c>
      <c r="D33" s="10">
        <v>50</v>
      </c>
      <c r="E33" s="31" t="s">
        <v>17</v>
      </c>
      <c r="F33" s="49">
        <v>0.03</v>
      </c>
      <c r="G33" s="11">
        <v>1</v>
      </c>
      <c r="H33" s="72">
        <f>+F33*B27</f>
        <v>22.41</v>
      </c>
      <c r="I33" s="68">
        <v>23.5</v>
      </c>
      <c r="J33" s="13">
        <f t="shared" si="29"/>
        <v>1.0899999999999999</v>
      </c>
      <c r="K33" s="76">
        <v>22.4</v>
      </c>
      <c r="L33" s="9">
        <f t="shared" si="32"/>
        <v>1.1000000000000014</v>
      </c>
      <c r="M33" s="79">
        <v>1</v>
      </c>
      <c r="N33" s="23">
        <f t="shared" si="33"/>
        <v>21.4</v>
      </c>
      <c r="O33" s="42">
        <f>+N33/B27</f>
        <v>2.8647925033467199E-2</v>
      </c>
      <c r="P33" s="19">
        <f t="shared" si="36"/>
        <v>2.1000000000000014</v>
      </c>
      <c r="Q33" s="82">
        <v>0</v>
      </c>
      <c r="R33" s="9">
        <f t="shared" si="34"/>
        <v>2.1000000000000014</v>
      </c>
      <c r="S33" s="9">
        <f t="shared" si="30"/>
        <v>2.1000000000000014</v>
      </c>
      <c r="T33" s="9">
        <f t="shared" si="31"/>
        <v>105.00000000000007</v>
      </c>
      <c r="U33" s="12">
        <f t="shared" si="35"/>
        <v>8.9361702127659634E-2</v>
      </c>
      <c r="W33" s="102">
        <f t="shared" si="7"/>
        <v>23.5</v>
      </c>
      <c r="X33" s="103">
        <f t="shared" si="8"/>
        <v>22.4</v>
      </c>
      <c r="Y33" s="103">
        <f t="shared" si="9"/>
        <v>1.1000000000000014</v>
      </c>
      <c r="Z33" s="103">
        <f t="shared" si="10"/>
        <v>1</v>
      </c>
      <c r="AA33" s="104">
        <f t="shared" si="11"/>
        <v>2.1000000000000014</v>
      </c>
    </row>
    <row r="34" spans="1:28" ht="20.25" customHeight="1" x14ac:dyDescent="0.35">
      <c r="A34" s="293"/>
      <c r="B34" s="296"/>
      <c r="C34" s="35" t="s">
        <v>34</v>
      </c>
      <c r="D34" s="31">
        <v>70</v>
      </c>
      <c r="E34" s="31" t="s">
        <v>17</v>
      </c>
      <c r="F34" s="11">
        <v>0.1</v>
      </c>
      <c r="G34" s="11">
        <v>1</v>
      </c>
      <c r="H34" s="72">
        <f>+F34*B27</f>
        <v>74.7</v>
      </c>
      <c r="I34" s="68">
        <v>74.7</v>
      </c>
      <c r="J34" s="13">
        <f t="shared" si="29"/>
        <v>0</v>
      </c>
      <c r="K34" s="76">
        <v>74.7</v>
      </c>
      <c r="L34" s="9">
        <f t="shared" si="32"/>
        <v>0</v>
      </c>
      <c r="M34" s="79">
        <v>0</v>
      </c>
      <c r="N34" s="23">
        <f t="shared" si="33"/>
        <v>74.7</v>
      </c>
      <c r="O34" s="42">
        <f>+N34/B27</f>
        <v>0.1</v>
      </c>
      <c r="P34" s="19">
        <f t="shared" si="36"/>
        <v>0</v>
      </c>
      <c r="Q34" s="82">
        <v>0</v>
      </c>
      <c r="R34" s="9">
        <f t="shared" si="34"/>
        <v>0</v>
      </c>
      <c r="S34" s="9">
        <f t="shared" si="30"/>
        <v>0</v>
      </c>
      <c r="T34" s="9">
        <f t="shared" si="31"/>
        <v>0</v>
      </c>
      <c r="U34" s="12">
        <f t="shared" si="35"/>
        <v>0</v>
      </c>
      <c r="W34" s="102">
        <f t="shared" si="7"/>
        <v>74.7</v>
      </c>
      <c r="X34" s="103">
        <f t="shared" si="8"/>
        <v>74.7</v>
      </c>
      <c r="Y34" s="103">
        <f t="shared" si="9"/>
        <v>0</v>
      </c>
      <c r="Z34" s="103">
        <f t="shared" si="10"/>
        <v>0</v>
      </c>
      <c r="AA34" s="104">
        <f t="shared" si="11"/>
        <v>0</v>
      </c>
    </row>
    <row r="35" spans="1:28" ht="20.25" customHeight="1" x14ac:dyDescent="0.35">
      <c r="A35" s="294"/>
      <c r="B35" s="297"/>
      <c r="C35" s="40" t="s">
        <v>35</v>
      </c>
      <c r="D35" s="44">
        <v>2</v>
      </c>
      <c r="E35" s="44" t="s">
        <v>16</v>
      </c>
      <c r="F35" s="53">
        <v>2</v>
      </c>
      <c r="G35" s="45">
        <v>0.04</v>
      </c>
      <c r="H35" s="72">
        <f>+F35*B27</f>
        <v>1494</v>
      </c>
      <c r="I35" s="68">
        <v>1510</v>
      </c>
      <c r="J35" s="13">
        <f t="shared" si="29"/>
        <v>16</v>
      </c>
      <c r="K35" s="76">
        <v>1494</v>
      </c>
      <c r="L35" s="9">
        <f t="shared" si="32"/>
        <v>16</v>
      </c>
      <c r="M35" s="79">
        <v>20</v>
      </c>
      <c r="N35" s="33">
        <f t="shared" si="33"/>
        <v>1474</v>
      </c>
      <c r="O35" s="42">
        <f>+N35/B27</f>
        <v>1.9732262382864791</v>
      </c>
      <c r="P35" s="19">
        <f t="shared" si="36"/>
        <v>36</v>
      </c>
      <c r="Q35" s="82">
        <v>0</v>
      </c>
      <c r="R35" s="9">
        <f t="shared" si="34"/>
        <v>36</v>
      </c>
      <c r="S35" s="9">
        <f t="shared" si="30"/>
        <v>1.44</v>
      </c>
      <c r="T35" s="9">
        <f t="shared" si="31"/>
        <v>72</v>
      </c>
      <c r="U35" s="12">
        <f t="shared" si="35"/>
        <v>2.3841059602649008E-2</v>
      </c>
      <c r="W35" s="105">
        <f t="shared" si="7"/>
        <v>60.4</v>
      </c>
      <c r="X35" s="106">
        <f t="shared" si="8"/>
        <v>59.76</v>
      </c>
      <c r="Y35" s="106">
        <f t="shared" si="9"/>
        <v>0.64</v>
      </c>
      <c r="Z35" s="106">
        <f t="shared" si="10"/>
        <v>0.8</v>
      </c>
      <c r="AA35" s="107">
        <f t="shared" si="11"/>
        <v>1.44</v>
      </c>
    </row>
    <row r="36" spans="1:28" ht="23.25" customHeight="1" thickBot="1" x14ac:dyDescent="0.4">
      <c r="A36" s="27"/>
      <c r="B36" s="57"/>
      <c r="C36" s="29"/>
      <c r="D36" s="15"/>
      <c r="E36" s="15"/>
      <c r="F36" s="15"/>
      <c r="G36" s="15"/>
      <c r="H36" s="14"/>
      <c r="I36" s="15"/>
      <c r="J36" s="16"/>
      <c r="K36" s="14"/>
      <c r="L36" s="15"/>
      <c r="M36" s="16"/>
      <c r="N36" s="14"/>
      <c r="O36" s="16"/>
      <c r="P36" s="20"/>
      <c r="Q36" s="15"/>
      <c r="R36" s="15"/>
      <c r="S36" s="56">
        <f>SUM(S27:S35)</f>
        <v>38.74</v>
      </c>
      <c r="T36" s="56">
        <f>SUM(T27:T35)</f>
        <v>1751.6000000000004</v>
      </c>
      <c r="U36" s="16"/>
      <c r="W36" s="122">
        <f>SUM(W27:W35)</f>
        <v>768.6</v>
      </c>
      <c r="X36" s="109">
        <f t="shared" ref="X36:AA36" si="37">SUM(X27:X35)</f>
        <v>747.16</v>
      </c>
      <c r="Y36" s="109">
        <f t="shared" si="37"/>
        <v>21.440000000000005</v>
      </c>
      <c r="Z36" s="110">
        <f t="shared" si="37"/>
        <v>27.3</v>
      </c>
      <c r="AA36" s="114">
        <f t="shared" si="37"/>
        <v>38.74</v>
      </c>
      <c r="AB36" s="94"/>
    </row>
    <row r="37" spans="1:28" ht="31.5" customHeight="1" thickBot="1" x14ac:dyDescent="0.4">
      <c r="A37" s="58" t="s">
        <v>42</v>
      </c>
      <c r="B37" s="32">
        <f>+B4+B12+B22+B27</f>
        <v>3486</v>
      </c>
      <c r="C37" s="29"/>
      <c r="D37" s="15"/>
      <c r="E37" s="15"/>
      <c r="F37" s="15"/>
      <c r="G37" s="15"/>
      <c r="H37" s="14"/>
      <c r="I37" s="15"/>
      <c r="J37" s="16"/>
      <c r="K37" s="14"/>
      <c r="L37" s="15"/>
      <c r="M37" s="16"/>
      <c r="N37" s="14"/>
      <c r="O37" s="16"/>
      <c r="P37" s="20"/>
      <c r="Q37" s="15"/>
      <c r="R37" s="17"/>
      <c r="S37" s="85">
        <f>+S36+S26+S21+S11</f>
        <v>104.44000000000004</v>
      </c>
      <c r="T37" s="85">
        <f>+T36+T26+T21+T11</f>
        <v>5378.0000000000018</v>
      </c>
      <c r="U37" s="62"/>
      <c r="W37" s="108">
        <f>+W11+W21+W26+W36</f>
        <v>2346.9499999999998</v>
      </c>
      <c r="X37" s="119">
        <f t="shared" ref="X37:AA37" si="38">+X11+X21+X26+X36</f>
        <v>2280.31</v>
      </c>
      <c r="Y37" s="119">
        <f t="shared" si="38"/>
        <v>66.640000000000043</v>
      </c>
      <c r="Z37" s="121">
        <f t="shared" si="38"/>
        <v>104.05</v>
      </c>
      <c r="AA37" s="120">
        <f t="shared" si="38"/>
        <v>104.44000000000003</v>
      </c>
      <c r="AB37" s="94"/>
    </row>
    <row r="38" spans="1:28" x14ac:dyDescent="0.35">
      <c r="B38" s="59"/>
      <c r="Y38" s="63"/>
    </row>
    <row r="39" spans="1:28" ht="15" thickBot="1" x14ac:dyDescent="0.4">
      <c r="W39" s="63"/>
      <c r="X39" s="63"/>
      <c r="Y39" s="63"/>
      <c r="Z39" s="63"/>
      <c r="AA39" s="63"/>
    </row>
    <row r="40" spans="1:28" ht="18" customHeight="1" x14ac:dyDescent="0.35">
      <c r="A40" s="271"/>
      <c r="B40" s="271"/>
      <c r="C40" s="271"/>
      <c r="D40" s="271"/>
      <c r="E40" s="271"/>
      <c r="F40" s="271"/>
      <c r="S40" s="341" t="s">
        <v>189</v>
      </c>
      <c r="T40" s="342"/>
      <c r="U40" s="342"/>
      <c r="V40" s="342"/>
      <c r="W40" s="342"/>
      <c r="X40" s="342"/>
      <c r="Y40" s="342"/>
      <c r="Z40" s="342"/>
      <c r="AA40" s="343"/>
    </row>
    <row r="41" spans="1:28" ht="36.75" customHeight="1" x14ac:dyDescent="0.35">
      <c r="A41" s="255"/>
      <c r="B41" s="255"/>
      <c r="C41" s="255"/>
      <c r="D41" s="260"/>
      <c r="E41" s="260"/>
      <c r="F41" s="261"/>
      <c r="O41" s="255"/>
      <c r="P41" s="255"/>
      <c r="S41" s="7" t="s">
        <v>6</v>
      </c>
      <c r="T41" s="8" t="s">
        <v>7</v>
      </c>
      <c r="U41" s="60" t="s">
        <v>162</v>
      </c>
      <c r="V41" s="60" t="s">
        <v>3</v>
      </c>
      <c r="W41" s="60" t="s">
        <v>28</v>
      </c>
      <c r="X41" s="60" t="s">
        <v>163</v>
      </c>
      <c r="Y41" s="60" t="s">
        <v>164</v>
      </c>
      <c r="Z41" s="258" t="s">
        <v>165</v>
      </c>
      <c r="AA41" s="61" t="s">
        <v>166</v>
      </c>
    </row>
    <row r="42" spans="1:28" ht="29.25" customHeight="1" x14ac:dyDescent="0.35">
      <c r="A42" s="262"/>
      <c r="B42" s="263"/>
      <c r="C42" s="264"/>
      <c r="D42" s="264"/>
      <c r="E42" s="265"/>
      <c r="F42" s="266"/>
      <c r="O42" s="256"/>
      <c r="P42" s="256"/>
      <c r="S42" s="91" t="s">
        <v>47</v>
      </c>
      <c r="T42" s="35">
        <f>+B4</f>
        <v>791</v>
      </c>
      <c r="U42" s="254">
        <f>+W11</f>
        <v>552.9</v>
      </c>
      <c r="V42" s="254">
        <f t="shared" ref="V42:Y42" si="39">+X11</f>
        <v>537.9</v>
      </c>
      <c r="W42" s="254">
        <f t="shared" si="39"/>
        <v>15.000000000000014</v>
      </c>
      <c r="X42" s="254">
        <f t="shared" si="39"/>
        <v>18.75</v>
      </c>
      <c r="Y42" s="254">
        <f t="shared" si="39"/>
        <v>24.500000000000014</v>
      </c>
      <c r="Z42" s="95">
        <f>+Y42/T42</f>
        <v>3.0973451327433645E-2</v>
      </c>
      <c r="AA42" s="253">
        <f>+Y42/U42</f>
        <v>4.4311810453970001E-2</v>
      </c>
    </row>
    <row r="43" spans="1:28" ht="29.25" customHeight="1" x14ac:dyDescent="0.35">
      <c r="A43" s="262"/>
      <c r="B43" s="263"/>
      <c r="C43" s="263"/>
      <c r="D43" s="264"/>
      <c r="E43" s="265"/>
      <c r="F43" s="266"/>
      <c r="O43" s="256"/>
      <c r="P43" s="256"/>
      <c r="Q43" s="133"/>
      <c r="R43" s="134"/>
      <c r="S43" s="91" t="s">
        <v>48</v>
      </c>
      <c r="T43" s="35">
        <f>+B12</f>
        <v>738</v>
      </c>
      <c r="U43" s="254">
        <f>+W21</f>
        <v>745.14</v>
      </c>
      <c r="V43" s="254">
        <f t="shared" ref="V43:Y43" si="40">+X21</f>
        <v>715.7399999999999</v>
      </c>
      <c r="W43" s="254">
        <f t="shared" si="40"/>
        <v>29.400000000000016</v>
      </c>
      <c r="X43" s="254">
        <f t="shared" si="40"/>
        <v>55.8</v>
      </c>
      <c r="Y43" s="254">
        <f t="shared" si="40"/>
        <v>39.000000000000014</v>
      </c>
      <c r="Z43" s="95">
        <f t="shared" ref="Z43:Z45" si="41">+Y43/T43</f>
        <v>5.284552845528457E-2</v>
      </c>
      <c r="AA43" s="253">
        <f t="shared" ref="AA43:AA45" si="42">+Y43/U43</f>
        <v>5.2339157742169275E-2</v>
      </c>
    </row>
    <row r="44" spans="1:28" ht="29.25" customHeight="1" x14ac:dyDescent="0.35">
      <c r="A44" s="262"/>
      <c r="B44" s="263"/>
      <c r="C44" s="263"/>
      <c r="D44" s="264"/>
      <c r="E44" s="265"/>
      <c r="F44" s="266"/>
      <c r="O44" s="256"/>
      <c r="P44" s="256"/>
      <c r="S44" s="91" t="s">
        <v>49</v>
      </c>
      <c r="T44" s="35">
        <f>+B22</f>
        <v>1210</v>
      </c>
      <c r="U44" s="254">
        <f>+W26</f>
        <v>280.31</v>
      </c>
      <c r="V44" s="254">
        <f t="shared" ref="V44:Y44" si="43">+X26</f>
        <v>279.51</v>
      </c>
      <c r="W44" s="254">
        <f t="shared" si="43"/>
        <v>0.8</v>
      </c>
      <c r="X44" s="254">
        <f t="shared" si="43"/>
        <v>2.2000000000000002</v>
      </c>
      <c r="Y44" s="254">
        <f t="shared" si="43"/>
        <v>2.2000000000000002</v>
      </c>
      <c r="Z44" s="95">
        <f t="shared" si="41"/>
        <v>1.8181818181818184E-3</v>
      </c>
      <c r="AA44" s="253">
        <f t="shared" si="42"/>
        <v>7.8484534979130251E-3</v>
      </c>
    </row>
    <row r="45" spans="1:28" ht="29.25" customHeight="1" x14ac:dyDescent="0.35">
      <c r="A45" s="262"/>
      <c r="B45" s="263"/>
      <c r="C45" s="264"/>
      <c r="D45" s="264"/>
      <c r="E45" s="265"/>
      <c r="F45" s="266"/>
      <c r="O45" s="256"/>
      <c r="P45" s="256"/>
      <c r="S45" s="91" t="s">
        <v>50</v>
      </c>
      <c r="T45" s="35">
        <f>+B27</f>
        <v>747</v>
      </c>
      <c r="U45" s="254">
        <f>+W36</f>
        <v>768.6</v>
      </c>
      <c r="V45" s="254">
        <f t="shared" ref="V45:Y45" si="44">+X36</f>
        <v>747.16</v>
      </c>
      <c r="W45" s="254">
        <f t="shared" si="44"/>
        <v>21.440000000000005</v>
      </c>
      <c r="X45" s="254">
        <f t="shared" si="44"/>
        <v>27.3</v>
      </c>
      <c r="Y45" s="254">
        <f t="shared" si="44"/>
        <v>38.74</v>
      </c>
      <c r="Z45" s="95">
        <f t="shared" si="41"/>
        <v>5.1860776439089692E-2</v>
      </c>
      <c r="AA45" s="253">
        <f t="shared" si="42"/>
        <v>5.0403330731199583E-2</v>
      </c>
    </row>
    <row r="46" spans="1:28" ht="29.25" customHeight="1" thickBot="1" x14ac:dyDescent="0.4">
      <c r="A46" s="267"/>
      <c r="B46" s="268"/>
      <c r="C46" s="268"/>
      <c r="D46" s="269"/>
      <c r="E46" s="270"/>
      <c r="F46" s="266"/>
      <c r="G46" s="259"/>
      <c r="O46" s="257"/>
      <c r="P46" s="257"/>
      <c r="S46" s="93" t="s">
        <v>51</v>
      </c>
      <c r="T46" s="96">
        <f>SUM(T42:T45)</f>
        <v>3486</v>
      </c>
      <c r="U46" s="272">
        <f>SUM(U42:U45)</f>
        <v>2346.9499999999998</v>
      </c>
      <c r="V46" s="272">
        <f t="shared" ref="V46:Y46" si="45">SUM(V42:V45)</f>
        <v>2280.31</v>
      </c>
      <c r="W46" s="272">
        <f t="shared" si="45"/>
        <v>66.640000000000043</v>
      </c>
      <c r="X46" s="272">
        <f t="shared" si="45"/>
        <v>104.05</v>
      </c>
      <c r="Y46" s="272">
        <f t="shared" si="45"/>
        <v>104.44000000000003</v>
      </c>
      <c r="Z46" s="273">
        <f>+Y46/T46</f>
        <v>2.9959839357429727E-2</v>
      </c>
      <c r="AA46" s="274">
        <f>+Y46/U46</f>
        <v>4.4500308911566089E-2</v>
      </c>
    </row>
    <row r="47" spans="1:28" x14ac:dyDescent="0.35">
      <c r="T47">
        <v>410</v>
      </c>
    </row>
    <row r="48" spans="1:28" x14ac:dyDescent="0.35">
      <c r="T48">
        <f>+T46+T47</f>
        <v>3896</v>
      </c>
    </row>
  </sheetData>
  <mergeCells count="16">
    <mergeCell ref="A27:A35"/>
    <mergeCell ref="B27:B35"/>
    <mergeCell ref="S40:AA40"/>
    <mergeCell ref="W2:AA2"/>
    <mergeCell ref="A4:A10"/>
    <mergeCell ref="B4:B10"/>
    <mergeCell ref="A12:A20"/>
    <mergeCell ref="B12:B20"/>
    <mergeCell ref="A22:A25"/>
    <mergeCell ref="B22:B25"/>
    <mergeCell ref="P2:U2"/>
    <mergeCell ref="A1:F1"/>
    <mergeCell ref="A2:G2"/>
    <mergeCell ref="H2:J2"/>
    <mergeCell ref="K2:M2"/>
    <mergeCell ref="N2:O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18487-7199-44FF-81AD-49602FDC9A7F}">
  <dimension ref="B1:J33"/>
  <sheetViews>
    <sheetView workbookViewId="0">
      <selection activeCell="P29" sqref="P29"/>
    </sheetView>
  </sheetViews>
  <sheetFormatPr defaultRowHeight="14.5" x14ac:dyDescent="0.35"/>
  <cols>
    <col min="2" max="2" width="12" customWidth="1"/>
    <col min="3" max="7" width="11.26953125" customWidth="1"/>
    <col min="8" max="8" width="14.7265625" customWidth="1"/>
    <col min="9" max="9" width="12.1796875" customWidth="1"/>
    <col min="10" max="10" width="13.26953125" customWidth="1"/>
    <col min="11" max="11" width="11.26953125" customWidth="1"/>
  </cols>
  <sheetData>
    <row r="1" spans="2:10" ht="15" thickBot="1" x14ac:dyDescent="0.4"/>
    <row r="2" spans="2:10" ht="15.5" x14ac:dyDescent="0.35">
      <c r="B2" s="344" t="s">
        <v>189</v>
      </c>
      <c r="C2" s="345"/>
      <c r="D2" s="345"/>
      <c r="E2" s="345"/>
      <c r="F2" s="345"/>
      <c r="G2" s="345"/>
      <c r="H2" s="345"/>
      <c r="I2" s="345"/>
      <c r="J2" s="346"/>
    </row>
    <row r="3" spans="2:10" ht="35.25" customHeight="1" x14ac:dyDescent="0.35">
      <c r="B3" s="7" t="s">
        <v>6</v>
      </c>
      <c r="C3" s="8" t="s">
        <v>7</v>
      </c>
      <c r="D3" s="60" t="s">
        <v>162</v>
      </c>
      <c r="E3" s="60" t="s">
        <v>3</v>
      </c>
      <c r="F3" s="60" t="s">
        <v>28</v>
      </c>
      <c r="G3" s="60" t="s">
        <v>163</v>
      </c>
      <c r="H3" s="60" t="s">
        <v>164</v>
      </c>
      <c r="I3" s="258" t="s">
        <v>165</v>
      </c>
      <c r="J3" s="61" t="s">
        <v>166</v>
      </c>
    </row>
    <row r="4" spans="2:10" ht="24" customHeight="1" x14ac:dyDescent="0.35">
      <c r="B4" s="91" t="s">
        <v>47</v>
      </c>
      <c r="C4" s="35">
        <v>791</v>
      </c>
      <c r="D4" s="254">
        <v>552.9</v>
      </c>
      <c r="E4" s="254">
        <v>537.9</v>
      </c>
      <c r="F4" s="254">
        <v>15.000000000000014</v>
      </c>
      <c r="G4" s="254">
        <v>18.75</v>
      </c>
      <c r="H4" s="254">
        <v>24.500000000000014</v>
      </c>
      <c r="I4" s="95">
        <v>3.0973451327433645E-2</v>
      </c>
      <c r="J4" s="253">
        <v>4.4311810453970001E-2</v>
      </c>
    </row>
    <row r="5" spans="2:10" ht="24" customHeight="1" x14ac:dyDescent="0.35">
      <c r="B5" s="91" t="s">
        <v>48</v>
      </c>
      <c r="C5" s="35">
        <v>738</v>
      </c>
      <c r="D5" s="254">
        <v>745.14</v>
      </c>
      <c r="E5" s="254">
        <v>715.7399999999999</v>
      </c>
      <c r="F5" s="254">
        <v>29.400000000000016</v>
      </c>
      <c r="G5" s="254">
        <v>55.8</v>
      </c>
      <c r="H5" s="254">
        <v>39.000000000000014</v>
      </c>
      <c r="I5" s="95">
        <v>5.284552845528457E-2</v>
      </c>
      <c r="J5" s="253">
        <v>5.2339157742169275E-2</v>
      </c>
    </row>
    <row r="6" spans="2:10" ht="24" customHeight="1" x14ac:dyDescent="0.35">
      <c r="B6" s="91" t="s">
        <v>49</v>
      </c>
      <c r="C6" s="35">
        <v>1210</v>
      </c>
      <c r="D6" s="254">
        <v>280.31</v>
      </c>
      <c r="E6" s="254">
        <v>279.51</v>
      </c>
      <c r="F6" s="254">
        <v>0.8</v>
      </c>
      <c r="G6" s="254">
        <v>2.2000000000000002</v>
      </c>
      <c r="H6" s="254">
        <v>2.2000000000000002</v>
      </c>
      <c r="I6" s="95">
        <v>1.8181818181818184E-3</v>
      </c>
      <c r="J6" s="253">
        <v>7.8484534979130251E-3</v>
      </c>
    </row>
    <row r="7" spans="2:10" ht="24" customHeight="1" x14ac:dyDescent="0.35">
      <c r="B7" s="91" t="s">
        <v>50</v>
      </c>
      <c r="C7" s="35">
        <v>747</v>
      </c>
      <c r="D7" s="254">
        <v>768.6</v>
      </c>
      <c r="E7" s="254">
        <v>747.16</v>
      </c>
      <c r="F7" s="254">
        <v>21.440000000000005</v>
      </c>
      <c r="G7" s="254">
        <v>27.3</v>
      </c>
      <c r="H7" s="254">
        <v>38.74</v>
      </c>
      <c r="I7" s="95">
        <v>5.1860776439089692E-2</v>
      </c>
      <c r="J7" s="253">
        <v>5.0403330731199583E-2</v>
      </c>
    </row>
    <row r="8" spans="2:10" ht="24" customHeight="1" thickBot="1" x14ac:dyDescent="0.4">
      <c r="B8" s="93" t="s">
        <v>51</v>
      </c>
      <c r="C8" s="96">
        <f>SUM(C4:C7)</f>
        <v>3486</v>
      </c>
      <c r="D8" s="272">
        <f>SUM(D4:D7)</f>
        <v>2346.9499999999998</v>
      </c>
      <c r="E8" s="272">
        <f t="shared" ref="E8:H8" si="0">SUM(E4:E7)</f>
        <v>2280.31</v>
      </c>
      <c r="F8" s="272">
        <f t="shared" si="0"/>
        <v>66.640000000000043</v>
      </c>
      <c r="G8" s="272">
        <f t="shared" si="0"/>
        <v>104.05</v>
      </c>
      <c r="H8" s="272">
        <f t="shared" si="0"/>
        <v>104.44000000000003</v>
      </c>
      <c r="I8" s="273">
        <f>+H8/C8</f>
        <v>2.9959839357429727E-2</v>
      </c>
      <c r="J8" s="274">
        <f>+H8/D8</f>
        <v>4.4500308911566089E-2</v>
      </c>
    </row>
    <row r="9" spans="2:10" ht="24" customHeight="1" thickBot="1" x14ac:dyDescent="0.4"/>
    <row r="10" spans="2:10" ht="24" customHeight="1" x14ac:dyDescent="0.35">
      <c r="B10" s="344" t="s">
        <v>192</v>
      </c>
      <c r="C10" s="345"/>
      <c r="D10" s="345"/>
      <c r="E10" s="345"/>
      <c r="F10" s="345"/>
      <c r="G10" s="345"/>
      <c r="H10" s="345"/>
      <c r="I10" s="345"/>
      <c r="J10" s="346"/>
    </row>
    <row r="11" spans="2:10" ht="36.75" customHeight="1" x14ac:dyDescent="0.35">
      <c r="B11" s="7" t="s">
        <v>6</v>
      </c>
      <c r="C11" s="8" t="s">
        <v>7</v>
      </c>
      <c r="D11" s="60" t="s">
        <v>162</v>
      </c>
      <c r="E11" s="60" t="s">
        <v>3</v>
      </c>
      <c r="F11" s="60" t="s">
        <v>28</v>
      </c>
      <c r="G11" s="60" t="s">
        <v>163</v>
      </c>
      <c r="H11" s="60" t="s">
        <v>164</v>
      </c>
      <c r="I11" s="258" t="s">
        <v>165</v>
      </c>
      <c r="J11" s="61" t="s">
        <v>166</v>
      </c>
    </row>
    <row r="12" spans="2:10" ht="24" customHeight="1" x14ac:dyDescent="0.35">
      <c r="B12" s="91" t="s">
        <v>47</v>
      </c>
      <c r="C12" s="35">
        <v>1198</v>
      </c>
      <c r="D12" s="254">
        <v>789.3</v>
      </c>
      <c r="E12" s="254">
        <v>778.69999999999993</v>
      </c>
      <c r="F12" s="254">
        <v>10.600000000000012</v>
      </c>
      <c r="G12" s="254">
        <v>28</v>
      </c>
      <c r="H12" s="254">
        <v>38.600000000000009</v>
      </c>
      <c r="I12" s="95">
        <v>3.2220367278798005E-2</v>
      </c>
      <c r="J12" s="253">
        <v>4.8904092233624748E-2</v>
      </c>
    </row>
    <row r="13" spans="2:10" ht="24" customHeight="1" x14ac:dyDescent="0.35">
      <c r="B13" s="91" t="s">
        <v>48</v>
      </c>
      <c r="C13" s="35">
        <v>1120</v>
      </c>
      <c r="D13" s="254">
        <v>1163</v>
      </c>
      <c r="E13" s="254">
        <v>1141.1999999999998</v>
      </c>
      <c r="F13" s="254">
        <v>21.799999999999997</v>
      </c>
      <c r="G13" s="254">
        <v>66.400000000000006</v>
      </c>
      <c r="H13" s="254">
        <v>48.199999999999996</v>
      </c>
      <c r="I13" s="95">
        <v>4.3035714285714281E-2</v>
      </c>
      <c r="J13" s="253">
        <v>4.1444539982803091E-2</v>
      </c>
    </row>
    <row r="14" spans="2:10" ht="24" customHeight="1" x14ac:dyDescent="0.35">
      <c r="B14" s="91" t="s">
        <v>49</v>
      </c>
      <c r="C14" s="35">
        <v>1740</v>
      </c>
      <c r="D14" s="254">
        <v>466.14</v>
      </c>
      <c r="E14" s="254">
        <v>465.54</v>
      </c>
      <c r="F14" s="254">
        <v>0.6</v>
      </c>
      <c r="G14" s="254">
        <v>3.8600000000000003</v>
      </c>
      <c r="H14" s="254">
        <v>2.8600000000000003</v>
      </c>
      <c r="I14" s="95">
        <v>1.6436781609195405E-3</v>
      </c>
      <c r="J14" s="253">
        <v>6.1354957738018632E-3</v>
      </c>
    </row>
    <row r="15" spans="2:10" ht="24" customHeight="1" x14ac:dyDescent="0.35">
      <c r="B15" s="91" t="s">
        <v>50</v>
      </c>
      <c r="C15" s="35">
        <v>1252</v>
      </c>
      <c r="D15" s="254">
        <v>1269.3999999999999</v>
      </c>
      <c r="E15" s="254">
        <v>1252.1600000000003</v>
      </c>
      <c r="F15" s="254">
        <v>17.239999999999998</v>
      </c>
      <c r="G15" s="254">
        <v>40.700000000000003</v>
      </c>
      <c r="H15" s="254">
        <v>51.94</v>
      </c>
      <c r="I15" s="95">
        <v>4.1485623003194888E-2</v>
      </c>
      <c r="J15" s="253">
        <v>4.0916968646604698E-2</v>
      </c>
    </row>
    <row r="16" spans="2:10" ht="24" customHeight="1" thickBot="1" x14ac:dyDescent="0.4">
      <c r="B16" s="93" t="s">
        <v>51</v>
      </c>
      <c r="C16" s="96">
        <f>SUM(C12:C15)</f>
        <v>5310</v>
      </c>
      <c r="D16" s="272">
        <f>SUM(D12:D15)</f>
        <v>3687.84</v>
      </c>
      <c r="E16" s="272">
        <f t="shared" ref="E16:H16" si="1">SUM(E12:E15)</f>
        <v>3637.6</v>
      </c>
      <c r="F16" s="272">
        <f t="shared" si="1"/>
        <v>50.240000000000009</v>
      </c>
      <c r="G16" s="272">
        <f t="shared" si="1"/>
        <v>138.96</v>
      </c>
      <c r="H16" s="272">
        <f t="shared" si="1"/>
        <v>141.60000000000002</v>
      </c>
      <c r="I16" s="273">
        <f>+H16/C16</f>
        <v>2.6666666666666672E-2</v>
      </c>
      <c r="J16" s="274">
        <f>+H16/D16</f>
        <v>3.8396459716256673E-2</v>
      </c>
    </row>
    <row r="17" spans="2:10" ht="24" customHeight="1" thickBot="1" x14ac:dyDescent="0.4"/>
    <row r="18" spans="2:10" ht="24" customHeight="1" x14ac:dyDescent="0.35">
      <c r="B18" s="344" t="s">
        <v>190</v>
      </c>
      <c r="C18" s="345"/>
      <c r="D18" s="345"/>
      <c r="E18" s="345"/>
      <c r="F18" s="345"/>
      <c r="G18" s="345"/>
      <c r="H18" s="345"/>
      <c r="I18" s="345"/>
      <c r="J18" s="346"/>
    </row>
    <row r="19" spans="2:10" ht="38.25" customHeight="1" x14ac:dyDescent="0.35">
      <c r="B19" s="7" t="s">
        <v>6</v>
      </c>
      <c r="C19" s="8" t="s">
        <v>7</v>
      </c>
      <c r="D19" s="60" t="s">
        <v>162</v>
      </c>
      <c r="E19" s="60" t="s">
        <v>3</v>
      </c>
      <c r="F19" s="60" t="s">
        <v>28</v>
      </c>
      <c r="G19" s="60" t="s">
        <v>163</v>
      </c>
      <c r="H19" s="60" t="s">
        <v>164</v>
      </c>
      <c r="I19" s="258" t="s">
        <v>165</v>
      </c>
      <c r="J19" s="61" t="s">
        <v>166</v>
      </c>
    </row>
    <row r="20" spans="2:10" ht="24" customHeight="1" x14ac:dyDescent="0.35">
      <c r="B20" s="91" t="s">
        <v>47</v>
      </c>
      <c r="C20" s="35">
        <v>1068</v>
      </c>
      <c r="D20" s="254">
        <v>812.3</v>
      </c>
      <c r="E20" s="254">
        <v>800.99999999999989</v>
      </c>
      <c r="F20" s="254">
        <v>11.300000000000022</v>
      </c>
      <c r="G20" s="254">
        <v>24.5</v>
      </c>
      <c r="H20" s="254">
        <v>34.300000000000026</v>
      </c>
      <c r="I20" s="95">
        <v>3.2116104868913885E-2</v>
      </c>
      <c r="J20" s="253">
        <v>4.222577865320698E-2</v>
      </c>
    </row>
    <row r="21" spans="2:10" ht="24" customHeight="1" x14ac:dyDescent="0.35">
      <c r="B21" s="91" t="s">
        <v>48</v>
      </c>
      <c r="C21" s="35">
        <v>989</v>
      </c>
      <c r="D21" s="254">
        <v>987</v>
      </c>
      <c r="E21" s="254">
        <v>958.32</v>
      </c>
      <c r="F21" s="254">
        <v>28.68</v>
      </c>
      <c r="G21" s="254">
        <v>45.6</v>
      </c>
      <c r="H21" s="254">
        <v>46.279999999999994</v>
      </c>
      <c r="I21" s="95">
        <v>4.6794742163801813E-2</v>
      </c>
      <c r="J21" s="253">
        <v>4.6889564336372841E-2</v>
      </c>
    </row>
    <row r="22" spans="2:10" ht="24" customHeight="1" x14ac:dyDescent="0.35">
      <c r="B22" s="91" t="s">
        <v>49</v>
      </c>
      <c r="C22" s="35">
        <v>1270</v>
      </c>
      <c r="D22" s="254">
        <v>448.97</v>
      </c>
      <c r="E22" s="254">
        <v>445.77</v>
      </c>
      <c r="F22" s="254">
        <v>3.2</v>
      </c>
      <c r="G22" s="254">
        <v>2</v>
      </c>
      <c r="H22" s="254">
        <v>5.2</v>
      </c>
      <c r="I22" s="95">
        <v>4.0944881889763782E-3</v>
      </c>
      <c r="J22" s="253">
        <v>1.158206561685636E-2</v>
      </c>
    </row>
    <row r="23" spans="2:10" ht="24" customHeight="1" x14ac:dyDescent="0.35">
      <c r="B23" s="91" t="s">
        <v>50</v>
      </c>
      <c r="C23" s="35">
        <v>719</v>
      </c>
      <c r="D23" s="254">
        <v>735.1</v>
      </c>
      <c r="E23" s="254">
        <v>697.22</v>
      </c>
      <c r="F23" s="254">
        <v>37.88000000000001</v>
      </c>
      <c r="G23" s="254">
        <v>28.3</v>
      </c>
      <c r="H23" s="254">
        <v>36.180000000000007</v>
      </c>
      <c r="I23" s="95">
        <v>5.031988873435328E-2</v>
      </c>
      <c r="J23" s="253">
        <v>4.9217793497483342E-2</v>
      </c>
    </row>
    <row r="24" spans="2:10" ht="24" customHeight="1" thickBot="1" x14ac:dyDescent="0.4">
      <c r="B24" s="93" t="s">
        <v>51</v>
      </c>
      <c r="C24" s="96">
        <f>SUM(C20:C23)</f>
        <v>4046</v>
      </c>
      <c r="D24" s="272">
        <f>SUM(D20:D23)</f>
        <v>2983.37</v>
      </c>
      <c r="E24" s="272">
        <f t="shared" ref="E24:H24" si="2">SUM(E20:E23)</f>
        <v>2902.3100000000004</v>
      </c>
      <c r="F24" s="272">
        <f t="shared" si="2"/>
        <v>81.060000000000031</v>
      </c>
      <c r="G24" s="272">
        <f t="shared" si="2"/>
        <v>100.39999999999999</v>
      </c>
      <c r="H24" s="272">
        <f t="shared" si="2"/>
        <v>121.96000000000002</v>
      </c>
      <c r="I24" s="273">
        <f>+H24/C24</f>
        <v>3.0143351458230355E-2</v>
      </c>
      <c r="J24" s="274">
        <f>+H24/D24</f>
        <v>4.0879944492302339E-2</v>
      </c>
    </row>
    <row r="25" spans="2:10" ht="24" customHeight="1" thickBot="1" x14ac:dyDescent="0.4"/>
    <row r="26" spans="2:10" ht="24" customHeight="1" x14ac:dyDescent="0.35">
      <c r="B26" s="341" t="s">
        <v>191</v>
      </c>
      <c r="C26" s="342"/>
      <c r="D26" s="342"/>
      <c r="E26" s="342"/>
      <c r="F26" s="342"/>
      <c r="G26" s="342"/>
      <c r="H26" s="342"/>
      <c r="I26" s="342"/>
      <c r="J26" s="343"/>
    </row>
    <row r="27" spans="2:10" ht="39.75" customHeight="1" x14ac:dyDescent="0.35">
      <c r="B27" s="7" t="s">
        <v>6</v>
      </c>
      <c r="C27" s="8" t="s">
        <v>7</v>
      </c>
      <c r="D27" s="60" t="s">
        <v>162</v>
      </c>
      <c r="E27" s="60" t="s">
        <v>3</v>
      </c>
      <c r="F27" s="60" t="s">
        <v>28</v>
      </c>
      <c r="G27" s="60" t="s">
        <v>163</v>
      </c>
      <c r="H27" s="60" t="s">
        <v>164</v>
      </c>
      <c r="I27" s="258" t="s">
        <v>165</v>
      </c>
      <c r="J27" s="61" t="s">
        <v>166</v>
      </c>
    </row>
    <row r="28" spans="2:10" ht="24" customHeight="1" x14ac:dyDescent="0.35">
      <c r="B28" s="91" t="s">
        <v>47</v>
      </c>
      <c r="C28" s="35">
        <v>1210</v>
      </c>
      <c r="D28" s="254">
        <v>855.5</v>
      </c>
      <c r="E28" s="254">
        <v>847</v>
      </c>
      <c r="F28" s="254">
        <v>8.5</v>
      </c>
      <c r="G28" s="254">
        <v>33.25</v>
      </c>
      <c r="H28" s="254">
        <v>41.75</v>
      </c>
      <c r="I28" s="95">
        <v>3.4504132231404958E-2</v>
      </c>
      <c r="J28" s="253">
        <v>4.8801870251315022E-2</v>
      </c>
    </row>
    <row r="29" spans="2:10" ht="24" customHeight="1" x14ac:dyDescent="0.35">
      <c r="B29" s="91" t="s">
        <v>48</v>
      </c>
      <c r="C29" s="35">
        <v>1231</v>
      </c>
      <c r="D29" s="254">
        <v>1320.8</v>
      </c>
      <c r="E29" s="254">
        <v>1293.58</v>
      </c>
      <c r="F29" s="254">
        <v>27.219999999999985</v>
      </c>
      <c r="G29" s="254">
        <v>68.099999999999994</v>
      </c>
      <c r="H29" s="254">
        <v>50.319999999999986</v>
      </c>
      <c r="I29" s="95">
        <v>4.0877335499593812E-2</v>
      </c>
      <c r="J29" s="253">
        <v>3.8098122350090843E-2</v>
      </c>
    </row>
    <row r="30" spans="2:10" ht="24" customHeight="1" x14ac:dyDescent="0.35">
      <c r="B30" s="91" t="s">
        <v>49</v>
      </c>
      <c r="C30" s="35">
        <v>1545</v>
      </c>
      <c r="D30" s="254">
        <v>541.82999999999993</v>
      </c>
      <c r="E30" s="254">
        <v>538.29500000000007</v>
      </c>
      <c r="F30" s="254">
        <v>3.5350000000000001</v>
      </c>
      <c r="G30" s="254">
        <v>0</v>
      </c>
      <c r="H30" s="254">
        <v>3.5350000000000001</v>
      </c>
      <c r="I30" s="95">
        <v>2.2880258899676377E-3</v>
      </c>
      <c r="J30" s="253">
        <v>6.5241865529778722E-3</v>
      </c>
    </row>
    <row r="31" spans="2:10" ht="24" customHeight="1" x14ac:dyDescent="0.35">
      <c r="B31" s="91" t="s">
        <v>50</v>
      </c>
      <c r="C31" s="35">
        <v>939</v>
      </c>
      <c r="D31" s="254">
        <v>936.31999999999994</v>
      </c>
      <c r="E31" s="254">
        <v>910.92000000000007</v>
      </c>
      <c r="F31" s="254">
        <v>25.400000000000013</v>
      </c>
      <c r="G31" s="254">
        <v>39.1</v>
      </c>
      <c r="H31" s="254">
        <v>45.500000000000007</v>
      </c>
      <c r="I31" s="95">
        <v>4.845580404685837E-2</v>
      </c>
      <c r="J31" s="253">
        <v>4.8594497607655517E-2</v>
      </c>
    </row>
    <row r="32" spans="2:10" ht="24" customHeight="1" thickBot="1" x14ac:dyDescent="0.4">
      <c r="B32" s="93" t="s">
        <v>51</v>
      </c>
      <c r="C32" s="96">
        <f>SUM(C28:C31)</f>
        <v>4925</v>
      </c>
      <c r="D32" s="272">
        <f>SUM(D28:D31)</f>
        <v>3654.45</v>
      </c>
      <c r="E32" s="272">
        <f t="shared" ref="E32:H32" si="3">SUM(E28:E31)</f>
        <v>3589.7950000000001</v>
      </c>
      <c r="F32" s="272">
        <f t="shared" si="3"/>
        <v>64.655000000000001</v>
      </c>
      <c r="G32" s="272">
        <f t="shared" si="3"/>
        <v>140.44999999999999</v>
      </c>
      <c r="H32" s="272">
        <f t="shared" si="3"/>
        <v>141.10499999999999</v>
      </c>
      <c r="I32" s="273">
        <f>+H32/C32</f>
        <v>2.8650761421319795E-2</v>
      </c>
      <c r="J32" s="274">
        <f>+H32/D32</f>
        <v>3.8611829413454826E-2</v>
      </c>
    </row>
    <row r="33" ht="24" customHeight="1" x14ac:dyDescent="0.35"/>
  </sheetData>
  <mergeCells count="4">
    <mergeCell ref="B2:J2"/>
    <mergeCell ref="B10:J10"/>
    <mergeCell ref="B18:J18"/>
    <mergeCell ref="B26:J26"/>
  </mergeCells>
  <pageMargins left="0" right="0" top="0" bottom="0" header="0" footer="0"/>
  <pageSetup paperSize="9" scale="75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02CE2-F3F8-4573-A88D-47B4B1D778DF}">
  <dimension ref="A1:AB48"/>
  <sheetViews>
    <sheetView workbookViewId="0">
      <pane xSplit="7" ySplit="3" topLeftCell="P33" activePane="bottomRight" state="frozen"/>
      <selection pane="topRight" activeCell="H1" sqref="H1"/>
      <selection pane="bottomLeft" activeCell="A4" sqref="A4"/>
      <selection pane="bottomRight" activeCell="T42" sqref="T42:AA45"/>
    </sheetView>
  </sheetViews>
  <sheetFormatPr defaultRowHeight="14.5" x14ac:dyDescent="0.35"/>
  <cols>
    <col min="1" max="1" width="11" customWidth="1"/>
    <col min="2" max="2" width="7.81640625" customWidth="1"/>
    <col min="3" max="3" width="20" customWidth="1"/>
    <col min="4" max="4" width="9.1796875" customWidth="1"/>
    <col min="5" max="5" width="9.26953125" customWidth="1"/>
    <col min="6" max="6" width="10" customWidth="1"/>
    <col min="7" max="7" width="8.1796875" customWidth="1"/>
    <col min="8" max="8" width="12.54296875" customWidth="1"/>
    <col min="9" max="9" width="12.453125" customWidth="1"/>
    <col min="10" max="10" width="11" customWidth="1"/>
    <col min="11" max="11" width="9.453125" customWidth="1"/>
    <col min="12" max="12" width="11" customWidth="1"/>
    <col min="13" max="13" width="13.54296875" customWidth="1"/>
    <col min="14" max="14" width="14.81640625" customWidth="1"/>
    <col min="15" max="15" width="16" customWidth="1"/>
    <col min="16" max="16" width="11.26953125" customWidth="1"/>
    <col min="17" max="18" width="9.54296875" customWidth="1"/>
    <col min="19" max="20" width="10.81640625" customWidth="1"/>
    <col min="21" max="21" width="12.7265625" customWidth="1"/>
    <col min="22" max="22" width="10" customWidth="1"/>
    <col min="23" max="23" width="11.453125" customWidth="1"/>
    <col min="24" max="24" width="11" customWidth="1"/>
    <col min="25" max="25" width="13.453125" customWidth="1"/>
    <col min="26" max="26" width="10.26953125" customWidth="1"/>
    <col min="27" max="27" width="13.7265625" customWidth="1"/>
  </cols>
  <sheetData>
    <row r="1" spans="1:28" ht="22.5" customHeight="1" thickBot="1" x14ac:dyDescent="0.4">
      <c r="A1" s="308" t="s">
        <v>36</v>
      </c>
      <c r="B1" s="309"/>
      <c r="C1" s="309"/>
      <c r="D1" s="309"/>
      <c r="E1" s="309"/>
      <c r="F1" s="310"/>
    </row>
    <row r="2" spans="1:28" ht="22.5" customHeight="1" thickBot="1" x14ac:dyDescent="0.4">
      <c r="A2" s="311" t="s">
        <v>167</v>
      </c>
      <c r="B2" s="312"/>
      <c r="C2" s="312"/>
      <c r="D2" s="312"/>
      <c r="E2" s="312"/>
      <c r="F2" s="312"/>
      <c r="G2" s="313"/>
      <c r="H2" s="314" t="s">
        <v>22</v>
      </c>
      <c r="I2" s="315"/>
      <c r="J2" s="316"/>
      <c r="K2" s="317" t="s">
        <v>23</v>
      </c>
      <c r="L2" s="318"/>
      <c r="M2" s="319"/>
      <c r="N2" s="320" t="s">
        <v>24</v>
      </c>
      <c r="O2" s="321"/>
      <c r="P2" s="305" t="s">
        <v>25</v>
      </c>
      <c r="Q2" s="306"/>
      <c r="R2" s="306"/>
      <c r="S2" s="306"/>
      <c r="T2" s="306"/>
      <c r="U2" s="307"/>
      <c r="W2" s="325" t="s">
        <v>43</v>
      </c>
      <c r="X2" s="326"/>
      <c r="Y2" s="326"/>
      <c r="Z2" s="326"/>
      <c r="AA2" s="327"/>
    </row>
    <row r="3" spans="1:28" ht="58.5" thickBot="1" x14ac:dyDescent="0.4">
      <c r="A3" s="39" t="s">
        <v>6</v>
      </c>
      <c r="B3" s="38" t="s">
        <v>7</v>
      </c>
      <c r="C3" s="38" t="s">
        <v>0</v>
      </c>
      <c r="D3" s="37" t="s">
        <v>15</v>
      </c>
      <c r="E3" s="38" t="s">
        <v>1</v>
      </c>
      <c r="F3" s="36" t="s">
        <v>27</v>
      </c>
      <c r="G3" s="37" t="s">
        <v>19</v>
      </c>
      <c r="H3" s="25" t="s">
        <v>4</v>
      </c>
      <c r="I3" s="89" t="s">
        <v>44</v>
      </c>
      <c r="J3" s="26" t="s">
        <v>29</v>
      </c>
      <c r="K3" s="88" t="s">
        <v>3</v>
      </c>
      <c r="L3" s="1" t="s">
        <v>28</v>
      </c>
      <c r="M3" s="87" t="s">
        <v>5</v>
      </c>
      <c r="N3" s="25" t="s">
        <v>20</v>
      </c>
      <c r="O3" s="26" t="s">
        <v>21</v>
      </c>
      <c r="P3" s="24" t="s">
        <v>8</v>
      </c>
      <c r="Q3" s="86" t="s">
        <v>9</v>
      </c>
      <c r="R3" s="2" t="s">
        <v>10</v>
      </c>
      <c r="S3" s="1" t="s">
        <v>26</v>
      </c>
      <c r="T3" s="1" t="s">
        <v>11</v>
      </c>
      <c r="U3" s="1" t="s">
        <v>30</v>
      </c>
      <c r="W3" s="43" t="s">
        <v>2</v>
      </c>
      <c r="X3" s="60" t="s">
        <v>3</v>
      </c>
      <c r="Y3" s="60" t="s">
        <v>28</v>
      </c>
      <c r="Z3" s="60" t="s">
        <v>5</v>
      </c>
      <c r="AA3" s="61" t="s">
        <v>26</v>
      </c>
    </row>
    <row r="4" spans="1:28" ht="20.25" customHeight="1" x14ac:dyDescent="0.35">
      <c r="A4" s="301" t="s">
        <v>37</v>
      </c>
      <c r="B4" s="303">
        <v>1198</v>
      </c>
      <c r="C4" s="34" t="s">
        <v>55</v>
      </c>
      <c r="D4" s="4">
        <v>2</v>
      </c>
      <c r="E4" s="30" t="s">
        <v>16</v>
      </c>
      <c r="F4" s="47">
        <v>2</v>
      </c>
      <c r="G4" s="5">
        <v>0.05</v>
      </c>
      <c r="H4" s="71">
        <f>+F4*B4</f>
        <v>2396</v>
      </c>
      <c r="I4" s="67">
        <v>2406</v>
      </c>
      <c r="J4" s="22">
        <f t="shared" ref="J4:J10" si="0">I4-H4</f>
        <v>10</v>
      </c>
      <c r="K4" s="75">
        <f>1198*2</f>
        <v>2396</v>
      </c>
      <c r="L4" s="127">
        <f>+I4-K4</f>
        <v>10</v>
      </c>
      <c r="M4" s="78">
        <v>40</v>
      </c>
      <c r="N4" s="128">
        <f>+K4-M4</f>
        <v>2356</v>
      </c>
      <c r="O4" s="64">
        <f>+N4/B4</f>
        <v>1.9666110183639398</v>
      </c>
      <c r="P4" s="18">
        <f>+L4+M4</f>
        <v>50</v>
      </c>
      <c r="Q4" s="81">
        <v>0</v>
      </c>
      <c r="R4" s="3">
        <f t="shared" ref="R4:R10" si="1">+P4-Q4</f>
        <v>50</v>
      </c>
      <c r="S4" s="3">
        <f t="shared" ref="S4:S10" si="2">+R4*G4</f>
        <v>2.5</v>
      </c>
      <c r="T4" s="3">
        <f t="shared" ref="T4:T10" si="3">+R4*D4</f>
        <v>100</v>
      </c>
      <c r="U4" s="6">
        <f>+R4/I4</f>
        <v>2.0781379883624274E-2</v>
      </c>
      <c r="W4" s="102">
        <f>+I4*G4</f>
        <v>120.30000000000001</v>
      </c>
      <c r="X4" s="103">
        <f>+K4*G4</f>
        <v>119.80000000000001</v>
      </c>
      <c r="Y4" s="103">
        <f>+L4*G4</f>
        <v>0.5</v>
      </c>
      <c r="Z4" s="103">
        <f>+M4*G4</f>
        <v>2</v>
      </c>
      <c r="AA4" s="104">
        <f>+R4*G4</f>
        <v>2.5</v>
      </c>
    </row>
    <row r="5" spans="1:28" ht="20.25" customHeight="1" x14ac:dyDescent="0.35">
      <c r="A5" s="302"/>
      <c r="B5" s="304"/>
      <c r="C5" s="35" t="s">
        <v>168</v>
      </c>
      <c r="D5" s="10">
        <v>4</v>
      </c>
      <c r="E5" s="31" t="s">
        <v>16</v>
      </c>
      <c r="F5" s="48">
        <v>2</v>
      </c>
      <c r="G5" s="11">
        <v>0.05</v>
      </c>
      <c r="H5" s="70">
        <f>+F5*B4</f>
        <v>2396</v>
      </c>
      <c r="I5" s="68">
        <v>2400</v>
      </c>
      <c r="J5" s="13">
        <f t="shared" si="0"/>
        <v>4</v>
      </c>
      <c r="K5" s="76">
        <v>2396</v>
      </c>
      <c r="L5" s="9">
        <f t="shared" ref="L5:L10" si="4">+I5-K5</f>
        <v>4</v>
      </c>
      <c r="M5" s="79">
        <v>20</v>
      </c>
      <c r="N5" s="23">
        <f t="shared" ref="N5:N10" si="5">+K5-M5</f>
        <v>2376</v>
      </c>
      <c r="O5" s="65">
        <f>+N5/B4</f>
        <v>1.98330550918197</v>
      </c>
      <c r="P5" s="19">
        <f>+L5+M5</f>
        <v>24</v>
      </c>
      <c r="Q5" s="82">
        <v>0</v>
      </c>
      <c r="R5" s="9">
        <f t="shared" si="1"/>
        <v>24</v>
      </c>
      <c r="S5" s="9">
        <f>+R5*G5</f>
        <v>1.2000000000000002</v>
      </c>
      <c r="T5" s="9">
        <f t="shared" si="3"/>
        <v>96</v>
      </c>
      <c r="U5" s="12">
        <f t="shared" ref="U5:U9" si="6">+R5/I5</f>
        <v>0.01</v>
      </c>
      <c r="W5" s="102">
        <f t="shared" ref="W5:W35" si="7">+I5*G5</f>
        <v>120</v>
      </c>
      <c r="X5" s="103">
        <f t="shared" ref="X5:X35" si="8">+K5*G5</f>
        <v>119.80000000000001</v>
      </c>
      <c r="Y5" s="103">
        <f t="shared" ref="Y5:Y35" si="9">+L5*G5</f>
        <v>0.2</v>
      </c>
      <c r="Z5" s="103">
        <f t="shared" ref="Z5:Z35" si="10">+M5*G5</f>
        <v>1</v>
      </c>
      <c r="AA5" s="104">
        <f t="shared" ref="AA5:AA35" si="11">+R5*G5</f>
        <v>1.2000000000000002</v>
      </c>
    </row>
    <row r="6" spans="1:28" ht="20.25" customHeight="1" x14ac:dyDescent="0.35">
      <c r="A6" s="302"/>
      <c r="B6" s="304"/>
      <c r="C6" s="35" t="s">
        <v>149</v>
      </c>
      <c r="D6" s="10">
        <v>40</v>
      </c>
      <c r="E6" s="31" t="s">
        <v>17</v>
      </c>
      <c r="F6" s="49">
        <v>0.15</v>
      </c>
      <c r="G6" s="11">
        <v>1</v>
      </c>
      <c r="H6" s="72">
        <f>+F6*B4</f>
        <v>179.7</v>
      </c>
      <c r="I6" s="68">
        <v>122</v>
      </c>
      <c r="J6" s="13">
        <f t="shared" si="0"/>
        <v>-57.699999999999989</v>
      </c>
      <c r="K6" s="76">
        <v>119.8</v>
      </c>
      <c r="L6" s="9">
        <f t="shared" si="4"/>
        <v>2.2000000000000028</v>
      </c>
      <c r="M6" s="79">
        <v>8</v>
      </c>
      <c r="N6" s="33">
        <f t="shared" si="5"/>
        <v>111.8</v>
      </c>
      <c r="O6" s="42">
        <f>+N6/B4</f>
        <v>9.3322203672787984E-2</v>
      </c>
      <c r="P6" s="19">
        <f>+L6+M6</f>
        <v>10.200000000000003</v>
      </c>
      <c r="Q6" s="82">
        <v>0</v>
      </c>
      <c r="R6" s="9">
        <f t="shared" si="1"/>
        <v>10.200000000000003</v>
      </c>
      <c r="S6" s="9">
        <f t="shared" si="2"/>
        <v>10.200000000000003</v>
      </c>
      <c r="T6" s="9">
        <f t="shared" si="3"/>
        <v>408.00000000000011</v>
      </c>
      <c r="U6" s="12">
        <f t="shared" si="6"/>
        <v>8.3606557377049209E-2</v>
      </c>
      <c r="W6" s="102">
        <f t="shared" si="7"/>
        <v>122</v>
      </c>
      <c r="X6" s="103">
        <f t="shared" si="8"/>
        <v>119.8</v>
      </c>
      <c r="Y6" s="103">
        <f t="shared" si="9"/>
        <v>2.2000000000000028</v>
      </c>
      <c r="Z6" s="103">
        <f t="shared" si="10"/>
        <v>8</v>
      </c>
      <c r="AA6" s="104">
        <f t="shared" si="11"/>
        <v>10.200000000000003</v>
      </c>
    </row>
    <row r="7" spans="1:28" ht="20.25" customHeight="1" x14ac:dyDescent="0.35">
      <c r="A7" s="302"/>
      <c r="B7" s="304"/>
      <c r="C7" s="35" t="s">
        <v>12</v>
      </c>
      <c r="D7" s="10">
        <v>45</v>
      </c>
      <c r="E7" s="31" t="s">
        <v>17</v>
      </c>
      <c r="F7" s="49">
        <v>0.1</v>
      </c>
      <c r="G7" s="11">
        <v>1</v>
      </c>
      <c r="H7" s="72">
        <f>+F7*B4</f>
        <v>119.80000000000001</v>
      </c>
      <c r="I7" s="68">
        <v>122</v>
      </c>
      <c r="J7" s="13">
        <f t="shared" si="0"/>
        <v>2.1999999999999886</v>
      </c>
      <c r="K7" s="76">
        <v>119.8</v>
      </c>
      <c r="L7" s="9">
        <f t="shared" si="4"/>
        <v>2.2000000000000028</v>
      </c>
      <c r="M7" s="79">
        <v>4</v>
      </c>
      <c r="N7" s="23">
        <f t="shared" si="5"/>
        <v>115.8</v>
      </c>
      <c r="O7" s="42">
        <f>+N7/B4</f>
        <v>9.6661101836393981E-2</v>
      </c>
      <c r="P7" s="19">
        <f t="shared" ref="P7:P10" si="12">+L7+M7</f>
        <v>6.2000000000000028</v>
      </c>
      <c r="Q7" s="82">
        <v>0</v>
      </c>
      <c r="R7" s="9">
        <f t="shared" si="1"/>
        <v>6.2000000000000028</v>
      </c>
      <c r="S7" s="9">
        <f t="shared" si="2"/>
        <v>6.2000000000000028</v>
      </c>
      <c r="T7" s="9">
        <f t="shared" si="3"/>
        <v>279.00000000000011</v>
      </c>
      <c r="U7" s="12">
        <f t="shared" si="6"/>
        <v>5.0819672131147561E-2</v>
      </c>
      <c r="W7" s="102">
        <f t="shared" si="7"/>
        <v>122</v>
      </c>
      <c r="X7" s="103">
        <f t="shared" si="8"/>
        <v>119.8</v>
      </c>
      <c r="Y7" s="103">
        <f t="shared" si="9"/>
        <v>2.2000000000000028</v>
      </c>
      <c r="Z7" s="103">
        <f t="shared" si="10"/>
        <v>4</v>
      </c>
      <c r="AA7" s="104">
        <f t="shared" si="11"/>
        <v>6.2000000000000028</v>
      </c>
    </row>
    <row r="8" spans="1:28" ht="20.25" customHeight="1" x14ac:dyDescent="0.35">
      <c r="A8" s="302"/>
      <c r="B8" s="304"/>
      <c r="C8" s="35" t="s">
        <v>13</v>
      </c>
      <c r="D8" s="10">
        <v>52</v>
      </c>
      <c r="E8" s="31" t="s">
        <v>17</v>
      </c>
      <c r="F8" s="49">
        <v>0.1</v>
      </c>
      <c r="G8" s="11">
        <v>1</v>
      </c>
      <c r="H8" s="72">
        <f>+F8*B4</f>
        <v>119.80000000000001</v>
      </c>
      <c r="I8" s="68">
        <v>121</v>
      </c>
      <c r="J8" s="13">
        <f t="shared" si="0"/>
        <v>1.1999999999999886</v>
      </c>
      <c r="K8" s="76">
        <v>119.8</v>
      </c>
      <c r="L8" s="9">
        <f>+I8-K8</f>
        <v>1.2000000000000028</v>
      </c>
      <c r="M8" s="79">
        <v>6</v>
      </c>
      <c r="N8" s="33">
        <f t="shared" si="5"/>
        <v>113.8</v>
      </c>
      <c r="O8" s="42">
        <f>+N8/B4</f>
        <v>9.4991652754590983E-2</v>
      </c>
      <c r="P8" s="19">
        <f t="shared" si="12"/>
        <v>7.2000000000000028</v>
      </c>
      <c r="Q8" s="82">
        <v>0</v>
      </c>
      <c r="R8" s="9">
        <f t="shared" si="1"/>
        <v>7.2000000000000028</v>
      </c>
      <c r="S8" s="9">
        <f t="shared" si="2"/>
        <v>7.2000000000000028</v>
      </c>
      <c r="T8" s="9">
        <f t="shared" si="3"/>
        <v>374.40000000000015</v>
      </c>
      <c r="U8" s="12">
        <f t="shared" si="6"/>
        <v>5.950413223140498E-2</v>
      </c>
      <c r="W8" s="102">
        <f t="shared" si="7"/>
        <v>121</v>
      </c>
      <c r="X8" s="103">
        <f t="shared" si="8"/>
        <v>119.8</v>
      </c>
      <c r="Y8" s="103">
        <f t="shared" si="9"/>
        <v>1.2000000000000028</v>
      </c>
      <c r="Z8" s="103">
        <f t="shared" si="10"/>
        <v>6</v>
      </c>
      <c r="AA8" s="104">
        <f t="shared" si="11"/>
        <v>7.2000000000000028</v>
      </c>
    </row>
    <row r="9" spans="1:28" ht="20.25" customHeight="1" x14ac:dyDescent="0.35">
      <c r="A9" s="302"/>
      <c r="B9" s="304"/>
      <c r="C9" s="35" t="s">
        <v>169</v>
      </c>
      <c r="D9" s="10">
        <v>90</v>
      </c>
      <c r="E9" s="31" t="s">
        <v>17</v>
      </c>
      <c r="F9" s="49">
        <v>0.03</v>
      </c>
      <c r="G9" s="11">
        <v>1</v>
      </c>
      <c r="H9" s="73">
        <f>+F9*B4</f>
        <v>35.94</v>
      </c>
      <c r="I9" s="68">
        <v>62</v>
      </c>
      <c r="J9" s="13">
        <f t="shared" si="0"/>
        <v>26.060000000000002</v>
      </c>
      <c r="K9" s="76">
        <v>59.9</v>
      </c>
      <c r="L9" s="54">
        <f>+I9-K9</f>
        <v>2.1000000000000014</v>
      </c>
      <c r="M9" s="79">
        <v>4</v>
      </c>
      <c r="N9" s="23">
        <f t="shared" si="5"/>
        <v>55.9</v>
      </c>
      <c r="O9" s="42">
        <f>+N9/B4</f>
        <v>4.6661101836393992E-2</v>
      </c>
      <c r="P9" s="19">
        <f t="shared" si="12"/>
        <v>6.1000000000000014</v>
      </c>
      <c r="Q9" s="82">
        <v>0</v>
      </c>
      <c r="R9" s="9">
        <f t="shared" si="1"/>
        <v>6.1000000000000014</v>
      </c>
      <c r="S9" s="9">
        <f t="shared" si="2"/>
        <v>6.1000000000000014</v>
      </c>
      <c r="T9" s="9">
        <f t="shared" si="3"/>
        <v>549.00000000000011</v>
      </c>
      <c r="U9" s="12">
        <f t="shared" si="6"/>
        <v>9.8387096774193578E-2</v>
      </c>
      <c r="W9" s="102">
        <f t="shared" si="7"/>
        <v>62</v>
      </c>
      <c r="X9" s="103">
        <f t="shared" si="8"/>
        <v>59.9</v>
      </c>
      <c r="Y9" s="103">
        <f t="shared" si="9"/>
        <v>2.1000000000000014</v>
      </c>
      <c r="Z9" s="103">
        <f t="shared" si="10"/>
        <v>4</v>
      </c>
      <c r="AA9" s="104">
        <f t="shared" si="11"/>
        <v>6.1000000000000014</v>
      </c>
    </row>
    <row r="10" spans="1:28" ht="20.25" customHeight="1" x14ac:dyDescent="0.35">
      <c r="A10" s="302"/>
      <c r="B10" s="304"/>
      <c r="C10" s="35" t="s">
        <v>14</v>
      </c>
      <c r="D10" s="10">
        <v>60</v>
      </c>
      <c r="E10" s="31" t="s">
        <v>18</v>
      </c>
      <c r="F10" s="49">
        <v>0.1</v>
      </c>
      <c r="G10" s="11">
        <v>1</v>
      </c>
      <c r="H10" s="72">
        <f>+F10*B4</f>
        <v>119.80000000000001</v>
      </c>
      <c r="I10" s="68">
        <v>122</v>
      </c>
      <c r="J10" s="13">
        <f t="shared" si="0"/>
        <v>2.1999999999999886</v>
      </c>
      <c r="K10" s="76">
        <v>119.8</v>
      </c>
      <c r="L10" s="9">
        <f t="shared" si="4"/>
        <v>2.2000000000000028</v>
      </c>
      <c r="M10" s="79">
        <v>3</v>
      </c>
      <c r="N10" s="33">
        <f t="shared" si="5"/>
        <v>116.8</v>
      </c>
      <c r="O10" s="42">
        <f>+N10/B4</f>
        <v>9.7495826377295494E-2</v>
      </c>
      <c r="P10" s="19">
        <f t="shared" si="12"/>
        <v>5.2000000000000028</v>
      </c>
      <c r="Q10" s="82">
        <v>0</v>
      </c>
      <c r="R10" s="9">
        <f t="shared" si="1"/>
        <v>5.2000000000000028</v>
      </c>
      <c r="S10" s="9">
        <f t="shared" si="2"/>
        <v>5.2000000000000028</v>
      </c>
      <c r="T10" s="9">
        <f t="shared" si="3"/>
        <v>312.00000000000017</v>
      </c>
      <c r="U10" s="12">
        <f>+R10/I10</f>
        <v>4.2622950819672156E-2</v>
      </c>
      <c r="W10" s="115">
        <f t="shared" si="7"/>
        <v>122</v>
      </c>
      <c r="X10" s="116">
        <f t="shared" si="8"/>
        <v>119.8</v>
      </c>
      <c r="Y10" s="116">
        <f t="shared" si="9"/>
        <v>2.2000000000000028</v>
      </c>
      <c r="Z10" s="116">
        <f t="shared" si="10"/>
        <v>3</v>
      </c>
      <c r="AA10" s="117">
        <f t="shared" si="11"/>
        <v>5.2000000000000028</v>
      </c>
    </row>
    <row r="11" spans="1:28" ht="20.25" customHeight="1" thickBot="1" x14ac:dyDescent="0.4">
      <c r="A11" s="27"/>
      <c r="B11" s="51"/>
      <c r="C11" s="50"/>
      <c r="D11" s="15"/>
      <c r="E11" s="15"/>
      <c r="F11" s="15"/>
      <c r="G11" s="15"/>
      <c r="H11" s="74"/>
      <c r="I11" s="69"/>
      <c r="J11" s="16"/>
      <c r="K11" s="77"/>
      <c r="L11" s="15"/>
      <c r="M11" s="80"/>
      <c r="N11" s="14"/>
      <c r="O11" s="16"/>
      <c r="P11" s="20"/>
      <c r="Q11" s="83"/>
      <c r="R11" s="15"/>
      <c r="S11" s="84">
        <f>SUM(S4:S10)</f>
        <v>38.600000000000009</v>
      </c>
      <c r="T11" s="56">
        <f>SUM(T4:T10)</f>
        <v>2118.4000000000005</v>
      </c>
      <c r="U11" s="16"/>
      <c r="W11" s="118">
        <f>SUM(W4:W10)</f>
        <v>789.3</v>
      </c>
      <c r="X11" s="109">
        <f t="shared" ref="X11:AA11" si="13">SUM(X4:X10)</f>
        <v>778.69999999999993</v>
      </c>
      <c r="Y11" s="109">
        <f t="shared" si="13"/>
        <v>10.600000000000012</v>
      </c>
      <c r="Z11" s="110">
        <f t="shared" si="13"/>
        <v>28</v>
      </c>
      <c r="AA11" s="114">
        <f t="shared" si="13"/>
        <v>38.600000000000009</v>
      </c>
      <c r="AB11" s="94"/>
    </row>
    <row r="12" spans="1:28" ht="20.25" customHeight="1" x14ac:dyDescent="0.35">
      <c r="A12" s="292" t="s">
        <v>38</v>
      </c>
      <c r="B12" s="295">
        <v>1120</v>
      </c>
      <c r="C12" s="34" t="s">
        <v>31</v>
      </c>
      <c r="D12" s="4">
        <v>20</v>
      </c>
      <c r="E12" s="30" t="s">
        <v>17</v>
      </c>
      <c r="F12" s="52">
        <v>0.4</v>
      </c>
      <c r="G12" s="5">
        <v>1</v>
      </c>
      <c r="H12" s="71">
        <f>+F12*B12</f>
        <v>448</v>
      </c>
      <c r="I12" s="67">
        <v>458</v>
      </c>
      <c r="J12" s="22">
        <f t="shared" ref="J12:J20" si="14">I12-H12</f>
        <v>10</v>
      </c>
      <c r="K12" s="75">
        <f>1120*0.4</f>
        <v>448</v>
      </c>
      <c r="L12" s="3">
        <f>+I12-K12</f>
        <v>10</v>
      </c>
      <c r="M12" s="78">
        <v>45</v>
      </c>
      <c r="N12" s="21">
        <f>+K12-M12</f>
        <v>403</v>
      </c>
      <c r="O12" s="41">
        <f>+N12/B12</f>
        <v>0.35982142857142857</v>
      </c>
      <c r="P12" s="18">
        <f>+L12+M12</f>
        <v>55</v>
      </c>
      <c r="Q12" s="81">
        <v>40</v>
      </c>
      <c r="R12" s="3">
        <f>+P12-Q12</f>
        <v>15</v>
      </c>
      <c r="S12" s="3">
        <f>+R12*G12</f>
        <v>15</v>
      </c>
      <c r="T12" s="3">
        <f t="shared" ref="T12:T20" si="15">+R12*D12</f>
        <v>300</v>
      </c>
      <c r="U12" s="6">
        <f>+R12/I12</f>
        <v>3.2751091703056769E-2</v>
      </c>
      <c r="W12" s="111">
        <f t="shared" si="7"/>
        <v>458</v>
      </c>
      <c r="X12" s="112">
        <f t="shared" si="8"/>
        <v>448</v>
      </c>
      <c r="Y12" s="112">
        <f t="shared" si="9"/>
        <v>10</v>
      </c>
      <c r="Z12" s="112">
        <f t="shared" si="10"/>
        <v>45</v>
      </c>
      <c r="AA12" s="113">
        <f t="shared" si="11"/>
        <v>15</v>
      </c>
    </row>
    <row r="13" spans="1:28" ht="20.25" customHeight="1" x14ac:dyDescent="0.35">
      <c r="A13" s="293"/>
      <c r="B13" s="296"/>
      <c r="C13" s="35" t="s">
        <v>103</v>
      </c>
      <c r="D13" s="10">
        <v>65</v>
      </c>
      <c r="E13" s="31" t="s">
        <v>17</v>
      </c>
      <c r="F13" s="49">
        <v>0.08</v>
      </c>
      <c r="G13" s="11">
        <v>1</v>
      </c>
      <c r="H13" s="70">
        <f>+F13*B12</f>
        <v>89.600000000000009</v>
      </c>
      <c r="I13" s="68">
        <v>115</v>
      </c>
      <c r="J13" s="13">
        <f t="shared" si="14"/>
        <v>25.399999999999991</v>
      </c>
      <c r="K13" s="76">
        <v>112</v>
      </c>
      <c r="L13" s="9">
        <f t="shared" ref="L13:L20" si="16">+I13-K13</f>
        <v>3</v>
      </c>
      <c r="M13" s="79">
        <v>4</v>
      </c>
      <c r="N13" s="23">
        <f>+K13-M13</f>
        <v>108</v>
      </c>
      <c r="O13" s="42">
        <f>+N13/B12</f>
        <v>9.6428571428571433E-2</v>
      </c>
      <c r="P13" s="19">
        <f>+L13+M13</f>
        <v>7</v>
      </c>
      <c r="Q13" s="82">
        <v>0</v>
      </c>
      <c r="R13" s="9">
        <f t="shared" ref="R13:R20" si="17">+P13-Q13</f>
        <v>7</v>
      </c>
      <c r="S13" s="9">
        <f>+R13*G13</f>
        <v>7</v>
      </c>
      <c r="T13" s="9">
        <f t="shared" si="15"/>
        <v>455</v>
      </c>
      <c r="U13" s="12">
        <f t="shared" ref="U13:U20" si="18">+R13/I13</f>
        <v>6.0869565217391307E-2</v>
      </c>
      <c r="W13" s="102">
        <f t="shared" si="7"/>
        <v>115</v>
      </c>
      <c r="X13" s="103">
        <f t="shared" si="8"/>
        <v>112</v>
      </c>
      <c r="Y13" s="103">
        <f t="shared" si="9"/>
        <v>3</v>
      </c>
      <c r="Z13" s="103">
        <f>+M13*G13</f>
        <v>4</v>
      </c>
      <c r="AA13" s="104">
        <f t="shared" si="11"/>
        <v>7</v>
      </c>
    </row>
    <row r="14" spans="1:28" ht="20.25" customHeight="1" x14ac:dyDescent="0.35">
      <c r="A14" s="293"/>
      <c r="B14" s="296"/>
      <c r="C14" s="35" t="s">
        <v>170</v>
      </c>
      <c r="D14" s="10">
        <v>130</v>
      </c>
      <c r="E14" s="31" t="s">
        <v>17</v>
      </c>
      <c r="F14" s="49">
        <v>0.08</v>
      </c>
      <c r="G14" s="11">
        <v>1</v>
      </c>
      <c r="H14" s="72">
        <f>+F14*B12</f>
        <v>89.600000000000009</v>
      </c>
      <c r="I14" s="68">
        <v>56</v>
      </c>
      <c r="J14" s="13">
        <f t="shared" si="14"/>
        <v>-33.600000000000009</v>
      </c>
      <c r="K14" s="76">
        <v>56</v>
      </c>
      <c r="L14" s="9">
        <f t="shared" si="16"/>
        <v>0</v>
      </c>
      <c r="M14" s="79">
        <v>1</v>
      </c>
      <c r="N14" s="33">
        <f>+K14-M14</f>
        <v>55</v>
      </c>
      <c r="O14" s="42">
        <f>+N14/B12</f>
        <v>4.9107142857142856E-2</v>
      </c>
      <c r="P14" s="19">
        <f>+L14+M14</f>
        <v>1</v>
      </c>
      <c r="Q14" s="82">
        <v>0</v>
      </c>
      <c r="R14" s="9">
        <f t="shared" si="17"/>
        <v>1</v>
      </c>
      <c r="S14" s="9">
        <f t="shared" ref="S14:S20" si="19">+R14*G14</f>
        <v>1</v>
      </c>
      <c r="T14" s="9">
        <f t="shared" si="15"/>
        <v>130</v>
      </c>
      <c r="U14" s="12">
        <f t="shared" si="18"/>
        <v>1.7857142857142856E-2</v>
      </c>
      <c r="W14" s="102">
        <f t="shared" si="7"/>
        <v>56</v>
      </c>
      <c r="X14" s="103">
        <f t="shared" si="8"/>
        <v>56</v>
      </c>
      <c r="Y14" s="103">
        <f t="shared" si="9"/>
        <v>0</v>
      </c>
      <c r="Z14" s="103">
        <f>+M14*G14</f>
        <v>1</v>
      </c>
      <c r="AA14" s="104">
        <f t="shared" si="11"/>
        <v>1</v>
      </c>
    </row>
    <row r="15" spans="1:28" ht="20.25" customHeight="1" x14ac:dyDescent="0.35">
      <c r="A15" s="293"/>
      <c r="B15" s="296"/>
      <c r="C15" s="35" t="s">
        <v>171</v>
      </c>
      <c r="D15" s="10">
        <v>55</v>
      </c>
      <c r="E15" s="31" t="s">
        <v>17</v>
      </c>
      <c r="F15" s="49">
        <v>0.08</v>
      </c>
      <c r="G15" s="11">
        <v>1</v>
      </c>
      <c r="H15" s="72">
        <f>+F15*B12</f>
        <v>89.600000000000009</v>
      </c>
      <c r="I15" s="68">
        <v>112</v>
      </c>
      <c r="J15" s="13">
        <f t="shared" si="14"/>
        <v>22.399999999999991</v>
      </c>
      <c r="K15" s="76">
        <v>112</v>
      </c>
      <c r="L15" s="9">
        <f t="shared" si="16"/>
        <v>0</v>
      </c>
      <c r="M15" s="79">
        <v>4</v>
      </c>
      <c r="N15" s="23">
        <f t="shared" ref="N15:N20" si="20">+K15-M15</f>
        <v>108</v>
      </c>
      <c r="O15" s="42">
        <f>+N15/B12</f>
        <v>9.6428571428571433E-2</v>
      </c>
      <c r="P15" s="19">
        <f t="shared" ref="P15:P20" si="21">+L15+M15</f>
        <v>4</v>
      </c>
      <c r="Q15" s="82">
        <v>0</v>
      </c>
      <c r="R15" s="9">
        <f t="shared" si="17"/>
        <v>4</v>
      </c>
      <c r="S15" s="9">
        <f t="shared" si="19"/>
        <v>4</v>
      </c>
      <c r="T15" s="9">
        <f t="shared" si="15"/>
        <v>220</v>
      </c>
      <c r="U15" s="12">
        <f t="shared" si="18"/>
        <v>3.5714285714285712E-2</v>
      </c>
      <c r="W15" s="102">
        <f t="shared" si="7"/>
        <v>112</v>
      </c>
      <c r="X15" s="103">
        <f t="shared" si="8"/>
        <v>112</v>
      </c>
      <c r="Y15" s="103">
        <f t="shared" si="9"/>
        <v>0</v>
      </c>
      <c r="Z15" s="103">
        <f t="shared" si="10"/>
        <v>4</v>
      </c>
      <c r="AA15" s="104">
        <f t="shared" si="11"/>
        <v>4</v>
      </c>
    </row>
    <row r="16" spans="1:28" ht="20.25" customHeight="1" x14ac:dyDescent="0.35">
      <c r="A16" s="293"/>
      <c r="B16" s="296"/>
      <c r="C16" s="35" t="s">
        <v>32</v>
      </c>
      <c r="D16" s="10">
        <v>48</v>
      </c>
      <c r="E16" s="31" t="s">
        <v>18</v>
      </c>
      <c r="F16" s="49">
        <v>0.06</v>
      </c>
      <c r="G16" s="11">
        <v>1</v>
      </c>
      <c r="H16" s="72">
        <f>+F16*B12</f>
        <v>67.2</v>
      </c>
      <c r="I16" s="68">
        <v>93</v>
      </c>
      <c r="J16" s="13">
        <f t="shared" si="14"/>
        <v>25.799999999999997</v>
      </c>
      <c r="K16" s="76">
        <v>89</v>
      </c>
      <c r="L16" s="9">
        <f t="shared" si="16"/>
        <v>4</v>
      </c>
      <c r="M16" s="79">
        <v>5</v>
      </c>
      <c r="N16" s="33">
        <f t="shared" si="20"/>
        <v>84</v>
      </c>
      <c r="O16" s="42">
        <f>+N16/B12</f>
        <v>7.4999999999999997E-2</v>
      </c>
      <c r="P16" s="19">
        <f t="shared" si="21"/>
        <v>9</v>
      </c>
      <c r="Q16" s="82">
        <v>0</v>
      </c>
      <c r="R16" s="9">
        <f t="shared" si="17"/>
        <v>9</v>
      </c>
      <c r="S16" s="9">
        <f t="shared" si="19"/>
        <v>9</v>
      </c>
      <c r="T16" s="9">
        <f t="shared" si="15"/>
        <v>432</v>
      </c>
      <c r="U16" s="12">
        <f t="shared" si="18"/>
        <v>9.6774193548387094E-2</v>
      </c>
      <c r="W16" s="102">
        <f t="shared" si="7"/>
        <v>93</v>
      </c>
      <c r="X16" s="103">
        <f t="shared" si="8"/>
        <v>89</v>
      </c>
      <c r="Y16" s="103">
        <f t="shared" si="9"/>
        <v>4</v>
      </c>
      <c r="Z16" s="103">
        <f t="shared" si="10"/>
        <v>5</v>
      </c>
      <c r="AA16" s="104">
        <f t="shared" si="11"/>
        <v>9</v>
      </c>
    </row>
    <row r="17" spans="1:28" ht="20.25" customHeight="1" x14ac:dyDescent="0.35">
      <c r="A17" s="293"/>
      <c r="B17" s="296"/>
      <c r="C17" s="35" t="s">
        <v>155</v>
      </c>
      <c r="D17" s="10">
        <v>35</v>
      </c>
      <c r="E17" s="31" t="s">
        <v>18</v>
      </c>
      <c r="F17" s="49">
        <v>0.06</v>
      </c>
      <c r="G17" s="11">
        <v>1</v>
      </c>
      <c r="H17" s="73">
        <f>+F17*B12</f>
        <v>67.2</v>
      </c>
      <c r="I17" s="68">
        <v>92</v>
      </c>
      <c r="J17" s="66">
        <f t="shared" si="14"/>
        <v>24.799999999999997</v>
      </c>
      <c r="K17" s="76">
        <v>89</v>
      </c>
      <c r="L17" s="9">
        <f t="shared" si="16"/>
        <v>3</v>
      </c>
      <c r="M17" s="79">
        <v>4</v>
      </c>
      <c r="N17" s="23">
        <f t="shared" si="20"/>
        <v>85</v>
      </c>
      <c r="O17" s="42">
        <f>+N17/B12</f>
        <v>7.5892857142857137E-2</v>
      </c>
      <c r="P17" s="19">
        <f t="shared" si="21"/>
        <v>7</v>
      </c>
      <c r="Q17" s="82">
        <v>0</v>
      </c>
      <c r="R17" s="9">
        <f t="shared" si="17"/>
        <v>7</v>
      </c>
      <c r="S17" s="9">
        <f t="shared" si="19"/>
        <v>7</v>
      </c>
      <c r="T17" s="9">
        <f t="shared" si="15"/>
        <v>245</v>
      </c>
      <c r="U17" s="12">
        <f t="shared" si="18"/>
        <v>7.6086956521739135E-2</v>
      </c>
      <c r="W17" s="102">
        <f t="shared" si="7"/>
        <v>92</v>
      </c>
      <c r="X17" s="103">
        <f t="shared" si="8"/>
        <v>89</v>
      </c>
      <c r="Y17" s="103">
        <f t="shared" si="9"/>
        <v>3</v>
      </c>
      <c r="Z17" s="103">
        <f t="shared" si="10"/>
        <v>4</v>
      </c>
      <c r="AA17" s="104">
        <f t="shared" si="11"/>
        <v>7</v>
      </c>
    </row>
    <row r="18" spans="1:28" ht="20.25" customHeight="1" x14ac:dyDescent="0.35">
      <c r="A18" s="293"/>
      <c r="B18" s="296"/>
      <c r="C18" s="35" t="s">
        <v>33</v>
      </c>
      <c r="D18" s="10">
        <v>50</v>
      </c>
      <c r="E18" s="31" t="s">
        <v>17</v>
      </c>
      <c r="F18" s="49">
        <v>0.03</v>
      </c>
      <c r="G18" s="11">
        <v>1</v>
      </c>
      <c r="H18" s="72">
        <f>+F18*B12</f>
        <v>33.6</v>
      </c>
      <c r="I18" s="68">
        <v>35</v>
      </c>
      <c r="J18" s="13">
        <f t="shared" si="14"/>
        <v>1.3999999999999986</v>
      </c>
      <c r="K18" s="76">
        <v>33.6</v>
      </c>
      <c r="L18" s="9">
        <f t="shared" si="16"/>
        <v>1.3999999999999986</v>
      </c>
      <c r="M18" s="79">
        <v>2</v>
      </c>
      <c r="N18" s="23">
        <f t="shared" si="20"/>
        <v>31.6</v>
      </c>
      <c r="O18" s="42">
        <f>+N18/B12</f>
        <v>2.8214285714285716E-2</v>
      </c>
      <c r="P18" s="19">
        <f t="shared" si="21"/>
        <v>3.3999999999999986</v>
      </c>
      <c r="Q18" s="82">
        <v>0</v>
      </c>
      <c r="R18" s="9">
        <f t="shared" si="17"/>
        <v>3.3999999999999986</v>
      </c>
      <c r="S18" s="9">
        <f t="shared" si="19"/>
        <v>3.3999999999999986</v>
      </c>
      <c r="T18" s="9">
        <f t="shared" si="15"/>
        <v>169.99999999999994</v>
      </c>
      <c r="U18" s="12">
        <f t="shared" si="18"/>
        <v>9.71428571428571E-2</v>
      </c>
      <c r="W18" s="102">
        <f t="shared" si="7"/>
        <v>35</v>
      </c>
      <c r="X18" s="103">
        <f t="shared" si="8"/>
        <v>33.6</v>
      </c>
      <c r="Y18" s="103">
        <f t="shared" si="9"/>
        <v>1.3999999999999986</v>
      </c>
      <c r="Z18" s="103">
        <f t="shared" si="10"/>
        <v>2</v>
      </c>
      <c r="AA18" s="104">
        <f t="shared" si="11"/>
        <v>3.3999999999999986</v>
      </c>
    </row>
    <row r="19" spans="1:28" ht="20.25" customHeight="1" x14ac:dyDescent="0.35">
      <c r="A19" s="293"/>
      <c r="B19" s="296"/>
      <c r="C19" s="35" t="s">
        <v>34</v>
      </c>
      <c r="D19" s="31">
        <v>70</v>
      </c>
      <c r="E19" s="31" t="s">
        <v>17</v>
      </c>
      <c r="F19" s="11">
        <v>0.1</v>
      </c>
      <c r="G19" s="11">
        <v>1</v>
      </c>
      <c r="H19" s="72">
        <f>+F19*B12</f>
        <v>112</v>
      </c>
      <c r="I19" s="68">
        <v>112</v>
      </c>
      <c r="J19" s="13">
        <f t="shared" si="14"/>
        <v>0</v>
      </c>
      <c r="K19" s="76">
        <v>112</v>
      </c>
      <c r="L19" s="9">
        <f t="shared" si="16"/>
        <v>0</v>
      </c>
      <c r="M19" s="79">
        <v>0</v>
      </c>
      <c r="N19" s="23">
        <f t="shared" si="20"/>
        <v>112</v>
      </c>
      <c r="O19" s="42">
        <f>+N19/B12</f>
        <v>0.1</v>
      </c>
      <c r="P19" s="19">
        <f t="shared" si="21"/>
        <v>0</v>
      </c>
      <c r="Q19" s="82">
        <v>0</v>
      </c>
      <c r="R19" s="9">
        <f t="shared" si="17"/>
        <v>0</v>
      </c>
      <c r="S19" s="9">
        <f t="shared" si="19"/>
        <v>0</v>
      </c>
      <c r="T19" s="9">
        <f t="shared" si="15"/>
        <v>0</v>
      </c>
      <c r="U19" s="12">
        <f t="shared" si="18"/>
        <v>0</v>
      </c>
      <c r="W19" s="102">
        <f t="shared" si="7"/>
        <v>112</v>
      </c>
      <c r="X19" s="103">
        <f t="shared" si="8"/>
        <v>112</v>
      </c>
      <c r="Y19" s="103">
        <f t="shared" si="9"/>
        <v>0</v>
      </c>
      <c r="Z19" s="103">
        <f t="shared" si="10"/>
        <v>0</v>
      </c>
      <c r="AA19" s="104">
        <f t="shared" si="11"/>
        <v>0</v>
      </c>
    </row>
    <row r="20" spans="1:28" ht="20.25" customHeight="1" x14ac:dyDescent="0.35">
      <c r="A20" s="294"/>
      <c r="B20" s="297"/>
      <c r="C20" s="40" t="s">
        <v>35</v>
      </c>
      <c r="D20" s="44">
        <v>2</v>
      </c>
      <c r="E20" s="44" t="s">
        <v>16</v>
      </c>
      <c r="F20" s="53">
        <v>2</v>
      </c>
      <c r="G20" s="45">
        <v>0.04</v>
      </c>
      <c r="H20" s="72">
        <f>+F20*B12</f>
        <v>2240</v>
      </c>
      <c r="I20" s="68">
        <v>2250</v>
      </c>
      <c r="J20" s="13">
        <f t="shared" si="14"/>
        <v>10</v>
      </c>
      <c r="K20" s="76">
        <f>1120*2</f>
        <v>2240</v>
      </c>
      <c r="L20" s="9">
        <f t="shared" si="16"/>
        <v>10</v>
      </c>
      <c r="M20" s="79">
        <v>35</v>
      </c>
      <c r="N20" s="33">
        <f t="shared" si="20"/>
        <v>2205</v>
      </c>
      <c r="O20" s="42">
        <f>+N20/B12</f>
        <v>1.96875</v>
      </c>
      <c r="P20" s="19">
        <f t="shared" si="21"/>
        <v>45</v>
      </c>
      <c r="Q20" s="82">
        <v>0</v>
      </c>
      <c r="R20" s="9">
        <f t="shared" si="17"/>
        <v>45</v>
      </c>
      <c r="S20" s="9">
        <f t="shared" si="19"/>
        <v>1.8</v>
      </c>
      <c r="T20" s="9">
        <f t="shared" si="15"/>
        <v>90</v>
      </c>
      <c r="U20" s="12">
        <f t="shared" si="18"/>
        <v>0.02</v>
      </c>
      <c r="W20" s="115">
        <f t="shared" si="7"/>
        <v>90</v>
      </c>
      <c r="X20" s="116">
        <f t="shared" si="8"/>
        <v>89.600000000000009</v>
      </c>
      <c r="Y20" s="116">
        <f t="shared" si="9"/>
        <v>0.4</v>
      </c>
      <c r="Z20" s="116">
        <f t="shared" si="10"/>
        <v>1.4000000000000001</v>
      </c>
      <c r="AA20" s="117">
        <f t="shared" si="11"/>
        <v>1.8</v>
      </c>
    </row>
    <row r="21" spans="1:28" ht="20.25" customHeight="1" thickBot="1" x14ac:dyDescent="0.4">
      <c r="A21" s="27"/>
      <c r="B21" s="28"/>
      <c r="C21" s="29"/>
      <c r="D21" s="15"/>
      <c r="E21" s="15"/>
      <c r="F21" s="15"/>
      <c r="G21" s="15"/>
      <c r="H21" s="74"/>
      <c r="I21" s="69"/>
      <c r="J21" s="16"/>
      <c r="K21" s="77"/>
      <c r="L21" s="15"/>
      <c r="M21" s="80"/>
      <c r="N21" s="14"/>
      <c r="O21" s="16"/>
      <c r="P21" s="20"/>
      <c r="Q21" s="83"/>
      <c r="R21" s="15"/>
      <c r="S21" s="56">
        <f>SUM(S12:S20)</f>
        <v>48.199999999999996</v>
      </c>
      <c r="T21" s="56">
        <f>SUM(T12:T20)</f>
        <v>2042</v>
      </c>
      <c r="U21" s="16"/>
      <c r="W21" s="118">
        <f>SUM(W12:W20)</f>
        <v>1163</v>
      </c>
      <c r="X21" s="110">
        <f t="shared" ref="X21:AA21" si="22">SUM(X12:X20)</f>
        <v>1141.1999999999998</v>
      </c>
      <c r="Y21" s="114">
        <f t="shared" si="22"/>
        <v>21.799999999999997</v>
      </c>
      <c r="Z21" s="109">
        <f t="shared" si="22"/>
        <v>66.400000000000006</v>
      </c>
      <c r="AA21" s="109">
        <f t="shared" si="22"/>
        <v>48.199999999999996</v>
      </c>
      <c r="AB21" s="94"/>
    </row>
    <row r="22" spans="1:28" ht="20.25" customHeight="1" x14ac:dyDescent="0.35">
      <c r="A22" s="292" t="s">
        <v>39</v>
      </c>
      <c r="B22" s="295">
        <v>1740</v>
      </c>
      <c r="C22" s="34" t="s">
        <v>172</v>
      </c>
      <c r="D22" s="4">
        <v>6.5</v>
      </c>
      <c r="E22" s="4" t="s">
        <v>58</v>
      </c>
      <c r="F22" s="135">
        <v>3</v>
      </c>
      <c r="G22" s="5">
        <v>0.04</v>
      </c>
      <c r="H22" s="71">
        <f>+F22*B22</f>
        <v>5220</v>
      </c>
      <c r="I22" s="67">
        <v>5235</v>
      </c>
      <c r="J22" s="22">
        <f>I22-H22</f>
        <v>15</v>
      </c>
      <c r="K22" s="75">
        <f>1740*3</f>
        <v>5220</v>
      </c>
      <c r="L22" s="3">
        <f>+I22-K22</f>
        <v>15</v>
      </c>
      <c r="M22" s="78">
        <v>45</v>
      </c>
      <c r="N22" s="21">
        <f>+K22-M22</f>
        <v>5175</v>
      </c>
      <c r="O22" s="41">
        <f>+N22/B22</f>
        <v>2.9741379310344827</v>
      </c>
      <c r="P22" s="18">
        <f>+L22+M22</f>
        <v>60</v>
      </c>
      <c r="Q22" s="81">
        <v>40</v>
      </c>
      <c r="R22" s="3">
        <f>+P22-Q22</f>
        <v>20</v>
      </c>
      <c r="S22" s="3">
        <f>+R22*G22</f>
        <v>0.8</v>
      </c>
      <c r="T22" s="3">
        <f>+R22*D22</f>
        <v>130</v>
      </c>
      <c r="U22" s="6">
        <f>+R22/I22</f>
        <v>3.8204393505253103E-3</v>
      </c>
      <c r="W22" s="111">
        <f t="shared" si="7"/>
        <v>209.4</v>
      </c>
      <c r="X22" s="112">
        <f t="shared" si="8"/>
        <v>208.8</v>
      </c>
      <c r="Y22" s="112">
        <f t="shared" si="9"/>
        <v>0.6</v>
      </c>
      <c r="Z22" s="112">
        <f t="shared" si="10"/>
        <v>1.8</v>
      </c>
      <c r="AA22" s="113">
        <f t="shared" si="11"/>
        <v>0.8</v>
      </c>
    </row>
    <row r="23" spans="1:28" ht="20.25" customHeight="1" x14ac:dyDescent="0.35">
      <c r="A23" s="293"/>
      <c r="B23" s="296"/>
      <c r="C23" s="35" t="s">
        <v>56</v>
      </c>
      <c r="D23" s="10">
        <v>1</v>
      </c>
      <c r="E23" s="10" t="s">
        <v>61</v>
      </c>
      <c r="F23" s="49">
        <v>0.1</v>
      </c>
      <c r="G23" s="11">
        <v>0.01</v>
      </c>
      <c r="H23" s="70">
        <f>+F23*B22</f>
        <v>174</v>
      </c>
      <c r="I23" s="68">
        <v>174</v>
      </c>
      <c r="J23" s="13">
        <f>I23-H23</f>
        <v>0</v>
      </c>
      <c r="K23" s="76">
        <v>174</v>
      </c>
      <c r="L23" s="9">
        <f t="shared" ref="L23:L25" si="23">+I23-K23</f>
        <v>0</v>
      </c>
      <c r="M23" s="79">
        <v>6</v>
      </c>
      <c r="N23" s="23">
        <f t="shared" ref="N23:N25" si="24">+K23-M23</f>
        <v>168</v>
      </c>
      <c r="O23" s="42">
        <f>+N23/B22</f>
        <v>9.6551724137931033E-2</v>
      </c>
      <c r="P23" s="19">
        <f>+L23+M23</f>
        <v>6</v>
      </c>
      <c r="Q23" s="82">
        <v>0</v>
      </c>
      <c r="R23" s="9">
        <f t="shared" ref="R23:R25" si="25">+P23-Q23</f>
        <v>6</v>
      </c>
      <c r="S23" s="9">
        <f>+R23*G23</f>
        <v>0.06</v>
      </c>
      <c r="T23" s="9">
        <f>+R23*D23</f>
        <v>6</v>
      </c>
      <c r="U23" s="12">
        <f t="shared" ref="U23:U25" si="26">+R23/I23</f>
        <v>3.4482758620689655E-2</v>
      </c>
      <c r="W23" s="102">
        <f t="shared" si="7"/>
        <v>1.74</v>
      </c>
      <c r="X23" s="103">
        <f t="shared" si="8"/>
        <v>1.74</v>
      </c>
      <c r="Y23" s="103">
        <f t="shared" si="9"/>
        <v>0</v>
      </c>
      <c r="Z23" s="103">
        <f t="shared" si="10"/>
        <v>0.06</v>
      </c>
      <c r="AA23" s="104">
        <f t="shared" si="11"/>
        <v>0.06</v>
      </c>
    </row>
    <row r="24" spans="1:28" ht="20.25" customHeight="1" x14ac:dyDescent="0.35">
      <c r="A24" s="293"/>
      <c r="B24" s="296"/>
      <c r="C24" s="35" t="s">
        <v>173</v>
      </c>
      <c r="D24" s="10">
        <v>6</v>
      </c>
      <c r="E24" s="10" t="s">
        <v>16</v>
      </c>
      <c r="F24" s="126">
        <v>1</v>
      </c>
      <c r="G24" s="11">
        <v>0.05</v>
      </c>
      <c r="H24" s="72">
        <f>+F24*B22</f>
        <v>1740</v>
      </c>
      <c r="I24" s="68">
        <v>1620</v>
      </c>
      <c r="J24" s="13">
        <f>I24-H24</f>
        <v>-120</v>
      </c>
      <c r="K24" s="76">
        <f>1740-120</f>
        <v>1620</v>
      </c>
      <c r="L24" s="9">
        <f t="shared" si="23"/>
        <v>0</v>
      </c>
      <c r="M24" s="79">
        <v>0</v>
      </c>
      <c r="N24" s="33">
        <f t="shared" si="24"/>
        <v>1620</v>
      </c>
      <c r="O24" s="42">
        <f>+N24/B22</f>
        <v>0.93103448275862066</v>
      </c>
      <c r="P24" s="19">
        <f>+L24+M24</f>
        <v>0</v>
      </c>
      <c r="Q24" s="82">
        <v>0</v>
      </c>
      <c r="R24" s="9">
        <f t="shared" si="25"/>
        <v>0</v>
      </c>
      <c r="S24" s="9">
        <f>+R24*G24</f>
        <v>0</v>
      </c>
      <c r="T24" s="9">
        <f>+R24*D24</f>
        <v>0</v>
      </c>
      <c r="U24" s="12">
        <f t="shared" si="26"/>
        <v>0</v>
      </c>
      <c r="W24" s="102">
        <f t="shared" si="7"/>
        <v>81</v>
      </c>
      <c r="X24" s="103">
        <f t="shared" si="8"/>
        <v>81</v>
      </c>
      <c r="Y24" s="103">
        <f t="shared" si="9"/>
        <v>0</v>
      </c>
      <c r="Z24" s="103">
        <f t="shared" si="10"/>
        <v>0</v>
      </c>
      <c r="AA24" s="104">
        <f t="shared" si="11"/>
        <v>0</v>
      </c>
    </row>
    <row r="25" spans="1:28" ht="20.25" customHeight="1" x14ac:dyDescent="0.35">
      <c r="A25" s="293"/>
      <c r="B25" s="296"/>
      <c r="C25" s="35" t="s">
        <v>14</v>
      </c>
      <c r="D25" s="10">
        <v>60</v>
      </c>
      <c r="E25" s="10" t="s">
        <v>18</v>
      </c>
      <c r="F25" s="49">
        <v>0.1</v>
      </c>
      <c r="G25" s="11">
        <v>1</v>
      </c>
      <c r="H25" s="72">
        <f>+F25*B22</f>
        <v>174</v>
      </c>
      <c r="I25" s="68">
        <v>174</v>
      </c>
      <c r="J25" s="13">
        <f>I25-H25</f>
        <v>0</v>
      </c>
      <c r="K25" s="76">
        <v>174</v>
      </c>
      <c r="L25" s="9">
        <f t="shared" si="23"/>
        <v>0</v>
      </c>
      <c r="M25" s="79">
        <v>2</v>
      </c>
      <c r="N25" s="23">
        <f t="shared" si="24"/>
        <v>172</v>
      </c>
      <c r="O25" s="42">
        <f>+N25/B22</f>
        <v>9.8850574712643677E-2</v>
      </c>
      <c r="P25" s="19">
        <f t="shared" ref="P25" si="27">+L25+M25</f>
        <v>2</v>
      </c>
      <c r="Q25" s="82">
        <v>0</v>
      </c>
      <c r="R25" s="9">
        <f t="shared" si="25"/>
        <v>2</v>
      </c>
      <c r="S25" s="9">
        <f>+R25*G25</f>
        <v>2</v>
      </c>
      <c r="T25" s="9">
        <f>+R25*D25</f>
        <v>120</v>
      </c>
      <c r="U25" s="12">
        <f t="shared" si="26"/>
        <v>1.1494252873563218E-2</v>
      </c>
      <c r="W25" s="105">
        <f t="shared" si="7"/>
        <v>174</v>
      </c>
      <c r="X25" s="106">
        <f t="shared" si="8"/>
        <v>174</v>
      </c>
      <c r="Y25" s="106">
        <f t="shared" si="9"/>
        <v>0</v>
      </c>
      <c r="Z25" s="106">
        <f t="shared" si="10"/>
        <v>2</v>
      </c>
      <c r="AA25" s="107">
        <f t="shared" si="11"/>
        <v>2</v>
      </c>
    </row>
    <row r="26" spans="1:28" ht="21.75" customHeight="1" thickBot="1" x14ac:dyDescent="0.4">
      <c r="A26" s="27"/>
      <c r="B26" s="55"/>
      <c r="C26" s="29"/>
      <c r="D26" s="15"/>
      <c r="E26" s="15"/>
      <c r="F26" s="15"/>
      <c r="G26" s="15"/>
      <c r="H26" s="74"/>
      <c r="I26" s="69"/>
      <c r="J26" s="16"/>
      <c r="K26" s="77"/>
      <c r="L26" s="15"/>
      <c r="M26" s="80"/>
      <c r="N26" s="14"/>
      <c r="O26" s="16"/>
      <c r="P26" s="20"/>
      <c r="Q26" s="83"/>
      <c r="R26" s="15"/>
      <c r="S26" s="56">
        <f>SUM(S22:S25)</f>
        <v>2.8600000000000003</v>
      </c>
      <c r="T26" s="56">
        <f>SUM(T22:T25)</f>
        <v>256</v>
      </c>
      <c r="U26" s="16"/>
      <c r="W26" s="123">
        <f>SUM(W22:W25)</f>
        <v>466.14</v>
      </c>
      <c r="X26" s="124">
        <f t="shared" ref="X26:AA26" si="28">SUM(X22:X25)</f>
        <v>465.54</v>
      </c>
      <c r="Y26" s="124">
        <f t="shared" si="28"/>
        <v>0.6</v>
      </c>
      <c r="Z26" s="124">
        <f t="shared" si="28"/>
        <v>3.8600000000000003</v>
      </c>
      <c r="AA26" s="125">
        <f t="shared" si="28"/>
        <v>2.8600000000000003</v>
      </c>
    </row>
    <row r="27" spans="1:28" ht="20.25" customHeight="1" x14ac:dyDescent="0.35">
      <c r="A27" s="292" t="s">
        <v>40</v>
      </c>
      <c r="B27" s="295">
        <v>1252</v>
      </c>
      <c r="C27" s="34" t="s">
        <v>31</v>
      </c>
      <c r="D27" s="4">
        <v>20</v>
      </c>
      <c r="E27" s="30" t="s">
        <v>17</v>
      </c>
      <c r="F27" s="52">
        <v>0.35</v>
      </c>
      <c r="G27" s="5">
        <v>1</v>
      </c>
      <c r="H27" s="71">
        <f>+F27*B27</f>
        <v>438.2</v>
      </c>
      <c r="I27" s="67">
        <v>442</v>
      </c>
      <c r="J27" s="22">
        <f t="shared" ref="J27:J35" si="29">I27-H27</f>
        <v>3.8000000000000114</v>
      </c>
      <c r="K27" s="75">
        <v>438.2</v>
      </c>
      <c r="L27" s="3">
        <f>+I27-K27</f>
        <v>3.8000000000000114</v>
      </c>
      <c r="M27" s="78">
        <v>15</v>
      </c>
      <c r="N27" s="21">
        <f>+K27-M27</f>
        <v>423.2</v>
      </c>
      <c r="O27" s="41">
        <f>+N27/B27</f>
        <v>0.3380191693290735</v>
      </c>
      <c r="P27" s="18">
        <f>+L27+M27</f>
        <v>18.800000000000011</v>
      </c>
      <c r="Q27" s="81">
        <v>6</v>
      </c>
      <c r="R27" s="3">
        <f>+P27-Q27</f>
        <v>12.800000000000011</v>
      </c>
      <c r="S27" s="3">
        <f t="shared" ref="S27:S35" si="30">+R27*G27</f>
        <v>12.800000000000011</v>
      </c>
      <c r="T27" s="3">
        <f t="shared" ref="T27:T35" si="31">+R27*D27</f>
        <v>256.00000000000023</v>
      </c>
      <c r="U27" s="6">
        <f>+R27/I27</f>
        <v>2.8959276018099573E-2</v>
      </c>
      <c r="W27" s="111">
        <f t="shared" si="7"/>
        <v>442</v>
      </c>
      <c r="X27" s="112">
        <f t="shared" si="8"/>
        <v>438.2</v>
      </c>
      <c r="Y27" s="112">
        <f t="shared" si="9"/>
        <v>3.8000000000000114</v>
      </c>
      <c r="Z27" s="112">
        <f t="shared" si="10"/>
        <v>15</v>
      </c>
      <c r="AA27" s="113">
        <f t="shared" si="11"/>
        <v>12.800000000000011</v>
      </c>
    </row>
    <row r="28" spans="1:28" ht="20.25" customHeight="1" x14ac:dyDescent="0.35">
      <c r="A28" s="293"/>
      <c r="B28" s="296"/>
      <c r="C28" s="35" t="s">
        <v>78</v>
      </c>
      <c r="D28" s="10">
        <v>65</v>
      </c>
      <c r="E28" s="31" t="s">
        <v>17</v>
      </c>
      <c r="F28" s="49">
        <v>0.1</v>
      </c>
      <c r="G28" s="11">
        <v>1</v>
      </c>
      <c r="H28" s="70">
        <f>+F28*B27</f>
        <v>125.2</v>
      </c>
      <c r="I28" s="68">
        <v>127</v>
      </c>
      <c r="J28" s="13">
        <f t="shared" si="29"/>
        <v>1.7999999999999972</v>
      </c>
      <c r="K28" s="76">
        <v>125.2</v>
      </c>
      <c r="L28" s="9">
        <f t="shared" ref="L28:L35" si="32">+I28-K28</f>
        <v>1.7999999999999972</v>
      </c>
      <c r="M28" s="79">
        <v>3.5</v>
      </c>
      <c r="N28" s="23">
        <f t="shared" ref="N28:N35" si="33">+K28-M28</f>
        <v>121.7</v>
      </c>
      <c r="O28" s="42">
        <f>+N28/B27</f>
        <v>9.7204472843450476E-2</v>
      </c>
      <c r="P28" s="19">
        <f>+L28+M28</f>
        <v>5.2999999999999972</v>
      </c>
      <c r="Q28" s="82">
        <v>0</v>
      </c>
      <c r="R28" s="9">
        <f t="shared" ref="R28:R35" si="34">+P28-Q28</f>
        <v>5.2999999999999972</v>
      </c>
      <c r="S28" s="9">
        <f t="shared" si="30"/>
        <v>5.2999999999999972</v>
      </c>
      <c r="T28" s="9">
        <f t="shared" si="31"/>
        <v>344.49999999999983</v>
      </c>
      <c r="U28" s="12">
        <f t="shared" ref="U28:U35" si="35">+R28/I28</f>
        <v>4.1732283464566908E-2</v>
      </c>
      <c r="W28" s="102">
        <f t="shared" si="7"/>
        <v>127</v>
      </c>
      <c r="X28" s="103">
        <f t="shared" si="8"/>
        <v>125.2</v>
      </c>
      <c r="Y28" s="103">
        <f t="shared" si="9"/>
        <v>1.7999999999999972</v>
      </c>
      <c r="Z28" s="103">
        <f t="shared" si="10"/>
        <v>3.5</v>
      </c>
      <c r="AA28" s="104">
        <f t="shared" si="11"/>
        <v>5.2999999999999972</v>
      </c>
    </row>
    <row r="29" spans="1:28" ht="20.25" customHeight="1" x14ac:dyDescent="0.35">
      <c r="A29" s="293"/>
      <c r="B29" s="296"/>
      <c r="C29" s="35" t="s">
        <v>174</v>
      </c>
      <c r="D29" s="10">
        <v>90</v>
      </c>
      <c r="E29" s="31" t="s">
        <v>17</v>
      </c>
      <c r="F29" s="49">
        <v>0.08</v>
      </c>
      <c r="G29" s="11">
        <v>1</v>
      </c>
      <c r="H29" s="72">
        <f>+F29*B27</f>
        <v>100.16</v>
      </c>
      <c r="I29" s="68">
        <v>102</v>
      </c>
      <c r="J29" s="13">
        <f t="shared" si="29"/>
        <v>1.8400000000000034</v>
      </c>
      <c r="K29" s="76">
        <v>100.2</v>
      </c>
      <c r="L29" s="9">
        <f t="shared" si="32"/>
        <v>1.7999999999999972</v>
      </c>
      <c r="M29" s="79">
        <v>3</v>
      </c>
      <c r="N29" s="33">
        <f t="shared" si="33"/>
        <v>97.2</v>
      </c>
      <c r="O29" s="42">
        <f>+N29/B27</f>
        <v>7.763578274760384E-2</v>
      </c>
      <c r="P29" s="19">
        <f>+L29+M29</f>
        <v>4.7999999999999972</v>
      </c>
      <c r="Q29" s="82">
        <v>0</v>
      </c>
      <c r="R29" s="9">
        <f t="shared" si="34"/>
        <v>4.7999999999999972</v>
      </c>
      <c r="S29" s="9">
        <f t="shared" si="30"/>
        <v>4.7999999999999972</v>
      </c>
      <c r="T29" s="9">
        <f t="shared" si="31"/>
        <v>431.99999999999977</v>
      </c>
      <c r="U29" s="12">
        <f t="shared" si="35"/>
        <v>4.7058823529411736E-2</v>
      </c>
      <c r="W29" s="102">
        <f t="shared" si="7"/>
        <v>102</v>
      </c>
      <c r="X29" s="103">
        <f t="shared" si="8"/>
        <v>100.2</v>
      </c>
      <c r="Y29" s="103">
        <f t="shared" si="9"/>
        <v>1.7999999999999972</v>
      </c>
      <c r="Z29" s="103">
        <f t="shared" si="10"/>
        <v>3</v>
      </c>
      <c r="AA29" s="104">
        <f t="shared" si="11"/>
        <v>4.7999999999999972</v>
      </c>
    </row>
    <row r="30" spans="1:28" ht="20.25" customHeight="1" x14ac:dyDescent="0.35">
      <c r="A30" s="293"/>
      <c r="B30" s="296"/>
      <c r="C30" s="35" t="s">
        <v>73</v>
      </c>
      <c r="D30" s="10">
        <v>55</v>
      </c>
      <c r="E30" s="31" t="s">
        <v>17</v>
      </c>
      <c r="F30" s="49">
        <v>0.1</v>
      </c>
      <c r="G30" s="11">
        <v>1</v>
      </c>
      <c r="H30" s="72">
        <f>+F30*B27</f>
        <v>125.2</v>
      </c>
      <c r="I30" s="68">
        <v>127.5</v>
      </c>
      <c r="J30" s="13">
        <f t="shared" si="29"/>
        <v>2.2999999999999972</v>
      </c>
      <c r="K30" s="76">
        <v>125.2</v>
      </c>
      <c r="L30" s="9">
        <f t="shared" si="32"/>
        <v>2.2999999999999972</v>
      </c>
      <c r="M30" s="79">
        <v>3</v>
      </c>
      <c r="N30" s="23">
        <f t="shared" si="33"/>
        <v>122.2</v>
      </c>
      <c r="O30" s="42">
        <f>+N30/B27</f>
        <v>9.7603833865814699E-2</v>
      </c>
      <c r="P30" s="19">
        <f t="shared" ref="P30:P35" si="36">+L30+M30</f>
        <v>5.2999999999999972</v>
      </c>
      <c r="Q30" s="82">
        <v>0</v>
      </c>
      <c r="R30" s="9">
        <f t="shared" si="34"/>
        <v>5.2999999999999972</v>
      </c>
      <c r="S30" s="9">
        <f t="shared" si="30"/>
        <v>5.2999999999999972</v>
      </c>
      <c r="T30" s="9">
        <f t="shared" si="31"/>
        <v>291.49999999999983</v>
      </c>
      <c r="U30" s="12">
        <f t="shared" si="35"/>
        <v>4.1568627450980368E-2</v>
      </c>
      <c r="W30" s="102">
        <f t="shared" si="7"/>
        <v>127.5</v>
      </c>
      <c r="X30" s="103">
        <f t="shared" si="8"/>
        <v>125.2</v>
      </c>
      <c r="Y30" s="103">
        <f t="shared" si="9"/>
        <v>2.2999999999999972</v>
      </c>
      <c r="Z30" s="103">
        <f t="shared" si="10"/>
        <v>3</v>
      </c>
      <c r="AA30" s="104">
        <f t="shared" si="11"/>
        <v>5.2999999999999972</v>
      </c>
    </row>
    <row r="31" spans="1:28" ht="20.25" customHeight="1" x14ac:dyDescent="0.35">
      <c r="A31" s="293"/>
      <c r="B31" s="296"/>
      <c r="C31" s="35" t="s">
        <v>32</v>
      </c>
      <c r="D31" s="10">
        <v>48</v>
      </c>
      <c r="E31" s="31" t="s">
        <v>18</v>
      </c>
      <c r="F31" s="49">
        <v>0.08</v>
      </c>
      <c r="G31" s="11">
        <v>1</v>
      </c>
      <c r="H31" s="72">
        <f>+F31*B27</f>
        <v>100.16</v>
      </c>
      <c r="I31" s="68">
        <v>104</v>
      </c>
      <c r="J31" s="13">
        <f t="shared" si="29"/>
        <v>3.8400000000000034</v>
      </c>
      <c r="K31" s="76">
        <v>100.2</v>
      </c>
      <c r="L31" s="9">
        <f t="shared" si="32"/>
        <v>3.7999999999999972</v>
      </c>
      <c r="M31" s="79">
        <v>4</v>
      </c>
      <c r="N31" s="33">
        <f t="shared" si="33"/>
        <v>96.2</v>
      </c>
      <c r="O31" s="42">
        <f>+N31/B27</f>
        <v>7.6837060702875395E-2</v>
      </c>
      <c r="P31" s="19">
        <f t="shared" si="36"/>
        <v>7.7999999999999972</v>
      </c>
      <c r="Q31" s="82">
        <v>0</v>
      </c>
      <c r="R31" s="9">
        <f t="shared" si="34"/>
        <v>7.7999999999999972</v>
      </c>
      <c r="S31" s="9">
        <f t="shared" si="30"/>
        <v>7.7999999999999972</v>
      </c>
      <c r="T31" s="9">
        <f t="shared" si="31"/>
        <v>374.39999999999986</v>
      </c>
      <c r="U31" s="12">
        <f t="shared" si="35"/>
        <v>7.4999999999999969E-2</v>
      </c>
      <c r="W31" s="102">
        <f t="shared" si="7"/>
        <v>104</v>
      </c>
      <c r="X31" s="103">
        <f t="shared" si="8"/>
        <v>100.2</v>
      </c>
      <c r="Y31" s="103">
        <f t="shared" si="9"/>
        <v>3.7999999999999972</v>
      </c>
      <c r="Z31" s="103">
        <f t="shared" si="10"/>
        <v>4</v>
      </c>
      <c r="AA31" s="104">
        <f t="shared" si="11"/>
        <v>7.7999999999999972</v>
      </c>
    </row>
    <row r="32" spans="1:28" ht="20.25" customHeight="1" x14ac:dyDescent="0.35">
      <c r="A32" s="293"/>
      <c r="B32" s="296"/>
      <c r="C32" s="35" t="s">
        <v>54</v>
      </c>
      <c r="D32" s="10">
        <v>35</v>
      </c>
      <c r="E32" s="31" t="s">
        <v>18</v>
      </c>
      <c r="F32" s="49">
        <v>0.08</v>
      </c>
      <c r="G32" s="11">
        <v>1</v>
      </c>
      <c r="H32" s="73">
        <f>+F32*B27</f>
        <v>100.16</v>
      </c>
      <c r="I32" s="68">
        <v>102.5</v>
      </c>
      <c r="J32" s="13">
        <f t="shared" si="29"/>
        <v>2.3400000000000034</v>
      </c>
      <c r="K32" s="76">
        <v>100.2</v>
      </c>
      <c r="L32" s="9">
        <f t="shared" si="32"/>
        <v>2.2999999999999972</v>
      </c>
      <c r="M32" s="79">
        <v>7</v>
      </c>
      <c r="N32" s="23">
        <f t="shared" si="33"/>
        <v>93.2</v>
      </c>
      <c r="O32" s="42">
        <f>+N32/B27</f>
        <v>7.4440894568690102E-2</v>
      </c>
      <c r="P32" s="19">
        <f t="shared" si="36"/>
        <v>9.2999999999999972</v>
      </c>
      <c r="Q32" s="82">
        <v>0</v>
      </c>
      <c r="R32" s="9">
        <f t="shared" si="34"/>
        <v>9.2999999999999972</v>
      </c>
      <c r="S32" s="9">
        <f t="shared" si="30"/>
        <v>9.2999999999999972</v>
      </c>
      <c r="T32" s="9">
        <f t="shared" si="31"/>
        <v>325.49999999999989</v>
      </c>
      <c r="U32" s="12">
        <f t="shared" si="35"/>
        <v>9.073170731707314E-2</v>
      </c>
      <c r="W32" s="102">
        <f t="shared" si="7"/>
        <v>102.5</v>
      </c>
      <c r="X32" s="103">
        <f t="shared" si="8"/>
        <v>100.2</v>
      </c>
      <c r="Y32" s="103">
        <f t="shared" si="9"/>
        <v>2.2999999999999972</v>
      </c>
      <c r="Z32" s="103">
        <f t="shared" si="10"/>
        <v>7</v>
      </c>
      <c r="AA32" s="104">
        <f t="shared" si="11"/>
        <v>9.2999999999999972</v>
      </c>
    </row>
    <row r="33" spans="1:28" ht="20.25" customHeight="1" x14ac:dyDescent="0.35">
      <c r="A33" s="293"/>
      <c r="B33" s="296"/>
      <c r="C33" s="35" t="s">
        <v>33</v>
      </c>
      <c r="D33" s="10">
        <v>50</v>
      </c>
      <c r="E33" s="31" t="s">
        <v>17</v>
      </c>
      <c r="F33" s="49">
        <v>0.03</v>
      </c>
      <c r="G33" s="11">
        <v>1</v>
      </c>
      <c r="H33" s="72">
        <f>+F33*B27</f>
        <v>37.559999999999995</v>
      </c>
      <c r="I33" s="68">
        <v>38.6</v>
      </c>
      <c r="J33" s="13">
        <f t="shared" si="29"/>
        <v>1.0400000000000063</v>
      </c>
      <c r="K33" s="76">
        <v>37.6</v>
      </c>
      <c r="L33" s="9">
        <f t="shared" si="32"/>
        <v>1</v>
      </c>
      <c r="M33" s="79">
        <v>4</v>
      </c>
      <c r="N33" s="23">
        <f t="shared" si="33"/>
        <v>33.6</v>
      </c>
      <c r="O33" s="42">
        <f>+N33/B27</f>
        <v>2.68370607028754E-2</v>
      </c>
      <c r="P33" s="19">
        <f t="shared" si="36"/>
        <v>5</v>
      </c>
      <c r="Q33" s="82">
        <v>0</v>
      </c>
      <c r="R33" s="9">
        <f t="shared" si="34"/>
        <v>5</v>
      </c>
      <c r="S33" s="9">
        <f t="shared" si="30"/>
        <v>5</v>
      </c>
      <c r="T33" s="9">
        <f t="shared" si="31"/>
        <v>250</v>
      </c>
      <c r="U33" s="12">
        <f t="shared" si="35"/>
        <v>0.12953367875647667</v>
      </c>
      <c r="W33" s="102">
        <f t="shared" si="7"/>
        <v>38.6</v>
      </c>
      <c r="X33" s="103">
        <f t="shared" si="8"/>
        <v>37.6</v>
      </c>
      <c r="Y33" s="103">
        <f t="shared" si="9"/>
        <v>1</v>
      </c>
      <c r="Z33" s="103">
        <f t="shared" si="10"/>
        <v>4</v>
      </c>
      <c r="AA33" s="104">
        <f t="shared" si="11"/>
        <v>5</v>
      </c>
    </row>
    <row r="34" spans="1:28" ht="20.25" customHeight="1" x14ac:dyDescent="0.35">
      <c r="A34" s="293"/>
      <c r="B34" s="296"/>
      <c r="C34" s="35" t="s">
        <v>34</v>
      </c>
      <c r="D34" s="31">
        <v>70</v>
      </c>
      <c r="E34" s="31" t="s">
        <v>17</v>
      </c>
      <c r="F34" s="11">
        <v>0.1</v>
      </c>
      <c r="G34" s="11">
        <v>1</v>
      </c>
      <c r="H34" s="72">
        <f>+F34*B27</f>
        <v>125.2</v>
      </c>
      <c r="I34" s="68">
        <v>125.2</v>
      </c>
      <c r="J34" s="13">
        <f t="shared" si="29"/>
        <v>0</v>
      </c>
      <c r="K34" s="76">
        <v>125.2</v>
      </c>
      <c r="L34" s="9">
        <f t="shared" si="32"/>
        <v>0</v>
      </c>
      <c r="M34" s="79">
        <v>0</v>
      </c>
      <c r="N34" s="23">
        <f t="shared" si="33"/>
        <v>125.2</v>
      </c>
      <c r="O34" s="42">
        <f>+N34/B27</f>
        <v>0.1</v>
      </c>
      <c r="P34" s="19">
        <f t="shared" si="36"/>
        <v>0</v>
      </c>
      <c r="Q34" s="82">
        <v>0</v>
      </c>
      <c r="R34" s="9">
        <f t="shared" si="34"/>
        <v>0</v>
      </c>
      <c r="S34" s="9">
        <f t="shared" si="30"/>
        <v>0</v>
      </c>
      <c r="T34" s="9">
        <f t="shared" si="31"/>
        <v>0</v>
      </c>
      <c r="U34" s="12">
        <f t="shared" si="35"/>
        <v>0</v>
      </c>
      <c r="W34" s="102">
        <f t="shared" si="7"/>
        <v>125.2</v>
      </c>
      <c r="X34" s="103">
        <f t="shared" si="8"/>
        <v>125.2</v>
      </c>
      <c r="Y34" s="103">
        <f t="shared" si="9"/>
        <v>0</v>
      </c>
      <c r="Z34" s="103">
        <f t="shared" si="10"/>
        <v>0</v>
      </c>
      <c r="AA34" s="104">
        <f t="shared" si="11"/>
        <v>0</v>
      </c>
    </row>
    <row r="35" spans="1:28" ht="20.25" customHeight="1" x14ac:dyDescent="0.35">
      <c r="A35" s="294"/>
      <c r="B35" s="297"/>
      <c r="C35" s="40" t="s">
        <v>35</v>
      </c>
      <c r="D35" s="44">
        <v>2</v>
      </c>
      <c r="E35" s="44" t="s">
        <v>16</v>
      </c>
      <c r="F35" s="53">
        <v>2</v>
      </c>
      <c r="G35" s="45">
        <v>0.04</v>
      </c>
      <c r="H35" s="72">
        <f>+F35*B27</f>
        <v>2504</v>
      </c>
      <c r="I35" s="68">
        <v>2515</v>
      </c>
      <c r="J35" s="13">
        <f t="shared" si="29"/>
        <v>11</v>
      </c>
      <c r="K35" s="76">
        <v>2504</v>
      </c>
      <c r="L35" s="9">
        <f t="shared" si="32"/>
        <v>11</v>
      </c>
      <c r="M35" s="79">
        <v>30</v>
      </c>
      <c r="N35" s="33">
        <f t="shared" si="33"/>
        <v>2474</v>
      </c>
      <c r="O35" s="42">
        <f>+N35/B27</f>
        <v>1.976038338658147</v>
      </c>
      <c r="P35" s="19">
        <f t="shared" si="36"/>
        <v>41</v>
      </c>
      <c r="Q35" s="82">
        <v>0</v>
      </c>
      <c r="R35" s="9">
        <f t="shared" si="34"/>
        <v>41</v>
      </c>
      <c r="S35" s="9">
        <f t="shared" si="30"/>
        <v>1.6400000000000001</v>
      </c>
      <c r="T35" s="9">
        <f t="shared" si="31"/>
        <v>82</v>
      </c>
      <c r="U35" s="12">
        <f t="shared" si="35"/>
        <v>1.6302186878727636E-2</v>
      </c>
      <c r="W35" s="105">
        <f t="shared" si="7"/>
        <v>100.60000000000001</v>
      </c>
      <c r="X35" s="106">
        <f t="shared" si="8"/>
        <v>100.16</v>
      </c>
      <c r="Y35" s="106">
        <f t="shared" si="9"/>
        <v>0.44</v>
      </c>
      <c r="Z35" s="106">
        <f t="shared" si="10"/>
        <v>1.2</v>
      </c>
      <c r="AA35" s="107">
        <f t="shared" si="11"/>
        <v>1.6400000000000001</v>
      </c>
    </row>
    <row r="36" spans="1:28" ht="23.25" customHeight="1" thickBot="1" x14ac:dyDescent="0.4">
      <c r="A36" s="27"/>
      <c r="B36" s="57"/>
      <c r="C36" s="29"/>
      <c r="D36" s="15"/>
      <c r="E36" s="15"/>
      <c r="F36" s="15"/>
      <c r="G36" s="15"/>
      <c r="H36" s="14"/>
      <c r="I36" s="15"/>
      <c r="J36" s="16"/>
      <c r="K36" s="14"/>
      <c r="L36" s="15"/>
      <c r="M36" s="16"/>
      <c r="N36" s="14"/>
      <c r="O36" s="16"/>
      <c r="P36" s="20"/>
      <c r="Q36" s="15"/>
      <c r="R36" s="15"/>
      <c r="S36" s="56">
        <f>SUM(S27:S35)</f>
        <v>51.94</v>
      </c>
      <c r="T36" s="56">
        <f>SUM(T27:T35)</f>
        <v>2355.8999999999992</v>
      </c>
      <c r="U36" s="16"/>
      <c r="W36" s="122">
        <f>SUM(W27:W35)</f>
        <v>1269.3999999999999</v>
      </c>
      <c r="X36" s="109">
        <f t="shared" ref="X36:AA36" si="37">SUM(X27:X35)</f>
        <v>1252.1600000000003</v>
      </c>
      <c r="Y36" s="109">
        <f t="shared" si="37"/>
        <v>17.239999999999998</v>
      </c>
      <c r="Z36" s="110">
        <f t="shared" si="37"/>
        <v>40.700000000000003</v>
      </c>
      <c r="AA36" s="114">
        <f t="shared" si="37"/>
        <v>51.94</v>
      </c>
      <c r="AB36" s="94"/>
    </row>
    <row r="37" spans="1:28" ht="31.5" customHeight="1" thickBot="1" x14ac:dyDescent="0.4">
      <c r="A37" s="58" t="s">
        <v>42</v>
      </c>
      <c r="B37" s="32">
        <f>+B4+B12+B22+B27</f>
        <v>5310</v>
      </c>
      <c r="C37" s="29"/>
      <c r="D37" s="15"/>
      <c r="E37" s="15"/>
      <c r="F37" s="15"/>
      <c r="G37" s="15"/>
      <c r="H37" s="14"/>
      <c r="I37" s="15"/>
      <c r="J37" s="16"/>
      <c r="K37" s="14"/>
      <c r="L37" s="15"/>
      <c r="M37" s="16"/>
      <c r="N37" s="14"/>
      <c r="O37" s="16"/>
      <c r="P37" s="20"/>
      <c r="Q37" s="15"/>
      <c r="R37" s="17"/>
      <c r="S37" s="85">
        <f>+S36+S26+S21+S11</f>
        <v>141.60000000000002</v>
      </c>
      <c r="T37" s="85">
        <f>+T36+T26+T21+T11</f>
        <v>6772.3</v>
      </c>
      <c r="U37" s="62"/>
      <c r="W37" s="108">
        <f>+W11+W21+W26+W36</f>
        <v>3687.84</v>
      </c>
      <c r="X37" s="119">
        <f t="shared" ref="X37:AA37" si="38">+X11+X21+X26+X36</f>
        <v>3637.6</v>
      </c>
      <c r="Y37" s="119">
        <f t="shared" si="38"/>
        <v>50.240000000000009</v>
      </c>
      <c r="Z37" s="121">
        <f t="shared" si="38"/>
        <v>138.96</v>
      </c>
      <c r="AA37" s="120">
        <f t="shared" si="38"/>
        <v>141.60000000000002</v>
      </c>
      <c r="AB37" s="94"/>
    </row>
    <row r="38" spans="1:28" x14ac:dyDescent="0.35">
      <c r="B38" s="59"/>
      <c r="Y38" s="63"/>
    </row>
    <row r="39" spans="1:28" ht="15" thickBot="1" x14ac:dyDescent="0.4">
      <c r="W39" s="63"/>
      <c r="X39" s="63"/>
      <c r="Y39" s="63"/>
      <c r="Z39" s="63"/>
      <c r="AA39" s="63"/>
    </row>
    <row r="40" spans="1:28" ht="18" customHeight="1" x14ac:dyDescent="0.35">
      <c r="A40" s="271"/>
      <c r="B40" s="271"/>
      <c r="C40" s="271"/>
      <c r="D40" s="271"/>
      <c r="E40" s="271"/>
      <c r="F40" s="271"/>
      <c r="S40" s="341" t="s">
        <v>188</v>
      </c>
      <c r="T40" s="342"/>
      <c r="U40" s="342"/>
      <c r="V40" s="342"/>
      <c r="W40" s="342"/>
      <c r="X40" s="342"/>
      <c r="Y40" s="342"/>
      <c r="Z40" s="342"/>
      <c r="AA40" s="343"/>
    </row>
    <row r="41" spans="1:28" ht="36.75" customHeight="1" x14ac:dyDescent="0.35">
      <c r="A41" s="255"/>
      <c r="B41" s="255"/>
      <c r="C41" s="255"/>
      <c r="D41" s="260"/>
      <c r="E41" s="260"/>
      <c r="F41" s="261"/>
      <c r="O41" s="255"/>
      <c r="P41" s="255"/>
      <c r="S41" s="7" t="s">
        <v>6</v>
      </c>
      <c r="T41" s="8" t="s">
        <v>7</v>
      </c>
      <c r="U41" s="60" t="s">
        <v>162</v>
      </c>
      <c r="V41" s="60" t="s">
        <v>3</v>
      </c>
      <c r="W41" s="60" t="s">
        <v>28</v>
      </c>
      <c r="X41" s="60" t="s">
        <v>163</v>
      </c>
      <c r="Y41" s="60" t="s">
        <v>164</v>
      </c>
      <c r="Z41" s="258" t="s">
        <v>165</v>
      </c>
      <c r="AA41" s="61" t="s">
        <v>166</v>
      </c>
    </row>
    <row r="42" spans="1:28" ht="29.25" customHeight="1" x14ac:dyDescent="0.35">
      <c r="A42" s="262"/>
      <c r="B42" s="263"/>
      <c r="C42" s="264"/>
      <c r="D42" s="264"/>
      <c r="E42" s="265"/>
      <c r="F42" s="266"/>
      <c r="O42" s="256"/>
      <c r="P42" s="256"/>
      <c r="S42" s="91" t="s">
        <v>47</v>
      </c>
      <c r="T42" s="35">
        <f>+B4</f>
        <v>1198</v>
      </c>
      <c r="U42" s="254">
        <f>+W11</f>
        <v>789.3</v>
      </c>
      <c r="V42" s="254">
        <f t="shared" ref="V42:Y42" si="39">+X11</f>
        <v>778.69999999999993</v>
      </c>
      <c r="W42" s="254">
        <f t="shared" si="39"/>
        <v>10.600000000000012</v>
      </c>
      <c r="X42" s="254">
        <f t="shared" si="39"/>
        <v>28</v>
      </c>
      <c r="Y42" s="254">
        <f t="shared" si="39"/>
        <v>38.600000000000009</v>
      </c>
      <c r="Z42" s="95">
        <f>+Y42/T42</f>
        <v>3.2220367278798005E-2</v>
      </c>
      <c r="AA42" s="253">
        <f>+Y42/U42</f>
        <v>4.8904092233624748E-2</v>
      </c>
    </row>
    <row r="43" spans="1:28" ht="29.25" customHeight="1" x14ac:dyDescent="0.35">
      <c r="A43" s="262"/>
      <c r="B43" s="263"/>
      <c r="C43" s="263"/>
      <c r="D43" s="264"/>
      <c r="E43" s="265"/>
      <c r="F43" s="266"/>
      <c r="O43" s="256"/>
      <c r="P43" s="256"/>
      <c r="Q43" s="133"/>
      <c r="R43" s="134"/>
      <c r="S43" s="91" t="s">
        <v>48</v>
      </c>
      <c r="T43" s="35">
        <f>+B12</f>
        <v>1120</v>
      </c>
      <c r="U43" s="254">
        <f>+W21</f>
        <v>1163</v>
      </c>
      <c r="V43" s="254">
        <f t="shared" ref="V43:Y43" si="40">+X21</f>
        <v>1141.1999999999998</v>
      </c>
      <c r="W43" s="254">
        <f t="shared" si="40"/>
        <v>21.799999999999997</v>
      </c>
      <c r="X43" s="254">
        <f t="shared" si="40"/>
        <v>66.400000000000006</v>
      </c>
      <c r="Y43" s="254">
        <f t="shared" si="40"/>
        <v>48.199999999999996</v>
      </c>
      <c r="Z43" s="95">
        <f t="shared" ref="Z43:Z45" si="41">+Y43/T43</f>
        <v>4.3035714285714281E-2</v>
      </c>
      <c r="AA43" s="253">
        <f t="shared" ref="AA43:AA45" si="42">+Y43/U43</f>
        <v>4.1444539982803091E-2</v>
      </c>
    </row>
    <row r="44" spans="1:28" ht="29.25" customHeight="1" x14ac:dyDescent="0.35">
      <c r="A44" s="262"/>
      <c r="B44" s="263"/>
      <c r="C44" s="263"/>
      <c r="D44" s="264"/>
      <c r="E44" s="265"/>
      <c r="F44" s="266"/>
      <c r="O44" s="256"/>
      <c r="P44" s="256"/>
      <c r="S44" s="91" t="s">
        <v>49</v>
      </c>
      <c r="T44" s="35">
        <f>+B22</f>
        <v>1740</v>
      </c>
      <c r="U44" s="254">
        <f>+W26</f>
        <v>466.14</v>
      </c>
      <c r="V44" s="254">
        <f t="shared" ref="V44:Y44" si="43">+X26</f>
        <v>465.54</v>
      </c>
      <c r="W44" s="254">
        <f t="shared" si="43"/>
        <v>0.6</v>
      </c>
      <c r="X44" s="254">
        <f t="shared" si="43"/>
        <v>3.8600000000000003</v>
      </c>
      <c r="Y44" s="254">
        <f t="shared" si="43"/>
        <v>2.8600000000000003</v>
      </c>
      <c r="Z44" s="95">
        <f t="shared" si="41"/>
        <v>1.6436781609195405E-3</v>
      </c>
      <c r="AA44" s="253">
        <f t="shared" si="42"/>
        <v>6.1354957738018632E-3</v>
      </c>
    </row>
    <row r="45" spans="1:28" ht="29.25" customHeight="1" x14ac:dyDescent="0.35">
      <c r="A45" s="262"/>
      <c r="B45" s="263"/>
      <c r="C45" s="264"/>
      <c r="D45" s="264"/>
      <c r="E45" s="265"/>
      <c r="F45" s="266"/>
      <c r="O45" s="256"/>
      <c r="P45" s="256"/>
      <c r="S45" s="91" t="s">
        <v>50</v>
      </c>
      <c r="T45" s="35">
        <f>+B27</f>
        <v>1252</v>
      </c>
      <c r="U45" s="254">
        <f>+W36</f>
        <v>1269.3999999999999</v>
      </c>
      <c r="V45" s="254">
        <f t="shared" ref="V45:Y45" si="44">+X36</f>
        <v>1252.1600000000003</v>
      </c>
      <c r="W45" s="254">
        <f t="shared" si="44"/>
        <v>17.239999999999998</v>
      </c>
      <c r="X45" s="254">
        <f t="shared" si="44"/>
        <v>40.700000000000003</v>
      </c>
      <c r="Y45" s="254">
        <f t="shared" si="44"/>
        <v>51.94</v>
      </c>
      <c r="Z45" s="95">
        <f t="shared" si="41"/>
        <v>4.1485623003194888E-2</v>
      </c>
      <c r="AA45" s="253">
        <f t="shared" si="42"/>
        <v>4.0916968646604698E-2</v>
      </c>
    </row>
    <row r="46" spans="1:28" ht="29.25" customHeight="1" thickBot="1" x14ac:dyDescent="0.4">
      <c r="A46" s="267"/>
      <c r="B46" s="268"/>
      <c r="C46" s="268"/>
      <c r="D46" s="269"/>
      <c r="E46" s="270"/>
      <c r="F46" s="266"/>
      <c r="G46" s="259"/>
      <c r="O46" s="257"/>
      <c r="P46" s="257"/>
      <c r="S46" s="93" t="s">
        <v>51</v>
      </c>
      <c r="T46" s="96">
        <f>SUM(T42:T45)</f>
        <v>5310</v>
      </c>
      <c r="U46" s="272">
        <f>SUM(U42:U45)</f>
        <v>3687.84</v>
      </c>
      <c r="V46" s="272">
        <f t="shared" ref="V46:Y46" si="45">SUM(V42:V45)</f>
        <v>3637.6</v>
      </c>
      <c r="W46" s="272">
        <f t="shared" si="45"/>
        <v>50.240000000000009</v>
      </c>
      <c r="X46" s="272">
        <f t="shared" si="45"/>
        <v>138.96</v>
      </c>
      <c r="Y46" s="272">
        <f t="shared" si="45"/>
        <v>141.60000000000002</v>
      </c>
      <c r="Z46" s="273">
        <f>+Y46/T46</f>
        <v>2.6666666666666672E-2</v>
      </c>
      <c r="AA46" s="274">
        <f>+Y46/U46</f>
        <v>3.8396459716256673E-2</v>
      </c>
    </row>
    <row r="47" spans="1:28" x14ac:dyDescent="0.35">
      <c r="T47">
        <v>410</v>
      </c>
    </row>
    <row r="48" spans="1:28" x14ac:dyDescent="0.35">
      <c r="T48">
        <f>+T46+T47</f>
        <v>5720</v>
      </c>
    </row>
  </sheetData>
  <mergeCells count="16">
    <mergeCell ref="S40:AA40"/>
    <mergeCell ref="A27:A35"/>
    <mergeCell ref="B27:B35"/>
    <mergeCell ref="W2:AA2"/>
    <mergeCell ref="A4:A10"/>
    <mergeCell ref="B4:B10"/>
    <mergeCell ref="A12:A20"/>
    <mergeCell ref="B12:B20"/>
    <mergeCell ref="A22:A25"/>
    <mergeCell ref="B22:B25"/>
    <mergeCell ref="P2:U2"/>
    <mergeCell ref="A1:F1"/>
    <mergeCell ref="A2:G2"/>
    <mergeCell ref="H2:J2"/>
    <mergeCell ref="K2:M2"/>
    <mergeCell ref="N2:O2"/>
  </mergeCells>
  <pageMargins left="0.70866141732283472" right="0.70866141732283472" top="0.74803149606299213" bottom="0.74803149606299213" header="0.31496062992125984" footer="0.31496062992125984"/>
  <pageSetup paperSize="9" scale="80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03EB6-F289-446E-81CA-542EB4342DAE}">
  <dimension ref="A1:AB48"/>
  <sheetViews>
    <sheetView workbookViewId="0">
      <pane xSplit="7" ySplit="3" topLeftCell="P35" activePane="bottomRight" state="frozen"/>
      <selection pane="topRight" activeCell="H1" sqref="H1"/>
      <selection pane="bottomLeft" activeCell="A4" sqref="A4"/>
      <selection pane="bottomRight" activeCell="T42" sqref="T42:AA45"/>
    </sheetView>
  </sheetViews>
  <sheetFormatPr defaultRowHeight="14.5" x14ac:dyDescent="0.35"/>
  <cols>
    <col min="1" max="1" width="11" customWidth="1"/>
    <col min="2" max="2" width="7.81640625" customWidth="1"/>
    <col min="3" max="3" width="20" customWidth="1"/>
    <col min="4" max="4" width="9.1796875" customWidth="1"/>
    <col min="5" max="5" width="9.26953125" customWidth="1"/>
    <col min="6" max="6" width="10" customWidth="1"/>
    <col min="7" max="7" width="8.1796875" customWidth="1"/>
    <col min="8" max="8" width="12.54296875" customWidth="1"/>
    <col min="9" max="9" width="12.453125" customWidth="1"/>
    <col min="10" max="10" width="11" customWidth="1"/>
    <col min="11" max="11" width="9.453125" customWidth="1"/>
    <col min="12" max="12" width="11" customWidth="1"/>
    <col min="13" max="13" width="13.54296875" customWidth="1"/>
    <col min="14" max="14" width="14.81640625" customWidth="1"/>
    <col min="15" max="15" width="16" customWidth="1"/>
    <col min="16" max="16" width="11.26953125" customWidth="1"/>
    <col min="17" max="18" width="9.54296875" customWidth="1"/>
    <col min="19" max="20" width="10.81640625" customWidth="1"/>
    <col min="21" max="21" width="12.7265625" customWidth="1"/>
    <col min="22" max="22" width="10" customWidth="1"/>
    <col min="23" max="23" width="11.453125" customWidth="1"/>
    <col min="24" max="24" width="11" customWidth="1"/>
    <col min="25" max="25" width="13.453125" customWidth="1"/>
    <col min="26" max="26" width="10.26953125" customWidth="1"/>
    <col min="27" max="27" width="13.7265625" customWidth="1"/>
  </cols>
  <sheetData>
    <row r="1" spans="1:28" ht="22.5" customHeight="1" thickBot="1" x14ac:dyDescent="0.4">
      <c r="A1" s="308" t="s">
        <v>36</v>
      </c>
      <c r="B1" s="309"/>
      <c r="C1" s="309"/>
      <c r="D1" s="309"/>
      <c r="E1" s="309"/>
      <c r="F1" s="310"/>
    </row>
    <row r="2" spans="1:28" ht="22.5" customHeight="1" thickBot="1" x14ac:dyDescent="0.4">
      <c r="A2" s="311" t="s">
        <v>180</v>
      </c>
      <c r="B2" s="312"/>
      <c r="C2" s="312"/>
      <c r="D2" s="312"/>
      <c r="E2" s="312"/>
      <c r="F2" s="312"/>
      <c r="G2" s="313"/>
      <c r="H2" s="314" t="s">
        <v>22</v>
      </c>
      <c r="I2" s="315"/>
      <c r="J2" s="316"/>
      <c r="K2" s="317" t="s">
        <v>23</v>
      </c>
      <c r="L2" s="318"/>
      <c r="M2" s="319"/>
      <c r="N2" s="320" t="s">
        <v>24</v>
      </c>
      <c r="O2" s="321"/>
      <c r="P2" s="305" t="s">
        <v>25</v>
      </c>
      <c r="Q2" s="306"/>
      <c r="R2" s="306"/>
      <c r="S2" s="306"/>
      <c r="T2" s="306"/>
      <c r="U2" s="307"/>
      <c r="W2" s="325" t="s">
        <v>43</v>
      </c>
      <c r="X2" s="326"/>
      <c r="Y2" s="326"/>
      <c r="Z2" s="326"/>
      <c r="AA2" s="327"/>
    </row>
    <row r="3" spans="1:28" ht="58.5" thickBot="1" x14ac:dyDescent="0.4">
      <c r="A3" s="39" t="s">
        <v>6</v>
      </c>
      <c r="B3" s="38" t="s">
        <v>7</v>
      </c>
      <c r="C3" s="38" t="s">
        <v>0</v>
      </c>
      <c r="D3" s="37" t="s">
        <v>15</v>
      </c>
      <c r="E3" s="38" t="s">
        <v>1</v>
      </c>
      <c r="F3" s="36" t="s">
        <v>27</v>
      </c>
      <c r="G3" s="37" t="s">
        <v>19</v>
      </c>
      <c r="H3" s="25" t="s">
        <v>4</v>
      </c>
      <c r="I3" s="89" t="s">
        <v>44</v>
      </c>
      <c r="J3" s="26" t="s">
        <v>29</v>
      </c>
      <c r="K3" s="88" t="s">
        <v>3</v>
      </c>
      <c r="L3" s="1" t="s">
        <v>28</v>
      </c>
      <c r="M3" s="87" t="s">
        <v>5</v>
      </c>
      <c r="N3" s="25" t="s">
        <v>20</v>
      </c>
      <c r="O3" s="26" t="s">
        <v>21</v>
      </c>
      <c r="P3" s="24" t="s">
        <v>8</v>
      </c>
      <c r="Q3" s="86" t="s">
        <v>9</v>
      </c>
      <c r="R3" s="2" t="s">
        <v>10</v>
      </c>
      <c r="S3" s="1" t="s">
        <v>26</v>
      </c>
      <c r="T3" s="1" t="s">
        <v>11</v>
      </c>
      <c r="U3" s="1" t="s">
        <v>30</v>
      </c>
      <c r="W3" s="43" t="s">
        <v>2</v>
      </c>
      <c r="X3" s="60" t="s">
        <v>3</v>
      </c>
      <c r="Y3" s="60" t="s">
        <v>28</v>
      </c>
      <c r="Z3" s="60" t="s">
        <v>5</v>
      </c>
      <c r="AA3" s="61" t="s">
        <v>26</v>
      </c>
    </row>
    <row r="4" spans="1:28" ht="20.25" customHeight="1" x14ac:dyDescent="0.35">
      <c r="A4" s="301" t="s">
        <v>37</v>
      </c>
      <c r="B4" s="303">
        <v>1068</v>
      </c>
      <c r="C4" s="34" t="s">
        <v>55</v>
      </c>
      <c r="D4" s="4">
        <v>2</v>
      </c>
      <c r="E4" s="30" t="s">
        <v>16</v>
      </c>
      <c r="F4" s="47">
        <v>2</v>
      </c>
      <c r="G4" s="5">
        <v>0.05</v>
      </c>
      <c r="H4" s="71">
        <f>+F4*B4</f>
        <v>2136</v>
      </c>
      <c r="I4" s="67">
        <v>2146</v>
      </c>
      <c r="J4" s="22">
        <f t="shared" ref="J4:J10" si="0">I4-H4</f>
        <v>10</v>
      </c>
      <c r="K4" s="75">
        <v>2136</v>
      </c>
      <c r="L4" s="127">
        <f>+I4-K4</f>
        <v>10</v>
      </c>
      <c r="M4" s="78">
        <v>45</v>
      </c>
      <c r="N4" s="128">
        <f>+K4-M4</f>
        <v>2091</v>
      </c>
      <c r="O4" s="64">
        <f>+N4/B4</f>
        <v>1.9578651685393258</v>
      </c>
      <c r="P4" s="18">
        <f>+L4+M4</f>
        <v>55</v>
      </c>
      <c r="Q4" s="81">
        <v>30</v>
      </c>
      <c r="R4" s="3">
        <f t="shared" ref="R4:R10" si="1">+P4-Q4</f>
        <v>25</v>
      </c>
      <c r="S4" s="3">
        <f t="shared" ref="S4:S10" si="2">+R4*G4</f>
        <v>1.25</v>
      </c>
      <c r="T4" s="3">
        <f t="shared" ref="T4:T10" si="3">+R4*D4</f>
        <v>50</v>
      </c>
      <c r="U4" s="6">
        <f>+R4/I4</f>
        <v>1.1649580615097856E-2</v>
      </c>
      <c r="W4" s="102">
        <f>+I4*G4</f>
        <v>107.30000000000001</v>
      </c>
      <c r="X4" s="103">
        <f>+K4*G4</f>
        <v>106.80000000000001</v>
      </c>
      <c r="Y4" s="103">
        <f>+L4*G4</f>
        <v>0.5</v>
      </c>
      <c r="Z4" s="103">
        <f>+M4*G4</f>
        <v>2.25</v>
      </c>
      <c r="AA4" s="104">
        <f>+R4*G4</f>
        <v>1.25</v>
      </c>
    </row>
    <row r="5" spans="1:28" ht="20.25" customHeight="1" x14ac:dyDescent="0.35">
      <c r="A5" s="302"/>
      <c r="B5" s="304"/>
      <c r="C5" s="35" t="s">
        <v>179</v>
      </c>
      <c r="D5" s="10">
        <v>4</v>
      </c>
      <c r="E5" s="31" t="s">
        <v>16</v>
      </c>
      <c r="F5" s="48">
        <v>2</v>
      </c>
      <c r="G5" s="11">
        <v>0.05</v>
      </c>
      <c r="H5" s="70">
        <f>+F5*B4</f>
        <v>2136</v>
      </c>
      <c r="I5" s="68">
        <v>2140</v>
      </c>
      <c r="J5" s="13">
        <f t="shared" si="0"/>
        <v>4</v>
      </c>
      <c r="K5" s="76">
        <v>2136</v>
      </c>
      <c r="L5" s="9">
        <f t="shared" ref="L5:L10" si="4">+I5-K5</f>
        <v>4</v>
      </c>
      <c r="M5" s="79">
        <v>15</v>
      </c>
      <c r="N5" s="23">
        <f t="shared" ref="N5:N10" si="5">+K5-M5</f>
        <v>2121</v>
      </c>
      <c r="O5" s="65">
        <f>+N5/B4</f>
        <v>1.9859550561797752</v>
      </c>
      <c r="P5" s="19">
        <f>+L5+M5</f>
        <v>19</v>
      </c>
      <c r="Q5" s="82">
        <v>0</v>
      </c>
      <c r="R5" s="9">
        <f t="shared" si="1"/>
        <v>19</v>
      </c>
      <c r="S5" s="9">
        <f>+R5*G5</f>
        <v>0.95000000000000007</v>
      </c>
      <c r="T5" s="9">
        <f t="shared" si="3"/>
        <v>76</v>
      </c>
      <c r="U5" s="12">
        <f t="shared" ref="U5:U9" si="6">+R5/I5</f>
        <v>8.8785046728971969E-3</v>
      </c>
      <c r="W5" s="102">
        <f t="shared" ref="W5:W35" si="7">+I5*G5</f>
        <v>107</v>
      </c>
      <c r="X5" s="103">
        <f t="shared" ref="X5:X35" si="8">+K5*G5</f>
        <v>106.80000000000001</v>
      </c>
      <c r="Y5" s="103">
        <f t="shared" ref="Y5:Y35" si="9">+L5*G5</f>
        <v>0.2</v>
      </c>
      <c r="Z5" s="103">
        <f t="shared" ref="Z5:Z35" si="10">+M5*G5</f>
        <v>0.75</v>
      </c>
      <c r="AA5" s="104">
        <f t="shared" ref="AA5:AA35" si="11">+R5*G5</f>
        <v>0.95000000000000007</v>
      </c>
    </row>
    <row r="6" spans="1:28" ht="20.25" customHeight="1" x14ac:dyDescent="0.35">
      <c r="A6" s="302"/>
      <c r="B6" s="304"/>
      <c r="C6" s="35" t="s">
        <v>122</v>
      </c>
      <c r="D6" s="10">
        <v>40</v>
      </c>
      <c r="E6" s="31" t="s">
        <v>17</v>
      </c>
      <c r="F6" s="49">
        <v>0.15</v>
      </c>
      <c r="G6" s="11">
        <v>1</v>
      </c>
      <c r="H6" s="72">
        <f>+F6*B4</f>
        <v>160.19999999999999</v>
      </c>
      <c r="I6" s="68">
        <v>163</v>
      </c>
      <c r="J6" s="13">
        <f t="shared" si="0"/>
        <v>2.8000000000000114</v>
      </c>
      <c r="K6" s="76">
        <v>160.19999999999999</v>
      </c>
      <c r="L6" s="9">
        <f t="shared" si="4"/>
        <v>2.8000000000000114</v>
      </c>
      <c r="M6" s="79">
        <v>6.5</v>
      </c>
      <c r="N6" s="33">
        <f t="shared" si="5"/>
        <v>153.69999999999999</v>
      </c>
      <c r="O6" s="42">
        <f>+N6/B4</f>
        <v>0.1439138576779026</v>
      </c>
      <c r="P6" s="19">
        <f>+L6+M6</f>
        <v>9.3000000000000114</v>
      </c>
      <c r="Q6" s="82">
        <v>0</v>
      </c>
      <c r="R6" s="9">
        <f t="shared" si="1"/>
        <v>9.3000000000000114</v>
      </c>
      <c r="S6" s="9">
        <f t="shared" si="2"/>
        <v>9.3000000000000114</v>
      </c>
      <c r="T6" s="9">
        <f t="shared" si="3"/>
        <v>372.00000000000045</v>
      </c>
      <c r="U6" s="12">
        <f t="shared" si="6"/>
        <v>5.7055214723926453E-2</v>
      </c>
      <c r="W6" s="102">
        <f t="shared" si="7"/>
        <v>163</v>
      </c>
      <c r="X6" s="103">
        <f t="shared" si="8"/>
        <v>160.19999999999999</v>
      </c>
      <c r="Y6" s="103">
        <f t="shared" si="9"/>
        <v>2.8000000000000114</v>
      </c>
      <c r="Z6" s="103">
        <f t="shared" si="10"/>
        <v>6.5</v>
      </c>
      <c r="AA6" s="104">
        <f t="shared" si="11"/>
        <v>9.3000000000000114</v>
      </c>
    </row>
    <row r="7" spans="1:28" ht="20.25" customHeight="1" x14ac:dyDescent="0.35">
      <c r="A7" s="302"/>
      <c r="B7" s="304"/>
      <c r="C7" s="35" t="s">
        <v>12</v>
      </c>
      <c r="D7" s="10">
        <v>45</v>
      </c>
      <c r="E7" s="31" t="s">
        <v>17</v>
      </c>
      <c r="F7" s="49">
        <v>0.1</v>
      </c>
      <c r="G7" s="11">
        <v>1</v>
      </c>
      <c r="H7" s="72">
        <f>+F7*B4</f>
        <v>106.80000000000001</v>
      </c>
      <c r="I7" s="68">
        <v>108.5</v>
      </c>
      <c r="J7" s="13">
        <f t="shared" si="0"/>
        <v>1.6999999999999886</v>
      </c>
      <c r="K7" s="76">
        <v>106.8</v>
      </c>
      <c r="L7" s="9">
        <f t="shared" si="4"/>
        <v>1.7000000000000028</v>
      </c>
      <c r="M7" s="79">
        <v>4.5</v>
      </c>
      <c r="N7" s="23">
        <f t="shared" si="5"/>
        <v>102.3</v>
      </c>
      <c r="O7" s="42">
        <f>+N7/B4</f>
        <v>9.578651685393258E-2</v>
      </c>
      <c r="P7" s="19">
        <f t="shared" ref="P7:P10" si="12">+L7+M7</f>
        <v>6.2000000000000028</v>
      </c>
      <c r="Q7" s="82">
        <v>0</v>
      </c>
      <c r="R7" s="9">
        <f t="shared" si="1"/>
        <v>6.2000000000000028</v>
      </c>
      <c r="S7" s="9">
        <f t="shared" si="2"/>
        <v>6.2000000000000028</v>
      </c>
      <c r="T7" s="9">
        <f t="shared" si="3"/>
        <v>279.00000000000011</v>
      </c>
      <c r="U7" s="12">
        <f t="shared" si="6"/>
        <v>5.7142857142857169E-2</v>
      </c>
      <c r="W7" s="102">
        <f t="shared" si="7"/>
        <v>108.5</v>
      </c>
      <c r="X7" s="103">
        <f t="shared" si="8"/>
        <v>106.8</v>
      </c>
      <c r="Y7" s="103">
        <f t="shared" si="9"/>
        <v>1.7000000000000028</v>
      </c>
      <c r="Z7" s="103">
        <f t="shared" si="10"/>
        <v>4.5</v>
      </c>
      <c r="AA7" s="104">
        <f t="shared" si="11"/>
        <v>6.2000000000000028</v>
      </c>
    </row>
    <row r="8" spans="1:28" ht="20.25" customHeight="1" x14ac:dyDescent="0.35">
      <c r="A8" s="302"/>
      <c r="B8" s="304"/>
      <c r="C8" s="35" t="s">
        <v>13</v>
      </c>
      <c r="D8" s="10">
        <v>52</v>
      </c>
      <c r="E8" s="31" t="s">
        <v>17</v>
      </c>
      <c r="F8" s="49">
        <v>0.1</v>
      </c>
      <c r="G8" s="11">
        <v>1</v>
      </c>
      <c r="H8" s="72">
        <f>+F8*B4</f>
        <v>106.80000000000001</v>
      </c>
      <c r="I8" s="68">
        <v>108.5</v>
      </c>
      <c r="J8" s="13">
        <f t="shared" si="0"/>
        <v>1.6999999999999886</v>
      </c>
      <c r="K8" s="76">
        <v>106.8</v>
      </c>
      <c r="L8" s="9">
        <f>+I8-K8</f>
        <v>1.7000000000000028</v>
      </c>
      <c r="M8" s="79">
        <v>5.5</v>
      </c>
      <c r="N8" s="33">
        <f t="shared" si="5"/>
        <v>101.3</v>
      </c>
      <c r="O8" s="42">
        <f>+N8/B4</f>
        <v>9.4850187265917596E-2</v>
      </c>
      <c r="P8" s="19">
        <f t="shared" si="12"/>
        <v>7.2000000000000028</v>
      </c>
      <c r="Q8" s="82">
        <v>0</v>
      </c>
      <c r="R8" s="9">
        <f t="shared" si="1"/>
        <v>7.2000000000000028</v>
      </c>
      <c r="S8" s="9">
        <f t="shared" si="2"/>
        <v>7.2000000000000028</v>
      </c>
      <c r="T8" s="9">
        <f t="shared" si="3"/>
        <v>374.40000000000015</v>
      </c>
      <c r="U8" s="12">
        <f t="shared" si="6"/>
        <v>6.6359447004608316E-2</v>
      </c>
      <c r="W8" s="102">
        <f t="shared" si="7"/>
        <v>108.5</v>
      </c>
      <c r="X8" s="103">
        <f t="shared" si="8"/>
        <v>106.8</v>
      </c>
      <c r="Y8" s="103">
        <f t="shared" si="9"/>
        <v>1.7000000000000028</v>
      </c>
      <c r="Z8" s="103">
        <f t="shared" si="10"/>
        <v>5.5</v>
      </c>
      <c r="AA8" s="104">
        <f t="shared" si="11"/>
        <v>7.2000000000000028</v>
      </c>
    </row>
    <row r="9" spans="1:28" ht="20.25" customHeight="1" x14ac:dyDescent="0.35">
      <c r="A9" s="302"/>
      <c r="B9" s="304"/>
      <c r="C9" s="35" t="s">
        <v>112</v>
      </c>
      <c r="D9" s="10">
        <v>90</v>
      </c>
      <c r="E9" s="31" t="s">
        <v>17</v>
      </c>
      <c r="F9" s="49">
        <v>0.1</v>
      </c>
      <c r="G9" s="11">
        <v>1</v>
      </c>
      <c r="H9" s="73">
        <f>+F9*B4</f>
        <v>106.80000000000001</v>
      </c>
      <c r="I9" s="68">
        <v>108.5</v>
      </c>
      <c r="J9" s="13">
        <f t="shared" si="0"/>
        <v>1.6999999999999886</v>
      </c>
      <c r="K9" s="76">
        <v>106.8</v>
      </c>
      <c r="L9" s="54">
        <f>+I9-K9</f>
        <v>1.7000000000000028</v>
      </c>
      <c r="M9" s="79">
        <v>2</v>
      </c>
      <c r="N9" s="23">
        <f t="shared" si="5"/>
        <v>104.8</v>
      </c>
      <c r="O9" s="42">
        <f>+N9/B4</f>
        <v>9.8127340823970038E-2</v>
      </c>
      <c r="P9" s="19">
        <f t="shared" si="12"/>
        <v>3.7000000000000028</v>
      </c>
      <c r="Q9" s="82">
        <v>0</v>
      </c>
      <c r="R9" s="9">
        <f t="shared" si="1"/>
        <v>3.7000000000000028</v>
      </c>
      <c r="S9" s="9">
        <f t="shared" si="2"/>
        <v>3.7000000000000028</v>
      </c>
      <c r="T9" s="9">
        <f t="shared" si="3"/>
        <v>333.00000000000023</v>
      </c>
      <c r="U9" s="12">
        <f t="shared" si="6"/>
        <v>3.4101382488479291E-2</v>
      </c>
      <c r="W9" s="102">
        <f t="shared" si="7"/>
        <v>108.5</v>
      </c>
      <c r="X9" s="103">
        <f t="shared" si="8"/>
        <v>106.8</v>
      </c>
      <c r="Y9" s="103">
        <f t="shared" si="9"/>
        <v>1.7000000000000028</v>
      </c>
      <c r="Z9" s="103">
        <f t="shared" si="10"/>
        <v>2</v>
      </c>
      <c r="AA9" s="104">
        <f t="shared" si="11"/>
        <v>3.7000000000000028</v>
      </c>
    </row>
    <row r="10" spans="1:28" ht="20.25" customHeight="1" x14ac:dyDescent="0.35">
      <c r="A10" s="302"/>
      <c r="B10" s="304"/>
      <c r="C10" s="35" t="s">
        <v>14</v>
      </c>
      <c r="D10" s="10">
        <v>60</v>
      </c>
      <c r="E10" s="31" t="s">
        <v>18</v>
      </c>
      <c r="F10" s="49">
        <v>0.1</v>
      </c>
      <c r="G10" s="11">
        <v>1</v>
      </c>
      <c r="H10" s="72">
        <f>+F10*B4</f>
        <v>106.80000000000001</v>
      </c>
      <c r="I10" s="68">
        <v>109.5</v>
      </c>
      <c r="J10" s="13">
        <f t="shared" si="0"/>
        <v>2.6999999999999886</v>
      </c>
      <c r="K10" s="76">
        <v>106.8</v>
      </c>
      <c r="L10" s="9">
        <f t="shared" si="4"/>
        <v>2.7000000000000028</v>
      </c>
      <c r="M10" s="79">
        <v>3</v>
      </c>
      <c r="N10" s="33">
        <f t="shared" si="5"/>
        <v>103.8</v>
      </c>
      <c r="O10" s="42">
        <f>+N10/B4</f>
        <v>9.7191011235955055E-2</v>
      </c>
      <c r="P10" s="19">
        <f t="shared" si="12"/>
        <v>5.7000000000000028</v>
      </c>
      <c r="Q10" s="82">
        <v>0</v>
      </c>
      <c r="R10" s="9">
        <f t="shared" si="1"/>
        <v>5.7000000000000028</v>
      </c>
      <c r="S10" s="9">
        <f t="shared" si="2"/>
        <v>5.7000000000000028</v>
      </c>
      <c r="T10" s="9">
        <f t="shared" si="3"/>
        <v>342.00000000000017</v>
      </c>
      <c r="U10" s="12">
        <f>+R10/I10</f>
        <v>5.2054794520547974E-2</v>
      </c>
      <c r="W10" s="115">
        <f t="shared" si="7"/>
        <v>109.5</v>
      </c>
      <c r="X10" s="116">
        <f t="shared" si="8"/>
        <v>106.8</v>
      </c>
      <c r="Y10" s="116">
        <f t="shared" si="9"/>
        <v>2.7000000000000028</v>
      </c>
      <c r="Z10" s="116">
        <f t="shared" si="10"/>
        <v>3</v>
      </c>
      <c r="AA10" s="117">
        <f t="shared" si="11"/>
        <v>5.7000000000000028</v>
      </c>
    </row>
    <row r="11" spans="1:28" ht="20.25" customHeight="1" thickBot="1" x14ac:dyDescent="0.4">
      <c r="A11" s="27"/>
      <c r="B11" s="51"/>
      <c r="C11" s="50"/>
      <c r="D11" s="15"/>
      <c r="E11" s="15"/>
      <c r="F11" s="15"/>
      <c r="G11" s="15"/>
      <c r="H11" s="74"/>
      <c r="I11" s="69"/>
      <c r="J11" s="16"/>
      <c r="K11" s="77"/>
      <c r="L11" s="15"/>
      <c r="M11" s="80"/>
      <c r="N11" s="14"/>
      <c r="O11" s="16"/>
      <c r="P11" s="20"/>
      <c r="Q11" s="83"/>
      <c r="R11" s="15"/>
      <c r="S11" s="84">
        <f>SUM(S4:S10)</f>
        <v>34.300000000000026</v>
      </c>
      <c r="T11" s="56">
        <f>SUM(T4:T10)</f>
        <v>1826.4000000000012</v>
      </c>
      <c r="U11" s="16"/>
      <c r="W11" s="118">
        <f>SUM(W4:W10)</f>
        <v>812.3</v>
      </c>
      <c r="X11" s="109">
        <f t="shared" ref="X11:AA11" si="13">SUM(X4:X10)</f>
        <v>800.99999999999989</v>
      </c>
      <c r="Y11" s="109">
        <f t="shared" si="13"/>
        <v>11.300000000000022</v>
      </c>
      <c r="Z11" s="110">
        <f t="shared" si="13"/>
        <v>24.5</v>
      </c>
      <c r="AA11" s="114">
        <f t="shared" si="13"/>
        <v>34.300000000000026</v>
      </c>
      <c r="AB11" s="94"/>
    </row>
    <row r="12" spans="1:28" ht="20.25" customHeight="1" x14ac:dyDescent="0.35">
      <c r="A12" s="292" t="s">
        <v>38</v>
      </c>
      <c r="B12" s="295">
        <v>989</v>
      </c>
      <c r="C12" s="34" t="s">
        <v>31</v>
      </c>
      <c r="D12" s="4">
        <v>20</v>
      </c>
      <c r="E12" s="30" t="s">
        <v>17</v>
      </c>
      <c r="F12" s="52">
        <v>0.4</v>
      </c>
      <c r="G12" s="5">
        <v>1</v>
      </c>
      <c r="H12" s="71">
        <f>+F12*B12</f>
        <v>395.6</v>
      </c>
      <c r="I12" s="67">
        <v>410</v>
      </c>
      <c r="J12" s="22">
        <f t="shared" ref="J12:J20" si="14">I12-H12</f>
        <v>14.399999999999977</v>
      </c>
      <c r="K12" s="75">
        <v>395.6</v>
      </c>
      <c r="L12" s="3">
        <f>+I12-K12</f>
        <v>14.399999999999977</v>
      </c>
      <c r="M12" s="78">
        <v>20</v>
      </c>
      <c r="N12" s="21">
        <f>+K12-M12</f>
        <v>375.6</v>
      </c>
      <c r="O12" s="41">
        <f>+N12/B12</f>
        <v>0.37977755308392319</v>
      </c>
      <c r="P12" s="18">
        <f>+L12+M12</f>
        <v>34.399999999999977</v>
      </c>
      <c r="Q12" s="81">
        <v>28</v>
      </c>
      <c r="R12" s="3">
        <f>+P12-Q12</f>
        <v>6.3999999999999773</v>
      </c>
      <c r="S12" s="3">
        <f>+R12*G12</f>
        <v>6.3999999999999773</v>
      </c>
      <c r="T12" s="3">
        <f t="shared" ref="T12:T20" si="15">+R12*D12</f>
        <v>127.99999999999955</v>
      </c>
      <c r="U12" s="6">
        <f>+R12/I12</f>
        <v>1.560975609756092E-2</v>
      </c>
      <c r="W12" s="111">
        <f t="shared" si="7"/>
        <v>410</v>
      </c>
      <c r="X12" s="112">
        <f t="shared" si="8"/>
        <v>395.6</v>
      </c>
      <c r="Y12" s="112">
        <f t="shared" si="9"/>
        <v>14.399999999999977</v>
      </c>
      <c r="Z12" s="112">
        <f t="shared" si="10"/>
        <v>20</v>
      </c>
      <c r="AA12" s="113">
        <f t="shared" si="11"/>
        <v>6.3999999999999773</v>
      </c>
    </row>
    <row r="13" spans="1:28" ht="20.25" customHeight="1" x14ac:dyDescent="0.35">
      <c r="A13" s="293"/>
      <c r="B13" s="296"/>
      <c r="C13" s="35" t="s">
        <v>175</v>
      </c>
      <c r="D13" s="10">
        <v>65</v>
      </c>
      <c r="E13" s="31" t="s">
        <v>17</v>
      </c>
      <c r="F13" s="49">
        <v>0.08</v>
      </c>
      <c r="G13" s="11">
        <v>1</v>
      </c>
      <c r="H13" s="70">
        <f>+F13*B12</f>
        <v>79.12</v>
      </c>
      <c r="I13" s="68">
        <v>81.5</v>
      </c>
      <c r="J13" s="13">
        <f t="shared" si="14"/>
        <v>2.3799999999999955</v>
      </c>
      <c r="K13" s="76">
        <v>79.099999999999994</v>
      </c>
      <c r="L13" s="9">
        <f t="shared" ref="L13:L20" si="16">+I13-K13</f>
        <v>2.4000000000000057</v>
      </c>
      <c r="M13" s="79">
        <v>4.5</v>
      </c>
      <c r="N13" s="23">
        <f>+K13-M13</f>
        <v>74.599999999999994</v>
      </c>
      <c r="O13" s="42">
        <f>+N13/B12</f>
        <v>7.5429726996966623E-2</v>
      </c>
      <c r="P13" s="19">
        <f>+L13+M13</f>
        <v>6.9000000000000057</v>
      </c>
      <c r="Q13" s="82">
        <v>0</v>
      </c>
      <c r="R13" s="9">
        <f t="shared" ref="R13:R20" si="17">+P13-Q13</f>
        <v>6.9000000000000057</v>
      </c>
      <c r="S13" s="9">
        <f>+R13*G13</f>
        <v>6.9000000000000057</v>
      </c>
      <c r="T13" s="9">
        <f t="shared" si="15"/>
        <v>448.50000000000034</v>
      </c>
      <c r="U13" s="12">
        <f t="shared" ref="U13:U20" si="18">+R13/I13</f>
        <v>8.4662576687116631E-2</v>
      </c>
      <c r="W13" s="102">
        <f t="shared" si="7"/>
        <v>81.5</v>
      </c>
      <c r="X13" s="103">
        <f t="shared" si="8"/>
        <v>79.099999999999994</v>
      </c>
      <c r="Y13" s="103">
        <f t="shared" si="9"/>
        <v>2.4000000000000057</v>
      </c>
      <c r="Z13" s="103">
        <f>+M13*G13</f>
        <v>4.5</v>
      </c>
      <c r="AA13" s="104">
        <f t="shared" si="11"/>
        <v>6.9000000000000057</v>
      </c>
    </row>
    <row r="14" spans="1:28" ht="20.25" customHeight="1" x14ac:dyDescent="0.35">
      <c r="A14" s="293"/>
      <c r="B14" s="296"/>
      <c r="C14" s="35" t="s">
        <v>142</v>
      </c>
      <c r="D14" s="10">
        <v>130</v>
      </c>
      <c r="E14" s="31" t="s">
        <v>17</v>
      </c>
      <c r="F14" s="49">
        <v>0.08</v>
      </c>
      <c r="G14" s="11">
        <v>1</v>
      </c>
      <c r="H14" s="72">
        <f>+F14*B12</f>
        <v>79.12</v>
      </c>
      <c r="I14" s="68">
        <v>80</v>
      </c>
      <c r="J14" s="13">
        <f t="shared" si="14"/>
        <v>0.87999999999999545</v>
      </c>
      <c r="K14" s="76">
        <v>79.099999999999994</v>
      </c>
      <c r="L14" s="9">
        <f t="shared" si="16"/>
        <v>0.90000000000000568</v>
      </c>
      <c r="M14" s="79">
        <v>2</v>
      </c>
      <c r="N14" s="33">
        <f>+K14-M14</f>
        <v>77.099999999999994</v>
      </c>
      <c r="O14" s="42">
        <f>+N14/B12</f>
        <v>7.7957532861476234E-2</v>
      </c>
      <c r="P14" s="19">
        <f>+L14+M14</f>
        <v>2.9000000000000057</v>
      </c>
      <c r="Q14" s="82">
        <v>0</v>
      </c>
      <c r="R14" s="9">
        <f t="shared" si="17"/>
        <v>2.9000000000000057</v>
      </c>
      <c r="S14" s="9">
        <f t="shared" ref="S14:S20" si="19">+R14*G14</f>
        <v>2.9000000000000057</v>
      </c>
      <c r="T14" s="9">
        <f t="shared" si="15"/>
        <v>377.00000000000074</v>
      </c>
      <c r="U14" s="12">
        <f t="shared" si="18"/>
        <v>3.6250000000000074E-2</v>
      </c>
      <c r="W14" s="102">
        <f t="shared" si="7"/>
        <v>80</v>
      </c>
      <c r="X14" s="103">
        <f t="shared" si="8"/>
        <v>79.099999999999994</v>
      </c>
      <c r="Y14" s="103">
        <f t="shared" si="9"/>
        <v>0.90000000000000568</v>
      </c>
      <c r="Z14" s="103">
        <f>+M14*G14</f>
        <v>2</v>
      </c>
      <c r="AA14" s="104">
        <f t="shared" si="11"/>
        <v>2.9000000000000057</v>
      </c>
    </row>
    <row r="15" spans="1:28" ht="20.25" customHeight="1" x14ac:dyDescent="0.35">
      <c r="A15" s="293"/>
      <c r="B15" s="296"/>
      <c r="C15" s="35" t="s">
        <v>176</v>
      </c>
      <c r="D15" s="10">
        <v>55</v>
      </c>
      <c r="E15" s="31" t="s">
        <v>17</v>
      </c>
      <c r="F15" s="49">
        <v>0.08</v>
      </c>
      <c r="G15" s="11">
        <v>1</v>
      </c>
      <c r="H15" s="72">
        <f>+F15*B12</f>
        <v>79.12</v>
      </c>
      <c r="I15" s="68">
        <v>81</v>
      </c>
      <c r="J15" s="13">
        <f t="shared" si="14"/>
        <v>1.8799999999999955</v>
      </c>
      <c r="K15" s="76">
        <v>79.099999999999994</v>
      </c>
      <c r="L15" s="9">
        <f t="shared" si="16"/>
        <v>1.9000000000000057</v>
      </c>
      <c r="M15" s="79">
        <v>4.5</v>
      </c>
      <c r="N15" s="23">
        <f t="shared" ref="N15:N20" si="20">+K15-M15</f>
        <v>74.599999999999994</v>
      </c>
      <c r="O15" s="42">
        <f>+N15/B12</f>
        <v>7.5429726996966623E-2</v>
      </c>
      <c r="P15" s="19">
        <f t="shared" ref="P15:P20" si="21">+L15+M15</f>
        <v>6.4000000000000057</v>
      </c>
      <c r="Q15" s="82">
        <v>0</v>
      </c>
      <c r="R15" s="9">
        <f t="shared" si="17"/>
        <v>6.4000000000000057</v>
      </c>
      <c r="S15" s="9">
        <f t="shared" si="19"/>
        <v>6.4000000000000057</v>
      </c>
      <c r="T15" s="9">
        <f t="shared" si="15"/>
        <v>352.00000000000034</v>
      </c>
      <c r="U15" s="12">
        <f t="shared" si="18"/>
        <v>7.9012345679012413E-2</v>
      </c>
      <c r="W15" s="102">
        <f t="shared" si="7"/>
        <v>81</v>
      </c>
      <c r="X15" s="103">
        <f t="shared" si="8"/>
        <v>79.099999999999994</v>
      </c>
      <c r="Y15" s="103">
        <f t="shared" si="9"/>
        <v>1.9000000000000057</v>
      </c>
      <c r="Z15" s="103">
        <f t="shared" si="10"/>
        <v>4.5</v>
      </c>
      <c r="AA15" s="104">
        <f t="shared" si="11"/>
        <v>6.4000000000000057</v>
      </c>
    </row>
    <row r="16" spans="1:28" ht="20.25" customHeight="1" x14ac:dyDescent="0.35">
      <c r="A16" s="293"/>
      <c r="B16" s="296"/>
      <c r="C16" s="35" t="s">
        <v>32</v>
      </c>
      <c r="D16" s="10">
        <v>48</v>
      </c>
      <c r="E16" s="31" t="s">
        <v>18</v>
      </c>
      <c r="F16" s="49">
        <v>0.06</v>
      </c>
      <c r="G16" s="11">
        <v>1</v>
      </c>
      <c r="H16" s="72">
        <f>+F16*B12</f>
        <v>59.339999999999996</v>
      </c>
      <c r="I16" s="68">
        <v>62.5</v>
      </c>
      <c r="J16" s="13">
        <f t="shared" si="14"/>
        <v>3.1600000000000037</v>
      </c>
      <c r="K16" s="76">
        <v>59.3</v>
      </c>
      <c r="L16" s="9">
        <f t="shared" si="16"/>
        <v>3.2000000000000028</v>
      </c>
      <c r="M16" s="79">
        <v>4</v>
      </c>
      <c r="N16" s="33">
        <f t="shared" si="20"/>
        <v>55.3</v>
      </c>
      <c r="O16" s="42">
        <f>+N16/B12</f>
        <v>5.5915065722952476E-2</v>
      </c>
      <c r="P16" s="19">
        <f t="shared" si="21"/>
        <v>7.2000000000000028</v>
      </c>
      <c r="Q16" s="82">
        <v>0</v>
      </c>
      <c r="R16" s="9">
        <f t="shared" si="17"/>
        <v>7.2000000000000028</v>
      </c>
      <c r="S16" s="9">
        <f t="shared" si="19"/>
        <v>7.2000000000000028</v>
      </c>
      <c r="T16" s="9">
        <f t="shared" si="15"/>
        <v>345.60000000000014</v>
      </c>
      <c r="U16" s="12">
        <f t="shared" si="18"/>
        <v>0.11520000000000005</v>
      </c>
      <c r="W16" s="102">
        <f t="shared" si="7"/>
        <v>62.5</v>
      </c>
      <c r="X16" s="103">
        <f t="shared" si="8"/>
        <v>59.3</v>
      </c>
      <c r="Y16" s="103">
        <f t="shared" si="9"/>
        <v>3.2000000000000028</v>
      </c>
      <c r="Z16" s="103">
        <f t="shared" si="10"/>
        <v>4</v>
      </c>
      <c r="AA16" s="104">
        <f t="shared" si="11"/>
        <v>7.2000000000000028</v>
      </c>
    </row>
    <row r="17" spans="1:28" ht="20.25" customHeight="1" x14ac:dyDescent="0.35">
      <c r="A17" s="293"/>
      <c r="B17" s="296"/>
      <c r="C17" s="35" t="s">
        <v>155</v>
      </c>
      <c r="D17" s="10">
        <v>35</v>
      </c>
      <c r="E17" s="31" t="s">
        <v>18</v>
      </c>
      <c r="F17" s="49">
        <v>0.06</v>
      </c>
      <c r="G17" s="11">
        <v>1</v>
      </c>
      <c r="H17" s="73">
        <f>+F17*B12</f>
        <v>59.339999999999996</v>
      </c>
      <c r="I17" s="68">
        <v>62</v>
      </c>
      <c r="J17" s="66">
        <f t="shared" si="14"/>
        <v>2.6600000000000037</v>
      </c>
      <c r="K17" s="76">
        <v>59.3</v>
      </c>
      <c r="L17" s="9">
        <f t="shared" si="16"/>
        <v>2.7000000000000028</v>
      </c>
      <c r="M17" s="79">
        <v>5</v>
      </c>
      <c r="N17" s="23">
        <f t="shared" si="20"/>
        <v>54.3</v>
      </c>
      <c r="O17" s="42">
        <f>+N17/B12</f>
        <v>5.4903943377148635E-2</v>
      </c>
      <c r="P17" s="19">
        <f t="shared" si="21"/>
        <v>7.7000000000000028</v>
      </c>
      <c r="Q17" s="82">
        <v>0</v>
      </c>
      <c r="R17" s="9">
        <f t="shared" si="17"/>
        <v>7.7000000000000028</v>
      </c>
      <c r="S17" s="9">
        <f t="shared" si="19"/>
        <v>7.7000000000000028</v>
      </c>
      <c r="T17" s="9">
        <f t="shared" si="15"/>
        <v>269.50000000000011</v>
      </c>
      <c r="U17" s="12">
        <f t="shared" si="18"/>
        <v>0.12419354838709681</v>
      </c>
      <c r="W17" s="102">
        <f t="shared" si="7"/>
        <v>62</v>
      </c>
      <c r="X17" s="103">
        <f t="shared" si="8"/>
        <v>59.3</v>
      </c>
      <c r="Y17" s="103">
        <f t="shared" si="9"/>
        <v>2.7000000000000028</v>
      </c>
      <c r="Z17" s="103">
        <f t="shared" si="10"/>
        <v>5</v>
      </c>
      <c r="AA17" s="104">
        <f t="shared" si="11"/>
        <v>7.7000000000000028</v>
      </c>
    </row>
    <row r="18" spans="1:28" ht="20.25" customHeight="1" x14ac:dyDescent="0.35">
      <c r="A18" s="293"/>
      <c r="B18" s="296"/>
      <c r="C18" s="35" t="s">
        <v>33</v>
      </c>
      <c r="D18" s="10">
        <v>50</v>
      </c>
      <c r="E18" s="31" t="s">
        <v>17</v>
      </c>
      <c r="F18" s="49">
        <v>0.03</v>
      </c>
      <c r="G18" s="11">
        <v>1</v>
      </c>
      <c r="H18" s="72">
        <f>+F18*B12</f>
        <v>29.669999999999998</v>
      </c>
      <c r="I18" s="68">
        <v>32</v>
      </c>
      <c r="J18" s="13">
        <f t="shared" si="14"/>
        <v>2.3300000000000018</v>
      </c>
      <c r="K18" s="76">
        <v>29.7</v>
      </c>
      <c r="L18" s="9">
        <f t="shared" si="16"/>
        <v>2.3000000000000007</v>
      </c>
      <c r="M18" s="79">
        <v>4</v>
      </c>
      <c r="N18" s="23">
        <f t="shared" si="20"/>
        <v>25.7</v>
      </c>
      <c r="O18" s="42">
        <f>+N18/B12</f>
        <v>2.5985844287158746E-2</v>
      </c>
      <c r="P18" s="19">
        <f t="shared" si="21"/>
        <v>6.3000000000000007</v>
      </c>
      <c r="Q18" s="82">
        <v>0</v>
      </c>
      <c r="R18" s="9">
        <f t="shared" si="17"/>
        <v>6.3000000000000007</v>
      </c>
      <c r="S18" s="9">
        <f t="shared" si="19"/>
        <v>6.3000000000000007</v>
      </c>
      <c r="T18" s="9">
        <f t="shared" si="15"/>
        <v>315.00000000000006</v>
      </c>
      <c r="U18" s="12">
        <f t="shared" si="18"/>
        <v>0.19687500000000002</v>
      </c>
      <c r="W18" s="102">
        <f t="shared" si="7"/>
        <v>32</v>
      </c>
      <c r="X18" s="103">
        <f t="shared" si="8"/>
        <v>29.7</v>
      </c>
      <c r="Y18" s="103">
        <f t="shared" si="9"/>
        <v>2.3000000000000007</v>
      </c>
      <c r="Z18" s="103">
        <f t="shared" si="10"/>
        <v>4</v>
      </c>
      <c r="AA18" s="104">
        <f t="shared" si="11"/>
        <v>6.3000000000000007</v>
      </c>
    </row>
    <row r="19" spans="1:28" ht="20.25" customHeight="1" x14ac:dyDescent="0.35">
      <c r="A19" s="293"/>
      <c r="B19" s="296"/>
      <c r="C19" s="35" t="s">
        <v>34</v>
      </c>
      <c r="D19" s="31">
        <v>70</v>
      </c>
      <c r="E19" s="31" t="s">
        <v>17</v>
      </c>
      <c r="F19" s="11">
        <v>0.1</v>
      </c>
      <c r="G19" s="11">
        <v>1</v>
      </c>
      <c r="H19" s="72">
        <f>+F19*B12</f>
        <v>98.9</v>
      </c>
      <c r="I19" s="68">
        <v>98</v>
      </c>
      <c r="J19" s="13">
        <f t="shared" si="14"/>
        <v>-0.90000000000000568</v>
      </c>
      <c r="K19" s="76">
        <v>98</v>
      </c>
      <c r="L19" s="9">
        <f t="shared" si="16"/>
        <v>0</v>
      </c>
      <c r="M19" s="79">
        <v>0</v>
      </c>
      <c r="N19" s="23">
        <f t="shared" si="20"/>
        <v>98</v>
      </c>
      <c r="O19" s="42">
        <f>+N19/B12</f>
        <v>9.9089989888776542E-2</v>
      </c>
      <c r="P19" s="19">
        <f t="shared" si="21"/>
        <v>0</v>
      </c>
      <c r="Q19" s="82">
        <v>0</v>
      </c>
      <c r="R19" s="9">
        <f t="shared" si="17"/>
        <v>0</v>
      </c>
      <c r="S19" s="9">
        <f t="shared" si="19"/>
        <v>0</v>
      </c>
      <c r="T19" s="9">
        <f t="shared" si="15"/>
        <v>0</v>
      </c>
      <c r="U19" s="12">
        <f t="shared" si="18"/>
        <v>0</v>
      </c>
      <c r="W19" s="102">
        <f t="shared" si="7"/>
        <v>98</v>
      </c>
      <c r="X19" s="103">
        <f t="shared" si="8"/>
        <v>98</v>
      </c>
      <c r="Y19" s="103">
        <f t="shared" si="9"/>
        <v>0</v>
      </c>
      <c r="Z19" s="103">
        <f t="shared" si="10"/>
        <v>0</v>
      </c>
      <c r="AA19" s="104">
        <f t="shared" si="11"/>
        <v>0</v>
      </c>
    </row>
    <row r="20" spans="1:28" ht="20.25" customHeight="1" x14ac:dyDescent="0.35">
      <c r="A20" s="294"/>
      <c r="B20" s="297"/>
      <c r="C20" s="40" t="s">
        <v>35</v>
      </c>
      <c r="D20" s="44">
        <v>2</v>
      </c>
      <c r="E20" s="44" t="s">
        <v>16</v>
      </c>
      <c r="F20" s="53">
        <v>2</v>
      </c>
      <c r="G20" s="45">
        <v>0.04</v>
      </c>
      <c r="H20" s="72">
        <f>+F20*B12</f>
        <v>1978</v>
      </c>
      <c r="I20" s="68">
        <v>2000</v>
      </c>
      <c r="J20" s="13">
        <f t="shared" si="14"/>
        <v>22</v>
      </c>
      <c r="K20" s="76">
        <v>1978</v>
      </c>
      <c r="L20" s="9">
        <f t="shared" si="16"/>
        <v>22</v>
      </c>
      <c r="M20" s="79">
        <v>40</v>
      </c>
      <c r="N20" s="33">
        <f t="shared" si="20"/>
        <v>1938</v>
      </c>
      <c r="O20" s="42">
        <f>+N20/B12</f>
        <v>1.9595551061678462</v>
      </c>
      <c r="P20" s="19">
        <f t="shared" si="21"/>
        <v>62</v>
      </c>
      <c r="Q20" s="82">
        <v>0</v>
      </c>
      <c r="R20" s="9">
        <f t="shared" si="17"/>
        <v>62</v>
      </c>
      <c r="S20" s="9">
        <f t="shared" si="19"/>
        <v>2.48</v>
      </c>
      <c r="T20" s="9">
        <f t="shared" si="15"/>
        <v>124</v>
      </c>
      <c r="U20" s="12">
        <f t="shared" si="18"/>
        <v>3.1E-2</v>
      </c>
      <c r="W20" s="115">
        <f t="shared" si="7"/>
        <v>80</v>
      </c>
      <c r="X20" s="116">
        <f t="shared" si="8"/>
        <v>79.12</v>
      </c>
      <c r="Y20" s="116">
        <f t="shared" si="9"/>
        <v>0.88</v>
      </c>
      <c r="Z20" s="116">
        <f t="shared" si="10"/>
        <v>1.6</v>
      </c>
      <c r="AA20" s="117">
        <f t="shared" si="11"/>
        <v>2.48</v>
      </c>
    </row>
    <row r="21" spans="1:28" ht="20.25" customHeight="1" thickBot="1" x14ac:dyDescent="0.4">
      <c r="A21" s="27"/>
      <c r="B21" s="28"/>
      <c r="C21" s="29"/>
      <c r="D21" s="15"/>
      <c r="E21" s="15"/>
      <c r="F21" s="15"/>
      <c r="G21" s="15"/>
      <c r="H21" s="74"/>
      <c r="I21" s="69"/>
      <c r="J21" s="16"/>
      <c r="K21" s="77"/>
      <c r="L21" s="15"/>
      <c r="M21" s="80"/>
      <c r="N21" s="14"/>
      <c r="O21" s="16"/>
      <c r="P21" s="20"/>
      <c r="Q21" s="83"/>
      <c r="R21" s="15"/>
      <c r="S21" s="56">
        <f>SUM(S12:S20)</f>
        <v>46.279999999999994</v>
      </c>
      <c r="T21" s="56">
        <f>SUM(T12:T20)</f>
        <v>2359.6000000000013</v>
      </c>
      <c r="U21" s="16"/>
      <c r="W21" s="118">
        <f>SUM(W12:W20)</f>
        <v>987</v>
      </c>
      <c r="X21" s="110">
        <f t="shared" ref="X21:AA21" si="22">SUM(X12:X20)</f>
        <v>958.32</v>
      </c>
      <c r="Y21" s="114">
        <f t="shared" si="22"/>
        <v>28.68</v>
      </c>
      <c r="Z21" s="109">
        <f t="shared" si="22"/>
        <v>45.6</v>
      </c>
      <c r="AA21" s="109">
        <f t="shared" si="22"/>
        <v>46.279999999999994</v>
      </c>
      <c r="AB21" s="94"/>
    </row>
    <row r="22" spans="1:28" ht="20.25" customHeight="1" x14ac:dyDescent="0.35">
      <c r="A22" s="292" t="s">
        <v>39</v>
      </c>
      <c r="B22" s="295">
        <v>1270</v>
      </c>
      <c r="C22" s="34" t="s">
        <v>177</v>
      </c>
      <c r="D22" s="4">
        <v>50</v>
      </c>
      <c r="E22" s="4" t="s">
        <v>58</v>
      </c>
      <c r="F22" s="135">
        <v>0.2</v>
      </c>
      <c r="G22" s="5">
        <v>1</v>
      </c>
      <c r="H22" s="71">
        <f>+F22*B22</f>
        <v>254</v>
      </c>
      <c r="I22" s="67">
        <v>254</v>
      </c>
      <c r="J22" s="22">
        <f>I22-H22</f>
        <v>0</v>
      </c>
      <c r="K22" s="75">
        <v>254</v>
      </c>
      <c r="L22" s="3">
        <f>+I22-K22</f>
        <v>0</v>
      </c>
      <c r="M22" s="78">
        <v>0</v>
      </c>
      <c r="N22" s="21">
        <f>+K22-M22</f>
        <v>254</v>
      </c>
      <c r="O22" s="41">
        <f>+N22/B22</f>
        <v>0.2</v>
      </c>
      <c r="P22" s="18">
        <f>+L22+M22</f>
        <v>0</v>
      </c>
      <c r="Q22" s="81">
        <v>0</v>
      </c>
      <c r="R22" s="3">
        <f>+P22-Q22</f>
        <v>0</v>
      </c>
      <c r="S22" s="3">
        <f>+R22*G22</f>
        <v>0</v>
      </c>
      <c r="T22" s="3">
        <f>+R22*D22</f>
        <v>0</v>
      </c>
      <c r="U22" s="6">
        <f>+R22/I22</f>
        <v>0</v>
      </c>
      <c r="W22" s="111">
        <f t="shared" si="7"/>
        <v>254</v>
      </c>
      <c r="X22" s="112">
        <f t="shared" si="8"/>
        <v>254</v>
      </c>
      <c r="Y22" s="112">
        <f t="shared" si="9"/>
        <v>0</v>
      </c>
      <c r="Z22" s="112">
        <f t="shared" si="10"/>
        <v>0</v>
      </c>
      <c r="AA22" s="113">
        <f t="shared" si="11"/>
        <v>0</v>
      </c>
    </row>
    <row r="23" spans="1:28" ht="20.25" customHeight="1" x14ac:dyDescent="0.35">
      <c r="A23" s="293"/>
      <c r="B23" s="296"/>
      <c r="C23" s="35" t="s">
        <v>56</v>
      </c>
      <c r="D23" s="10">
        <v>45</v>
      </c>
      <c r="E23" s="10" t="s">
        <v>61</v>
      </c>
      <c r="F23" s="49">
        <v>0.1</v>
      </c>
      <c r="G23" s="11">
        <v>0.01</v>
      </c>
      <c r="H23" s="70">
        <f>+F23*B22</f>
        <v>127</v>
      </c>
      <c r="I23" s="68">
        <v>147</v>
      </c>
      <c r="J23" s="13">
        <f>I23-H23</f>
        <v>20</v>
      </c>
      <c r="K23" s="76">
        <v>127</v>
      </c>
      <c r="L23" s="9">
        <f t="shared" ref="L23:L25" si="23">+I23-K23</f>
        <v>20</v>
      </c>
      <c r="M23" s="79">
        <v>0</v>
      </c>
      <c r="N23" s="23">
        <f t="shared" ref="N23:N25" si="24">+K23-M23</f>
        <v>127</v>
      </c>
      <c r="O23" s="42">
        <f>+N23/B22</f>
        <v>0.1</v>
      </c>
      <c r="P23" s="19">
        <f>+L23+M23</f>
        <v>20</v>
      </c>
      <c r="Q23" s="82">
        <v>0</v>
      </c>
      <c r="R23" s="9">
        <f t="shared" ref="R23:R25" si="25">+P23-Q23</f>
        <v>20</v>
      </c>
      <c r="S23" s="9">
        <f>+R23*G23</f>
        <v>0.2</v>
      </c>
      <c r="T23" s="9">
        <f>+R23*D23</f>
        <v>900</v>
      </c>
      <c r="U23" s="12">
        <f t="shared" ref="U23:U25" si="26">+R23/I23</f>
        <v>0.1360544217687075</v>
      </c>
      <c r="W23" s="102">
        <f t="shared" si="7"/>
        <v>1.47</v>
      </c>
      <c r="X23" s="103">
        <f t="shared" si="8"/>
        <v>1.27</v>
      </c>
      <c r="Y23" s="103">
        <f t="shared" si="9"/>
        <v>0.2</v>
      </c>
      <c r="Z23" s="103">
        <f t="shared" si="10"/>
        <v>0</v>
      </c>
      <c r="AA23" s="104">
        <f t="shared" si="11"/>
        <v>0.2</v>
      </c>
    </row>
    <row r="24" spans="1:28" ht="20.25" customHeight="1" x14ac:dyDescent="0.35">
      <c r="A24" s="293"/>
      <c r="B24" s="296"/>
      <c r="C24" s="35" t="s">
        <v>178</v>
      </c>
      <c r="D24" s="10">
        <v>6</v>
      </c>
      <c r="E24" s="10" t="s">
        <v>16</v>
      </c>
      <c r="F24" s="126">
        <v>1</v>
      </c>
      <c r="G24" s="11">
        <v>0.05</v>
      </c>
      <c r="H24" s="72">
        <f>+F24*B22</f>
        <v>1270</v>
      </c>
      <c r="I24" s="68">
        <v>1270</v>
      </c>
      <c r="J24" s="13">
        <f>I24-H24</f>
        <v>0</v>
      </c>
      <c r="K24" s="76">
        <v>1270</v>
      </c>
      <c r="L24" s="9">
        <f t="shared" si="23"/>
        <v>0</v>
      </c>
      <c r="M24" s="79">
        <v>0</v>
      </c>
      <c r="N24" s="33">
        <f t="shared" si="24"/>
        <v>1270</v>
      </c>
      <c r="O24" s="42">
        <f>+N24/B22</f>
        <v>1</v>
      </c>
      <c r="P24" s="19">
        <f>+L24+M24</f>
        <v>0</v>
      </c>
      <c r="Q24" s="82">
        <v>0</v>
      </c>
      <c r="R24" s="9">
        <f t="shared" si="25"/>
        <v>0</v>
      </c>
      <c r="S24" s="9">
        <f>+R24*G24</f>
        <v>0</v>
      </c>
      <c r="T24" s="9">
        <f>+R24*D24</f>
        <v>0</v>
      </c>
      <c r="U24" s="12">
        <f t="shared" si="26"/>
        <v>0</v>
      </c>
      <c r="W24" s="102">
        <f t="shared" si="7"/>
        <v>63.5</v>
      </c>
      <c r="X24" s="103">
        <f t="shared" si="8"/>
        <v>63.5</v>
      </c>
      <c r="Y24" s="103">
        <f t="shared" si="9"/>
        <v>0</v>
      </c>
      <c r="Z24" s="103">
        <f t="shared" si="10"/>
        <v>0</v>
      </c>
      <c r="AA24" s="104">
        <f t="shared" si="11"/>
        <v>0</v>
      </c>
    </row>
    <row r="25" spans="1:28" ht="20.25" customHeight="1" x14ac:dyDescent="0.35">
      <c r="A25" s="293"/>
      <c r="B25" s="296"/>
      <c r="C25" s="35" t="s">
        <v>14</v>
      </c>
      <c r="D25" s="10">
        <v>60</v>
      </c>
      <c r="E25" s="10" t="s">
        <v>18</v>
      </c>
      <c r="F25" s="49">
        <v>0.1</v>
      </c>
      <c r="G25" s="11">
        <v>1</v>
      </c>
      <c r="H25" s="72">
        <f>+F25*B22</f>
        <v>127</v>
      </c>
      <c r="I25" s="68">
        <v>130</v>
      </c>
      <c r="J25" s="13">
        <f>I25-H25</f>
        <v>3</v>
      </c>
      <c r="K25" s="76">
        <v>127</v>
      </c>
      <c r="L25" s="9">
        <f t="shared" si="23"/>
        <v>3</v>
      </c>
      <c r="M25" s="79">
        <v>2</v>
      </c>
      <c r="N25" s="23">
        <f t="shared" si="24"/>
        <v>125</v>
      </c>
      <c r="O25" s="42">
        <f>+N25/B22</f>
        <v>9.8425196850393706E-2</v>
      </c>
      <c r="P25" s="19">
        <f t="shared" ref="P25" si="27">+L25+M25</f>
        <v>5</v>
      </c>
      <c r="Q25" s="82">
        <v>0</v>
      </c>
      <c r="R25" s="9">
        <f t="shared" si="25"/>
        <v>5</v>
      </c>
      <c r="S25" s="9">
        <f>+R25*G25</f>
        <v>5</v>
      </c>
      <c r="T25" s="9">
        <f>+R25*D25</f>
        <v>300</v>
      </c>
      <c r="U25" s="12">
        <f t="shared" si="26"/>
        <v>3.8461538461538464E-2</v>
      </c>
      <c r="W25" s="105">
        <f t="shared" si="7"/>
        <v>130</v>
      </c>
      <c r="X25" s="106">
        <f t="shared" si="8"/>
        <v>127</v>
      </c>
      <c r="Y25" s="106">
        <f t="shared" si="9"/>
        <v>3</v>
      </c>
      <c r="Z25" s="106">
        <f t="shared" si="10"/>
        <v>2</v>
      </c>
      <c r="AA25" s="107">
        <f t="shared" si="11"/>
        <v>5</v>
      </c>
    </row>
    <row r="26" spans="1:28" ht="21.75" customHeight="1" thickBot="1" x14ac:dyDescent="0.4">
      <c r="A26" s="27"/>
      <c r="B26" s="55"/>
      <c r="C26" s="29"/>
      <c r="D26" s="15"/>
      <c r="E26" s="15"/>
      <c r="F26" s="15"/>
      <c r="G26" s="15"/>
      <c r="H26" s="74"/>
      <c r="I26" s="69"/>
      <c r="J26" s="16"/>
      <c r="K26" s="77"/>
      <c r="L26" s="15"/>
      <c r="M26" s="80"/>
      <c r="N26" s="14"/>
      <c r="O26" s="16"/>
      <c r="P26" s="20"/>
      <c r="Q26" s="83"/>
      <c r="R26" s="15"/>
      <c r="S26" s="56">
        <f>SUM(S22:S25)</f>
        <v>5.2</v>
      </c>
      <c r="T26" s="56">
        <f>SUM(T22:T25)</f>
        <v>1200</v>
      </c>
      <c r="U26" s="16"/>
      <c r="W26" s="123">
        <f>SUM(W22:W25)</f>
        <v>448.97</v>
      </c>
      <c r="X26" s="124">
        <f t="shared" ref="X26:AA26" si="28">SUM(X22:X25)</f>
        <v>445.77</v>
      </c>
      <c r="Y26" s="124">
        <f t="shared" si="28"/>
        <v>3.2</v>
      </c>
      <c r="Z26" s="124">
        <f t="shared" si="28"/>
        <v>2</v>
      </c>
      <c r="AA26" s="125">
        <f t="shared" si="28"/>
        <v>5.2</v>
      </c>
    </row>
    <row r="27" spans="1:28" ht="20.25" customHeight="1" x14ac:dyDescent="0.35">
      <c r="A27" s="292" t="s">
        <v>40</v>
      </c>
      <c r="B27" s="295">
        <v>719</v>
      </c>
      <c r="C27" s="34" t="s">
        <v>31</v>
      </c>
      <c r="D27" s="4">
        <v>20</v>
      </c>
      <c r="E27" s="30" t="s">
        <v>17</v>
      </c>
      <c r="F27" s="52">
        <v>0.35</v>
      </c>
      <c r="G27" s="5">
        <v>1</v>
      </c>
      <c r="H27" s="71">
        <f>+F27*B27</f>
        <v>251.64999999999998</v>
      </c>
      <c r="I27" s="67">
        <v>276</v>
      </c>
      <c r="J27" s="22">
        <f t="shared" ref="J27:J35" si="29">I27-H27</f>
        <v>24.350000000000023</v>
      </c>
      <c r="K27" s="75">
        <v>251.7</v>
      </c>
      <c r="L27" s="3">
        <f>+I27-K27</f>
        <v>24.300000000000011</v>
      </c>
      <c r="M27" s="78">
        <v>15</v>
      </c>
      <c r="N27" s="21">
        <f>+K27-M27</f>
        <v>236.7</v>
      </c>
      <c r="O27" s="41">
        <f>+N27/B27</f>
        <v>0.32920723226703752</v>
      </c>
      <c r="P27" s="18">
        <f>+L27+M27</f>
        <v>39.300000000000011</v>
      </c>
      <c r="Q27" s="81">
        <v>30</v>
      </c>
      <c r="R27" s="3">
        <f>+P27-Q27</f>
        <v>9.3000000000000114</v>
      </c>
      <c r="S27" s="3">
        <f t="shared" ref="S27:S35" si="30">+R27*G27</f>
        <v>9.3000000000000114</v>
      </c>
      <c r="T27" s="3">
        <f t="shared" ref="T27:T35" si="31">+R27*D27</f>
        <v>186.00000000000023</v>
      </c>
      <c r="U27" s="6">
        <f>+R27/I27</f>
        <v>3.3695652173913085E-2</v>
      </c>
      <c r="W27" s="111">
        <f t="shared" si="7"/>
        <v>276</v>
      </c>
      <c r="X27" s="112">
        <f t="shared" si="8"/>
        <v>251.7</v>
      </c>
      <c r="Y27" s="112">
        <f t="shared" si="9"/>
        <v>24.300000000000011</v>
      </c>
      <c r="Z27" s="112">
        <f t="shared" si="10"/>
        <v>15</v>
      </c>
      <c r="AA27" s="113">
        <f t="shared" si="11"/>
        <v>9.3000000000000114</v>
      </c>
    </row>
    <row r="28" spans="1:28" ht="20.25" customHeight="1" x14ac:dyDescent="0.35">
      <c r="A28" s="293"/>
      <c r="B28" s="296"/>
      <c r="C28" s="35" t="s">
        <v>113</v>
      </c>
      <c r="D28" s="10">
        <v>65</v>
      </c>
      <c r="E28" s="31" t="s">
        <v>17</v>
      </c>
      <c r="F28" s="49">
        <v>0.1</v>
      </c>
      <c r="G28" s="11">
        <v>1</v>
      </c>
      <c r="H28" s="70">
        <f>+F28*B27</f>
        <v>71.900000000000006</v>
      </c>
      <c r="I28" s="68">
        <v>74.5</v>
      </c>
      <c r="J28" s="13">
        <f t="shared" si="29"/>
        <v>2.5999999999999943</v>
      </c>
      <c r="K28" s="76">
        <v>71.900000000000006</v>
      </c>
      <c r="L28" s="9">
        <f t="shared" ref="L28:L35" si="32">+I28-K28</f>
        <v>2.5999999999999943</v>
      </c>
      <c r="M28" s="79">
        <v>3</v>
      </c>
      <c r="N28" s="23">
        <f t="shared" ref="N28:N35" si="33">+K28-M28</f>
        <v>68.900000000000006</v>
      </c>
      <c r="O28" s="42">
        <f>+N28/B27</f>
        <v>9.5827538247566069E-2</v>
      </c>
      <c r="P28" s="19">
        <f>+L28+M28</f>
        <v>5.5999999999999943</v>
      </c>
      <c r="Q28" s="82">
        <v>0</v>
      </c>
      <c r="R28" s="9">
        <f t="shared" ref="R28:R35" si="34">+P28-Q28</f>
        <v>5.5999999999999943</v>
      </c>
      <c r="S28" s="9">
        <f t="shared" si="30"/>
        <v>5.5999999999999943</v>
      </c>
      <c r="T28" s="9">
        <f t="shared" si="31"/>
        <v>363.99999999999966</v>
      </c>
      <c r="U28" s="12">
        <f t="shared" ref="U28:U35" si="35">+R28/I28</f>
        <v>7.5167785234899254E-2</v>
      </c>
      <c r="W28" s="102">
        <f t="shared" si="7"/>
        <v>74.5</v>
      </c>
      <c r="X28" s="103">
        <f t="shared" si="8"/>
        <v>71.900000000000006</v>
      </c>
      <c r="Y28" s="103">
        <f t="shared" si="9"/>
        <v>2.5999999999999943</v>
      </c>
      <c r="Z28" s="103">
        <f t="shared" si="10"/>
        <v>3</v>
      </c>
      <c r="AA28" s="104">
        <f t="shared" si="11"/>
        <v>5.5999999999999943</v>
      </c>
    </row>
    <row r="29" spans="1:28" ht="20.25" customHeight="1" x14ac:dyDescent="0.35">
      <c r="A29" s="293"/>
      <c r="B29" s="296"/>
      <c r="C29" s="35" t="s">
        <v>129</v>
      </c>
      <c r="D29" s="10">
        <v>130</v>
      </c>
      <c r="E29" s="31" t="s">
        <v>17</v>
      </c>
      <c r="F29" s="49">
        <v>0.05</v>
      </c>
      <c r="G29" s="11">
        <v>1</v>
      </c>
      <c r="H29" s="72">
        <f>+F29*B27</f>
        <v>35.950000000000003</v>
      </c>
      <c r="I29" s="68">
        <v>37</v>
      </c>
      <c r="J29" s="13">
        <f t="shared" si="29"/>
        <v>1.0499999999999972</v>
      </c>
      <c r="K29" s="76">
        <v>36</v>
      </c>
      <c r="L29" s="9">
        <f t="shared" si="32"/>
        <v>1</v>
      </c>
      <c r="M29" s="79">
        <v>1</v>
      </c>
      <c r="N29" s="33">
        <f t="shared" si="33"/>
        <v>35</v>
      </c>
      <c r="O29" s="42">
        <f>+N29/B27</f>
        <v>4.8678720445062586E-2</v>
      </c>
      <c r="P29" s="19">
        <f>+L29+M29</f>
        <v>2</v>
      </c>
      <c r="Q29" s="82">
        <v>0</v>
      </c>
      <c r="R29" s="9">
        <f t="shared" si="34"/>
        <v>2</v>
      </c>
      <c r="S29" s="9">
        <f t="shared" si="30"/>
        <v>2</v>
      </c>
      <c r="T29" s="9">
        <f t="shared" si="31"/>
        <v>260</v>
      </c>
      <c r="U29" s="12">
        <f t="shared" si="35"/>
        <v>5.4054054054054057E-2</v>
      </c>
      <c r="W29" s="102">
        <f t="shared" si="7"/>
        <v>37</v>
      </c>
      <c r="X29" s="103">
        <f t="shared" si="8"/>
        <v>36</v>
      </c>
      <c r="Y29" s="103">
        <f t="shared" si="9"/>
        <v>1</v>
      </c>
      <c r="Z29" s="103">
        <f t="shared" si="10"/>
        <v>1</v>
      </c>
      <c r="AA29" s="104">
        <f t="shared" si="11"/>
        <v>2</v>
      </c>
    </row>
    <row r="30" spans="1:28" ht="20.25" customHeight="1" x14ac:dyDescent="0.35">
      <c r="A30" s="293"/>
      <c r="B30" s="296"/>
      <c r="C30" s="35" t="s">
        <v>125</v>
      </c>
      <c r="D30" s="10">
        <v>55</v>
      </c>
      <c r="E30" s="31" t="s">
        <v>17</v>
      </c>
      <c r="F30" s="49">
        <v>0.1</v>
      </c>
      <c r="G30" s="11">
        <v>1</v>
      </c>
      <c r="H30" s="72">
        <f>+F30*B27</f>
        <v>71.900000000000006</v>
      </c>
      <c r="I30" s="68">
        <v>74</v>
      </c>
      <c r="J30" s="13">
        <f t="shared" si="29"/>
        <v>2.0999999999999943</v>
      </c>
      <c r="K30" s="76">
        <v>71.900000000000006</v>
      </c>
      <c r="L30" s="9">
        <f t="shared" si="32"/>
        <v>2.0999999999999943</v>
      </c>
      <c r="M30" s="79">
        <v>2.5</v>
      </c>
      <c r="N30" s="23">
        <f t="shared" si="33"/>
        <v>69.400000000000006</v>
      </c>
      <c r="O30" s="42">
        <f>+N30/B27</f>
        <v>9.6522948539638401E-2</v>
      </c>
      <c r="P30" s="19">
        <f t="shared" ref="P30:P35" si="36">+L30+M30</f>
        <v>4.5999999999999943</v>
      </c>
      <c r="Q30" s="82">
        <v>0</v>
      </c>
      <c r="R30" s="9">
        <f t="shared" si="34"/>
        <v>4.5999999999999943</v>
      </c>
      <c r="S30" s="9">
        <f t="shared" si="30"/>
        <v>4.5999999999999943</v>
      </c>
      <c r="T30" s="9">
        <f t="shared" si="31"/>
        <v>252.99999999999969</v>
      </c>
      <c r="U30" s="12">
        <f t="shared" si="35"/>
        <v>6.2162162162162082E-2</v>
      </c>
      <c r="W30" s="102">
        <f t="shared" si="7"/>
        <v>74</v>
      </c>
      <c r="X30" s="103">
        <f t="shared" si="8"/>
        <v>71.900000000000006</v>
      </c>
      <c r="Y30" s="103">
        <f t="shared" si="9"/>
        <v>2.0999999999999943</v>
      </c>
      <c r="Z30" s="103">
        <f t="shared" si="10"/>
        <v>2.5</v>
      </c>
      <c r="AA30" s="104">
        <f t="shared" si="11"/>
        <v>4.5999999999999943</v>
      </c>
    </row>
    <row r="31" spans="1:28" ht="20.25" customHeight="1" x14ac:dyDescent="0.35">
      <c r="A31" s="293"/>
      <c r="B31" s="296"/>
      <c r="C31" s="35" t="s">
        <v>32</v>
      </c>
      <c r="D31" s="10">
        <v>48</v>
      </c>
      <c r="E31" s="31" t="s">
        <v>18</v>
      </c>
      <c r="F31" s="49">
        <v>0.08</v>
      </c>
      <c r="G31" s="11">
        <v>1</v>
      </c>
      <c r="H31" s="72">
        <f>+F31*B27</f>
        <v>57.52</v>
      </c>
      <c r="I31" s="68">
        <v>60</v>
      </c>
      <c r="J31" s="13">
        <f t="shared" si="29"/>
        <v>2.4799999999999969</v>
      </c>
      <c r="K31" s="76">
        <v>57.5</v>
      </c>
      <c r="L31" s="9">
        <f t="shared" si="32"/>
        <v>2.5</v>
      </c>
      <c r="M31" s="79">
        <v>3</v>
      </c>
      <c r="N31" s="33">
        <f t="shared" si="33"/>
        <v>54.5</v>
      </c>
      <c r="O31" s="42">
        <f>+N31/B27</f>
        <v>7.5799721835883169E-2</v>
      </c>
      <c r="P31" s="19">
        <f t="shared" si="36"/>
        <v>5.5</v>
      </c>
      <c r="Q31" s="82">
        <v>0</v>
      </c>
      <c r="R31" s="9">
        <f t="shared" si="34"/>
        <v>5.5</v>
      </c>
      <c r="S31" s="9">
        <f t="shared" si="30"/>
        <v>5.5</v>
      </c>
      <c r="T31" s="9">
        <f t="shared" si="31"/>
        <v>264</v>
      </c>
      <c r="U31" s="12">
        <f t="shared" si="35"/>
        <v>9.166666666666666E-2</v>
      </c>
      <c r="W31" s="102">
        <f t="shared" si="7"/>
        <v>60</v>
      </c>
      <c r="X31" s="103">
        <f t="shared" si="8"/>
        <v>57.5</v>
      </c>
      <c r="Y31" s="103">
        <f t="shared" si="9"/>
        <v>2.5</v>
      </c>
      <c r="Z31" s="103">
        <f t="shared" si="10"/>
        <v>3</v>
      </c>
      <c r="AA31" s="104">
        <f t="shared" si="11"/>
        <v>5.5</v>
      </c>
    </row>
    <row r="32" spans="1:28" ht="20.25" customHeight="1" x14ac:dyDescent="0.35">
      <c r="A32" s="293"/>
      <c r="B32" s="296"/>
      <c r="C32" s="35" t="s">
        <v>54</v>
      </c>
      <c r="D32" s="10">
        <v>35</v>
      </c>
      <c r="E32" s="31" t="s">
        <v>18</v>
      </c>
      <c r="F32" s="49">
        <v>0.08</v>
      </c>
      <c r="G32" s="11">
        <v>1</v>
      </c>
      <c r="H32" s="73">
        <f>+F32*B27</f>
        <v>57.52</v>
      </c>
      <c r="I32" s="68">
        <v>60</v>
      </c>
      <c r="J32" s="13">
        <f t="shared" si="29"/>
        <v>2.4799999999999969</v>
      </c>
      <c r="K32" s="76">
        <v>57.5</v>
      </c>
      <c r="L32" s="9">
        <f t="shared" si="32"/>
        <v>2.5</v>
      </c>
      <c r="M32" s="79">
        <v>2</v>
      </c>
      <c r="N32" s="23">
        <f t="shared" si="33"/>
        <v>55.5</v>
      </c>
      <c r="O32" s="42">
        <f>+N32/B27</f>
        <v>7.7190542420027819E-2</v>
      </c>
      <c r="P32" s="19">
        <f t="shared" si="36"/>
        <v>4.5</v>
      </c>
      <c r="Q32" s="82">
        <v>0</v>
      </c>
      <c r="R32" s="9">
        <f t="shared" si="34"/>
        <v>4.5</v>
      </c>
      <c r="S32" s="9">
        <f t="shared" si="30"/>
        <v>4.5</v>
      </c>
      <c r="T32" s="9">
        <f t="shared" si="31"/>
        <v>157.5</v>
      </c>
      <c r="U32" s="12">
        <f t="shared" si="35"/>
        <v>7.4999999999999997E-2</v>
      </c>
      <c r="W32" s="102">
        <f t="shared" si="7"/>
        <v>60</v>
      </c>
      <c r="X32" s="103">
        <f t="shared" si="8"/>
        <v>57.5</v>
      </c>
      <c r="Y32" s="103">
        <f t="shared" si="9"/>
        <v>2.5</v>
      </c>
      <c r="Z32" s="103">
        <f t="shared" si="10"/>
        <v>2</v>
      </c>
      <c r="AA32" s="104">
        <f t="shared" si="11"/>
        <v>4.5</v>
      </c>
    </row>
    <row r="33" spans="1:28" ht="20.25" customHeight="1" x14ac:dyDescent="0.35">
      <c r="A33" s="293"/>
      <c r="B33" s="296"/>
      <c r="C33" s="35" t="s">
        <v>33</v>
      </c>
      <c r="D33" s="10">
        <v>50</v>
      </c>
      <c r="E33" s="31" t="s">
        <v>17</v>
      </c>
      <c r="F33" s="49">
        <v>0.03</v>
      </c>
      <c r="G33" s="11">
        <v>1</v>
      </c>
      <c r="H33" s="72">
        <f>+F33*B27</f>
        <v>21.57</v>
      </c>
      <c r="I33" s="68">
        <v>23.5</v>
      </c>
      <c r="J33" s="13">
        <f t="shared" si="29"/>
        <v>1.9299999999999997</v>
      </c>
      <c r="K33" s="76">
        <v>21.6</v>
      </c>
      <c r="L33" s="9">
        <f t="shared" si="32"/>
        <v>1.8999999999999986</v>
      </c>
      <c r="M33" s="79">
        <v>1</v>
      </c>
      <c r="N33" s="23">
        <f t="shared" si="33"/>
        <v>20.6</v>
      </c>
      <c r="O33" s="42">
        <f>+N33/B27</f>
        <v>2.8650904033379696E-2</v>
      </c>
      <c r="P33" s="19">
        <f t="shared" si="36"/>
        <v>2.8999999999999986</v>
      </c>
      <c r="Q33" s="82">
        <v>0</v>
      </c>
      <c r="R33" s="9">
        <f t="shared" si="34"/>
        <v>2.8999999999999986</v>
      </c>
      <c r="S33" s="9">
        <f t="shared" si="30"/>
        <v>2.8999999999999986</v>
      </c>
      <c r="T33" s="9">
        <f t="shared" si="31"/>
        <v>144.99999999999994</v>
      </c>
      <c r="U33" s="12">
        <f t="shared" si="35"/>
        <v>0.12340425531914888</v>
      </c>
      <c r="W33" s="102">
        <f t="shared" si="7"/>
        <v>23.5</v>
      </c>
      <c r="X33" s="103">
        <f t="shared" si="8"/>
        <v>21.6</v>
      </c>
      <c r="Y33" s="103">
        <f t="shared" si="9"/>
        <v>1.8999999999999986</v>
      </c>
      <c r="Z33" s="103">
        <f t="shared" si="10"/>
        <v>1</v>
      </c>
      <c r="AA33" s="104">
        <f t="shared" si="11"/>
        <v>2.8999999999999986</v>
      </c>
    </row>
    <row r="34" spans="1:28" ht="20.25" customHeight="1" x14ac:dyDescent="0.35">
      <c r="A34" s="293"/>
      <c r="B34" s="296"/>
      <c r="C34" s="35" t="s">
        <v>34</v>
      </c>
      <c r="D34" s="31">
        <v>70</v>
      </c>
      <c r="E34" s="31" t="s">
        <v>17</v>
      </c>
      <c r="F34" s="11">
        <v>0.1</v>
      </c>
      <c r="G34" s="11">
        <v>1</v>
      </c>
      <c r="H34" s="72">
        <f>+F34*B27</f>
        <v>71.900000000000006</v>
      </c>
      <c r="I34" s="68">
        <v>71.900000000000006</v>
      </c>
      <c r="J34" s="13">
        <f t="shared" si="29"/>
        <v>0</v>
      </c>
      <c r="K34" s="76">
        <v>71.599999999999994</v>
      </c>
      <c r="L34" s="9">
        <f t="shared" si="32"/>
        <v>0.30000000000001137</v>
      </c>
      <c r="M34" s="79">
        <v>0</v>
      </c>
      <c r="N34" s="23">
        <f t="shared" si="33"/>
        <v>71.599999999999994</v>
      </c>
      <c r="O34" s="42">
        <f>+N34/B27</f>
        <v>9.9582753824756592E-2</v>
      </c>
      <c r="P34" s="19">
        <f t="shared" si="36"/>
        <v>0.30000000000001137</v>
      </c>
      <c r="Q34" s="82">
        <v>0</v>
      </c>
      <c r="R34" s="9">
        <f t="shared" si="34"/>
        <v>0.30000000000001137</v>
      </c>
      <c r="S34" s="9">
        <f t="shared" si="30"/>
        <v>0.30000000000001137</v>
      </c>
      <c r="T34" s="9">
        <f t="shared" si="31"/>
        <v>21.000000000000796</v>
      </c>
      <c r="U34" s="12">
        <f t="shared" si="35"/>
        <v>4.1724617524340939E-3</v>
      </c>
      <c r="W34" s="102">
        <f t="shared" si="7"/>
        <v>71.900000000000006</v>
      </c>
      <c r="X34" s="103">
        <f t="shared" si="8"/>
        <v>71.599999999999994</v>
      </c>
      <c r="Y34" s="103">
        <f t="shared" si="9"/>
        <v>0.30000000000001137</v>
      </c>
      <c r="Z34" s="103">
        <f t="shared" si="10"/>
        <v>0</v>
      </c>
      <c r="AA34" s="104">
        <f t="shared" si="11"/>
        <v>0.30000000000001137</v>
      </c>
    </row>
    <row r="35" spans="1:28" ht="20.25" customHeight="1" x14ac:dyDescent="0.35">
      <c r="A35" s="294"/>
      <c r="B35" s="297"/>
      <c r="C35" s="40" t="s">
        <v>35</v>
      </c>
      <c r="D35" s="44">
        <v>2</v>
      </c>
      <c r="E35" s="44" t="s">
        <v>16</v>
      </c>
      <c r="F35" s="53">
        <v>2</v>
      </c>
      <c r="G35" s="45">
        <v>0.04</v>
      </c>
      <c r="H35" s="72">
        <f>+F35*B27</f>
        <v>1438</v>
      </c>
      <c r="I35" s="68">
        <v>1455</v>
      </c>
      <c r="J35" s="13">
        <f t="shared" si="29"/>
        <v>17</v>
      </c>
      <c r="K35" s="76">
        <v>1438</v>
      </c>
      <c r="L35" s="9">
        <f t="shared" si="32"/>
        <v>17</v>
      </c>
      <c r="M35" s="79">
        <v>20</v>
      </c>
      <c r="N35" s="33">
        <f t="shared" si="33"/>
        <v>1418</v>
      </c>
      <c r="O35" s="42">
        <f>+N35/B27</f>
        <v>1.9721835883171071</v>
      </c>
      <c r="P35" s="19">
        <f t="shared" si="36"/>
        <v>37</v>
      </c>
      <c r="Q35" s="82">
        <v>0</v>
      </c>
      <c r="R35" s="9">
        <f t="shared" si="34"/>
        <v>37</v>
      </c>
      <c r="S35" s="9">
        <f t="shared" si="30"/>
        <v>1.48</v>
      </c>
      <c r="T35" s="9">
        <f t="shared" si="31"/>
        <v>74</v>
      </c>
      <c r="U35" s="12">
        <f t="shared" si="35"/>
        <v>2.5429553264604811E-2</v>
      </c>
      <c r="W35" s="105">
        <f t="shared" si="7"/>
        <v>58.2</v>
      </c>
      <c r="X35" s="106">
        <f t="shared" si="8"/>
        <v>57.52</v>
      </c>
      <c r="Y35" s="106">
        <f t="shared" si="9"/>
        <v>0.68</v>
      </c>
      <c r="Z35" s="106">
        <f t="shared" si="10"/>
        <v>0.8</v>
      </c>
      <c r="AA35" s="107">
        <f t="shared" si="11"/>
        <v>1.48</v>
      </c>
    </row>
    <row r="36" spans="1:28" ht="23.25" customHeight="1" thickBot="1" x14ac:dyDescent="0.4">
      <c r="A36" s="27"/>
      <c r="B36" s="57"/>
      <c r="C36" s="29"/>
      <c r="D36" s="15"/>
      <c r="E36" s="15"/>
      <c r="F36" s="15"/>
      <c r="G36" s="15"/>
      <c r="H36" s="14"/>
      <c r="I36" s="15"/>
      <c r="J36" s="16"/>
      <c r="K36" s="14"/>
      <c r="L36" s="15"/>
      <c r="M36" s="16"/>
      <c r="N36" s="14"/>
      <c r="O36" s="16"/>
      <c r="P36" s="20"/>
      <c r="Q36" s="15"/>
      <c r="R36" s="15"/>
      <c r="S36" s="56">
        <f>SUM(S27:S35)</f>
        <v>36.180000000000007</v>
      </c>
      <c r="T36" s="56">
        <f>SUM(T27:T35)</f>
        <v>1724.5000000000005</v>
      </c>
      <c r="U36" s="16"/>
      <c r="W36" s="122">
        <f>SUM(W27:W35)</f>
        <v>735.1</v>
      </c>
      <c r="X36" s="109">
        <f t="shared" ref="X36:AA36" si="37">SUM(X27:X35)</f>
        <v>697.22</v>
      </c>
      <c r="Y36" s="109">
        <f t="shared" si="37"/>
        <v>37.88000000000001</v>
      </c>
      <c r="Z36" s="110">
        <f t="shared" si="37"/>
        <v>28.3</v>
      </c>
      <c r="AA36" s="114">
        <f t="shared" si="37"/>
        <v>36.180000000000007</v>
      </c>
      <c r="AB36" s="94"/>
    </row>
    <row r="37" spans="1:28" ht="31.5" customHeight="1" thickBot="1" x14ac:dyDescent="0.4">
      <c r="A37" s="58" t="s">
        <v>42</v>
      </c>
      <c r="B37" s="32">
        <f>+B4+B12+B22+B27</f>
        <v>4046</v>
      </c>
      <c r="C37" s="29"/>
      <c r="D37" s="15"/>
      <c r="E37" s="15"/>
      <c r="F37" s="15"/>
      <c r="G37" s="15"/>
      <c r="H37" s="14"/>
      <c r="I37" s="15"/>
      <c r="J37" s="16"/>
      <c r="K37" s="14"/>
      <c r="L37" s="15"/>
      <c r="M37" s="16"/>
      <c r="N37" s="14"/>
      <c r="O37" s="16"/>
      <c r="P37" s="20"/>
      <c r="Q37" s="15"/>
      <c r="R37" s="17"/>
      <c r="S37" s="85">
        <f>+S36+S26+S21+S11</f>
        <v>121.96000000000002</v>
      </c>
      <c r="T37" s="85">
        <f>+T36+T26+T21+T11</f>
        <v>7110.5000000000036</v>
      </c>
      <c r="U37" s="62"/>
      <c r="W37" s="108">
        <f>+W11+W21+W26+W36</f>
        <v>2983.37</v>
      </c>
      <c r="X37" s="119">
        <f t="shared" ref="X37:AA37" si="38">+X11+X21+X26+X36</f>
        <v>2902.3100000000004</v>
      </c>
      <c r="Y37" s="119">
        <f t="shared" si="38"/>
        <v>81.060000000000031</v>
      </c>
      <c r="Z37" s="121">
        <f t="shared" si="38"/>
        <v>100.39999999999999</v>
      </c>
      <c r="AA37" s="120">
        <f t="shared" si="38"/>
        <v>121.96000000000002</v>
      </c>
      <c r="AB37" s="94"/>
    </row>
    <row r="38" spans="1:28" x14ac:dyDescent="0.35">
      <c r="B38" s="59"/>
      <c r="Y38" s="63"/>
    </row>
    <row r="39" spans="1:28" ht="15" thickBot="1" x14ac:dyDescent="0.4">
      <c r="W39" s="63"/>
      <c r="X39" s="63"/>
      <c r="Y39" s="63"/>
      <c r="Z39" s="63"/>
      <c r="AA39" s="63"/>
    </row>
    <row r="40" spans="1:28" ht="18" customHeight="1" x14ac:dyDescent="0.35">
      <c r="A40" s="271"/>
      <c r="B40" s="271"/>
      <c r="C40" s="271"/>
      <c r="D40" s="271"/>
      <c r="E40" s="271"/>
      <c r="F40" s="271"/>
      <c r="S40" s="341" t="s">
        <v>190</v>
      </c>
      <c r="T40" s="342"/>
      <c r="U40" s="342"/>
      <c r="V40" s="342"/>
      <c r="W40" s="342"/>
      <c r="X40" s="342"/>
      <c r="Y40" s="342"/>
      <c r="Z40" s="342"/>
      <c r="AA40" s="343"/>
    </row>
    <row r="41" spans="1:28" ht="36.75" customHeight="1" x14ac:dyDescent="0.35">
      <c r="A41" s="255"/>
      <c r="B41" s="255"/>
      <c r="C41" s="255"/>
      <c r="D41" s="260"/>
      <c r="E41" s="260"/>
      <c r="F41" s="261"/>
      <c r="O41" s="255"/>
      <c r="P41" s="255"/>
      <c r="S41" s="7" t="s">
        <v>6</v>
      </c>
      <c r="T41" s="8" t="s">
        <v>7</v>
      </c>
      <c r="U41" s="60" t="s">
        <v>162</v>
      </c>
      <c r="V41" s="60" t="s">
        <v>3</v>
      </c>
      <c r="W41" s="60" t="s">
        <v>28</v>
      </c>
      <c r="X41" s="60" t="s">
        <v>163</v>
      </c>
      <c r="Y41" s="60" t="s">
        <v>164</v>
      </c>
      <c r="Z41" s="258" t="s">
        <v>165</v>
      </c>
      <c r="AA41" s="61" t="s">
        <v>166</v>
      </c>
    </row>
    <row r="42" spans="1:28" ht="29.25" customHeight="1" x14ac:dyDescent="0.35">
      <c r="A42" s="262"/>
      <c r="B42" s="263"/>
      <c r="C42" s="264"/>
      <c r="D42" s="264"/>
      <c r="E42" s="265"/>
      <c r="F42" s="266"/>
      <c r="O42" s="256"/>
      <c r="P42" s="256"/>
      <c r="S42" s="91" t="s">
        <v>47</v>
      </c>
      <c r="T42" s="35">
        <f>+B4</f>
        <v>1068</v>
      </c>
      <c r="U42" s="254">
        <f>+W11</f>
        <v>812.3</v>
      </c>
      <c r="V42" s="254">
        <f t="shared" ref="V42:Y42" si="39">+X11</f>
        <v>800.99999999999989</v>
      </c>
      <c r="W42" s="254">
        <f t="shared" si="39"/>
        <v>11.300000000000022</v>
      </c>
      <c r="X42" s="254">
        <f t="shared" si="39"/>
        <v>24.5</v>
      </c>
      <c r="Y42" s="254">
        <f t="shared" si="39"/>
        <v>34.300000000000026</v>
      </c>
      <c r="Z42" s="95">
        <f>+Y42/T42</f>
        <v>3.2116104868913885E-2</v>
      </c>
      <c r="AA42" s="253">
        <f>+Y42/U42</f>
        <v>4.222577865320698E-2</v>
      </c>
    </row>
    <row r="43" spans="1:28" ht="29.25" customHeight="1" x14ac:dyDescent="0.35">
      <c r="A43" s="262"/>
      <c r="B43" s="263"/>
      <c r="C43" s="263"/>
      <c r="D43" s="264"/>
      <c r="E43" s="265"/>
      <c r="F43" s="266"/>
      <c r="O43" s="256"/>
      <c r="P43" s="256"/>
      <c r="Q43" s="133"/>
      <c r="R43" s="134"/>
      <c r="S43" s="91" t="s">
        <v>48</v>
      </c>
      <c r="T43" s="35">
        <f>+B12</f>
        <v>989</v>
      </c>
      <c r="U43" s="254">
        <f>+W21</f>
        <v>987</v>
      </c>
      <c r="V43" s="254">
        <f t="shared" ref="V43:Y43" si="40">+X21</f>
        <v>958.32</v>
      </c>
      <c r="W43" s="254">
        <f t="shared" si="40"/>
        <v>28.68</v>
      </c>
      <c r="X43" s="254">
        <f t="shared" si="40"/>
        <v>45.6</v>
      </c>
      <c r="Y43" s="254">
        <f t="shared" si="40"/>
        <v>46.279999999999994</v>
      </c>
      <c r="Z43" s="95">
        <f t="shared" ref="Z43:Z45" si="41">+Y43/T43</f>
        <v>4.6794742163801813E-2</v>
      </c>
      <c r="AA43" s="253">
        <f t="shared" ref="AA43:AA45" si="42">+Y43/U43</f>
        <v>4.6889564336372841E-2</v>
      </c>
    </row>
    <row r="44" spans="1:28" ht="29.25" customHeight="1" x14ac:dyDescent="0.35">
      <c r="A44" s="262"/>
      <c r="B44" s="263"/>
      <c r="C44" s="263"/>
      <c r="D44" s="264"/>
      <c r="E44" s="265"/>
      <c r="F44" s="266"/>
      <c r="O44" s="256"/>
      <c r="P44" s="256"/>
      <c r="S44" s="91" t="s">
        <v>49</v>
      </c>
      <c r="T44" s="35">
        <f>+B22</f>
        <v>1270</v>
      </c>
      <c r="U44" s="254">
        <f>+W26</f>
        <v>448.97</v>
      </c>
      <c r="V44" s="254">
        <f t="shared" ref="V44:Y44" si="43">+X26</f>
        <v>445.77</v>
      </c>
      <c r="W44" s="254">
        <f t="shared" si="43"/>
        <v>3.2</v>
      </c>
      <c r="X44" s="254">
        <f t="shared" si="43"/>
        <v>2</v>
      </c>
      <c r="Y44" s="254">
        <f t="shared" si="43"/>
        <v>5.2</v>
      </c>
      <c r="Z44" s="95">
        <f t="shared" si="41"/>
        <v>4.0944881889763782E-3</v>
      </c>
      <c r="AA44" s="253">
        <f t="shared" si="42"/>
        <v>1.158206561685636E-2</v>
      </c>
    </row>
    <row r="45" spans="1:28" ht="29.25" customHeight="1" x14ac:dyDescent="0.35">
      <c r="A45" s="262"/>
      <c r="B45" s="263"/>
      <c r="C45" s="264"/>
      <c r="D45" s="264"/>
      <c r="E45" s="265"/>
      <c r="F45" s="266"/>
      <c r="O45" s="256"/>
      <c r="P45" s="256"/>
      <c r="S45" s="91" t="s">
        <v>50</v>
      </c>
      <c r="T45" s="35">
        <f>+B27</f>
        <v>719</v>
      </c>
      <c r="U45" s="254">
        <f>+W36</f>
        <v>735.1</v>
      </c>
      <c r="V45" s="254">
        <f t="shared" ref="V45:Y45" si="44">+X36</f>
        <v>697.22</v>
      </c>
      <c r="W45" s="254">
        <f t="shared" si="44"/>
        <v>37.88000000000001</v>
      </c>
      <c r="X45" s="254">
        <f t="shared" si="44"/>
        <v>28.3</v>
      </c>
      <c r="Y45" s="254">
        <f t="shared" si="44"/>
        <v>36.180000000000007</v>
      </c>
      <c r="Z45" s="95">
        <f t="shared" si="41"/>
        <v>5.031988873435328E-2</v>
      </c>
      <c r="AA45" s="253">
        <f t="shared" si="42"/>
        <v>4.9217793497483342E-2</v>
      </c>
    </row>
    <row r="46" spans="1:28" ht="29.25" customHeight="1" thickBot="1" x14ac:dyDescent="0.4">
      <c r="A46" s="267"/>
      <c r="B46" s="268"/>
      <c r="C46" s="268"/>
      <c r="D46" s="269"/>
      <c r="E46" s="270"/>
      <c r="F46" s="266"/>
      <c r="G46" s="259"/>
      <c r="O46" s="257"/>
      <c r="P46" s="257"/>
      <c r="S46" s="93" t="s">
        <v>51</v>
      </c>
      <c r="T46" s="96">
        <f>SUM(T42:T45)</f>
        <v>4046</v>
      </c>
      <c r="U46" s="272">
        <f>SUM(U42:U45)</f>
        <v>2983.37</v>
      </c>
      <c r="V46" s="272">
        <f t="shared" ref="V46:Y46" si="45">SUM(V42:V45)</f>
        <v>2902.3100000000004</v>
      </c>
      <c r="W46" s="272">
        <f t="shared" si="45"/>
        <v>81.060000000000031</v>
      </c>
      <c r="X46" s="272">
        <f t="shared" si="45"/>
        <v>100.39999999999999</v>
      </c>
      <c r="Y46" s="272">
        <f t="shared" si="45"/>
        <v>121.96000000000002</v>
      </c>
      <c r="Z46" s="273">
        <f>+Y46/T46</f>
        <v>3.0143351458230355E-2</v>
      </c>
      <c r="AA46" s="274">
        <f>+Y46/U46</f>
        <v>4.0879944492302339E-2</v>
      </c>
    </row>
    <row r="47" spans="1:28" x14ac:dyDescent="0.35">
      <c r="T47">
        <v>410</v>
      </c>
    </row>
    <row r="48" spans="1:28" x14ac:dyDescent="0.35">
      <c r="T48">
        <f>+T46+T47</f>
        <v>4456</v>
      </c>
    </row>
  </sheetData>
  <mergeCells count="16">
    <mergeCell ref="A27:A35"/>
    <mergeCell ref="B27:B35"/>
    <mergeCell ref="S40:AA40"/>
    <mergeCell ref="W2:AA2"/>
    <mergeCell ref="A4:A10"/>
    <mergeCell ref="B4:B10"/>
    <mergeCell ref="A12:A20"/>
    <mergeCell ref="B12:B20"/>
    <mergeCell ref="A22:A25"/>
    <mergeCell ref="B22:B25"/>
    <mergeCell ref="P2:U2"/>
    <mergeCell ref="A1:F1"/>
    <mergeCell ref="A2:G2"/>
    <mergeCell ref="H2:J2"/>
    <mergeCell ref="K2:M2"/>
    <mergeCell ref="N2:O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91CDA-D052-4EBA-96E9-9AA4D47053B1}">
  <dimension ref="A1:AB48"/>
  <sheetViews>
    <sheetView workbookViewId="0">
      <pane xSplit="7" ySplit="3" topLeftCell="P12" activePane="bottomRight" state="frozen"/>
      <selection pane="topRight" activeCell="H1" sqref="H1"/>
      <selection pane="bottomLeft" activeCell="A4" sqref="A4"/>
      <selection pane="bottomRight" activeCell="T42" sqref="T42:AA45"/>
    </sheetView>
  </sheetViews>
  <sheetFormatPr defaultRowHeight="14.5" x14ac:dyDescent="0.35"/>
  <cols>
    <col min="1" max="1" width="11" customWidth="1"/>
    <col min="2" max="2" width="7.81640625" customWidth="1"/>
    <col min="3" max="3" width="20" customWidth="1"/>
    <col min="4" max="4" width="9.1796875" customWidth="1"/>
    <col min="5" max="5" width="9.26953125" customWidth="1"/>
    <col min="6" max="6" width="10" customWidth="1"/>
    <col min="7" max="7" width="8.1796875" customWidth="1"/>
    <col min="8" max="8" width="12.54296875" customWidth="1"/>
    <col min="9" max="9" width="12.453125" customWidth="1"/>
    <col min="10" max="10" width="11" customWidth="1"/>
    <col min="11" max="11" width="9.453125" customWidth="1"/>
    <col min="12" max="12" width="11" customWidth="1"/>
    <col min="13" max="13" width="13.54296875" customWidth="1"/>
    <col min="14" max="14" width="14.81640625" customWidth="1"/>
    <col min="15" max="15" width="16" customWidth="1"/>
    <col min="16" max="16" width="11.26953125" customWidth="1"/>
    <col min="17" max="18" width="9.54296875" customWidth="1"/>
    <col min="19" max="20" width="10.81640625" customWidth="1"/>
    <col min="21" max="21" width="12.7265625" customWidth="1"/>
    <col min="22" max="22" width="10" customWidth="1"/>
    <col min="23" max="23" width="11.453125" customWidth="1"/>
    <col min="24" max="24" width="11" customWidth="1"/>
    <col min="25" max="25" width="13.453125" customWidth="1"/>
    <col min="26" max="26" width="10.26953125" customWidth="1"/>
    <col min="27" max="27" width="13.7265625" customWidth="1"/>
  </cols>
  <sheetData>
    <row r="1" spans="1:28" ht="22.5" customHeight="1" thickBot="1" x14ac:dyDescent="0.4">
      <c r="A1" s="308" t="s">
        <v>36</v>
      </c>
      <c r="B1" s="309"/>
      <c r="C1" s="309"/>
      <c r="D1" s="309"/>
      <c r="E1" s="309"/>
      <c r="F1" s="310"/>
    </row>
    <row r="2" spans="1:28" ht="22.5" customHeight="1" thickBot="1" x14ac:dyDescent="0.4">
      <c r="A2" s="311" t="s">
        <v>181</v>
      </c>
      <c r="B2" s="312"/>
      <c r="C2" s="312"/>
      <c r="D2" s="312"/>
      <c r="E2" s="312"/>
      <c r="F2" s="312"/>
      <c r="G2" s="313"/>
      <c r="H2" s="314" t="s">
        <v>22</v>
      </c>
      <c r="I2" s="315"/>
      <c r="J2" s="316"/>
      <c r="K2" s="317" t="s">
        <v>23</v>
      </c>
      <c r="L2" s="318"/>
      <c r="M2" s="319"/>
      <c r="N2" s="320" t="s">
        <v>24</v>
      </c>
      <c r="O2" s="321"/>
      <c r="P2" s="305" t="s">
        <v>25</v>
      </c>
      <c r="Q2" s="306"/>
      <c r="R2" s="306"/>
      <c r="S2" s="306"/>
      <c r="T2" s="306"/>
      <c r="U2" s="307"/>
      <c r="W2" s="325" t="s">
        <v>43</v>
      </c>
      <c r="X2" s="326"/>
      <c r="Y2" s="326"/>
      <c r="Z2" s="326"/>
      <c r="AA2" s="327"/>
    </row>
    <row r="3" spans="1:28" ht="58.5" thickBot="1" x14ac:dyDescent="0.4">
      <c r="A3" s="39" t="s">
        <v>6</v>
      </c>
      <c r="B3" s="38" t="s">
        <v>7</v>
      </c>
      <c r="C3" s="38" t="s">
        <v>0</v>
      </c>
      <c r="D3" s="37" t="s">
        <v>15</v>
      </c>
      <c r="E3" s="38" t="s">
        <v>1</v>
      </c>
      <c r="F3" s="36" t="s">
        <v>27</v>
      </c>
      <c r="G3" s="37" t="s">
        <v>19</v>
      </c>
      <c r="H3" s="25" t="s">
        <v>4</v>
      </c>
      <c r="I3" s="89" t="s">
        <v>44</v>
      </c>
      <c r="J3" s="26" t="s">
        <v>29</v>
      </c>
      <c r="K3" s="88" t="s">
        <v>3</v>
      </c>
      <c r="L3" s="1" t="s">
        <v>28</v>
      </c>
      <c r="M3" s="87" t="s">
        <v>5</v>
      </c>
      <c r="N3" s="25" t="s">
        <v>20</v>
      </c>
      <c r="O3" s="26" t="s">
        <v>21</v>
      </c>
      <c r="P3" s="24" t="s">
        <v>8</v>
      </c>
      <c r="Q3" s="86" t="s">
        <v>9</v>
      </c>
      <c r="R3" s="2" t="s">
        <v>10</v>
      </c>
      <c r="S3" s="1" t="s">
        <v>26</v>
      </c>
      <c r="T3" s="1" t="s">
        <v>11</v>
      </c>
      <c r="U3" s="1" t="s">
        <v>30</v>
      </c>
      <c r="W3" s="43" t="s">
        <v>2</v>
      </c>
      <c r="X3" s="60" t="s">
        <v>3</v>
      </c>
      <c r="Y3" s="60" t="s">
        <v>28</v>
      </c>
      <c r="Z3" s="60" t="s">
        <v>5</v>
      </c>
      <c r="AA3" s="61" t="s">
        <v>26</v>
      </c>
    </row>
    <row r="4" spans="1:28" ht="20.25" customHeight="1" x14ac:dyDescent="0.35">
      <c r="A4" s="301" t="s">
        <v>37</v>
      </c>
      <c r="B4" s="303">
        <v>1210</v>
      </c>
      <c r="C4" s="34" t="s">
        <v>55</v>
      </c>
      <c r="D4" s="4">
        <v>2</v>
      </c>
      <c r="E4" s="30" t="s">
        <v>16</v>
      </c>
      <c r="F4" s="47">
        <v>2</v>
      </c>
      <c r="G4" s="5">
        <v>0.05</v>
      </c>
      <c r="H4" s="71">
        <f>+F4*B4</f>
        <v>2420</v>
      </c>
      <c r="I4" s="67">
        <v>2430</v>
      </c>
      <c r="J4" s="22">
        <f t="shared" ref="J4:J10" si="0">I4-H4</f>
        <v>10</v>
      </c>
      <c r="K4" s="75">
        <f>1210*2</f>
        <v>2420</v>
      </c>
      <c r="L4" s="127">
        <f>+I4-K4</f>
        <v>10</v>
      </c>
      <c r="M4" s="78">
        <v>45</v>
      </c>
      <c r="N4" s="128">
        <f>+K4-M4</f>
        <v>2375</v>
      </c>
      <c r="O4" s="64">
        <f>+N4/B4</f>
        <v>1.9628099173553719</v>
      </c>
      <c r="P4" s="18">
        <f>+L4+M4</f>
        <v>55</v>
      </c>
      <c r="Q4" s="81">
        <v>0</v>
      </c>
      <c r="R4" s="3">
        <f t="shared" ref="R4:R10" si="1">+P4-Q4</f>
        <v>55</v>
      </c>
      <c r="S4" s="3">
        <f t="shared" ref="S4:S10" si="2">+R4*G4</f>
        <v>2.75</v>
      </c>
      <c r="T4" s="3">
        <f t="shared" ref="T4:T10" si="3">+R4*D4</f>
        <v>110</v>
      </c>
      <c r="U4" s="6">
        <f>+R4/I4</f>
        <v>2.2633744855967079E-2</v>
      </c>
      <c r="W4" s="102">
        <f>+I4*G4</f>
        <v>121.5</v>
      </c>
      <c r="X4" s="103">
        <f>+K4*G4</f>
        <v>121</v>
      </c>
      <c r="Y4" s="103">
        <f>+L4*G4</f>
        <v>0.5</v>
      </c>
      <c r="Z4" s="103">
        <f>+M4*G4</f>
        <v>2.25</v>
      </c>
      <c r="AA4" s="104">
        <f>+R4*G4</f>
        <v>2.75</v>
      </c>
    </row>
    <row r="5" spans="1:28" ht="20.25" customHeight="1" x14ac:dyDescent="0.35">
      <c r="A5" s="302"/>
      <c r="B5" s="304"/>
      <c r="C5" s="35" t="s">
        <v>100</v>
      </c>
      <c r="D5" s="10">
        <v>4</v>
      </c>
      <c r="E5" s="31" t="s">
        <v>16</v>
      </c>
      <c r="F5" s="48">
        <v>2</v>
      </c>
      <c r="G5" s="11">
        <v>0.05</v>
      </c>
      <c r="H5" s="70">
        <f>+F5*B4</f>
        <v>2420</v>
      </c>
      <c r="I5" s="68">
        <v>2420</v>
      </c>
      <c r="J5" s="13">
        <f t="shared" si="0"/>
        <v>0</v>
      </c>
      <c r="K5" s="76">
        <v>2420</v>
      </c>
      <c r="L5" s="9">
        <f t="shared" ref="L5:L10" si="4">+I5-K5</f>
        <v>0</v>
      </c>
      <c r="M5" s="79">
        <v>50</v>
      </c>
      <c r="N5" s="23">
        <f t="shared" ref="N5:N10" si="5">+K5-M5</f>
        <v>2370</v>
      </c>
      <c r="O5" s="65">
        <f>+N5/B4</f>
        <v>1.9586776859504131</v>
      </c>
      <c r="P5" s="19">
        <f>+L5+M5</f>
        <v>50</v>
      </c>
      <c r="Q5" s="82">
        <v>0</v>
      </c>
      <c r="R5" s="9">
        <f t="shared" si="1"/>
        <v>50</v>
      </c>
      <c r="S5" s="9">
        <f>+R5*G5</f>
        <v>2.5</v>
      </c>
      <c r="T5" s="9">
        <f t="shared" si="3"/>
        <v>200</v>
      </c>
      <c r="U5" s="12">
        <f t="shared" ref="U5:U9" si="6">+R5/I5</f>
        <v>2.0661157024793389E-2</v>
      </c>
      <c r="W5" s="102">
        <f t="shared" ref="W5:W35" si="7">+I5*G5</f>
        <v>121</v>
      </c>
      <c r="X5" s="103">
        <f t="shared" ref="X5:X35" si="8">+K5*G5</f>
        <v>121</v>
      </c>
      <c r="Y5" s="103">
        <f t="shared" ref="Y5:Y35" si="9">+L5*G5</f>
        <v>0</v>
      </c>
      <c r="Z5" s="103">
        <f t="shared" ref="Z5:Z35" si="10">+M5*G5</f>
        <v>2.5</v>
      </c>
      <c r="AA5" s="104">
        <f t="shared" ref="AA5:AA35" si="11">+R5*G5</f>
        <v>2.5</v>
      </c>
    </row>
    <row r="6" spans="1:28" ht="20.25" customHeight="1" x14ac:dyDescent="0.35">
      <c r="A6" s="302"/>
      <c r="B6" s="304"/>
      <c r="C6" s="35" t="s">
        <v>149</v>
      </c>
      <c r="D6" s="10">
        <v>40</v>
      </c>
      <c r="E6" s="31" t="s">
        <v>17</v>
      </c>
      <c r="F6" s="49">
        <v>0.15</v>
      </c>
      <c r="G6" s="11">
        <v>1</v>
      </c>
      <c r="H6" s="72">
        <f>+F6*B4</f>
        <v>181.5</v>
      </c>
      <c r="I6" s="68">
        <v>184</v>
      </c>
      <c r="J6" s="13">
        <f t="shared" si="0"/>
        <v>2.5</v>
      </c>
      <c r="K6" s="76">
        <f>1210*0.15</f>
        <v>181.5</v>
      </c>
      <c r="L6" s="9">
        <f t="shared" si="4"/>
        <v>2.5</v>
      </c>
      <c r="M6" s="79">
        <v>7.5</v>
      </c>
      <c r="N6" s="33">
        <f t="shared" si="5"/>
        <v>174</v>
      </c>
      <c r="O6" s="42">
        <f>+N6/B4</f>
        <v>0.14380165289256197</v>
      </c>
      <c r="P6" s="19">
        <f>+L6+M6</f>
        <v>10</v>
      </c>
      <c r="Q6" s="82">
        <v>0</v>
      </c>
      <c r="R6" s="9">
        <f t="shared" si="1"/>
        <v>10</v>
      </c>
      <c r="S6" s="9">
        <f t="shared" si="2"/>
        <v>10</v>
      </c>
      <c r="T6" s="9">
        <f t="shared" si="3"/>
        <v>400</v>
      </c>
      <c r="U6" s="12">
        <f t="shared" si="6"/>
        <v>5.434782608695652E-2</v>
      </c>
      <c r="W6" s="102">
        <f t="shared" si="7"/>
        <v>184</v>
      </c>
      <c r="X6" s="103">
        <f t="shared" si="8"/>
        <v>181.5</v>
      </c>
      <c r="Y6" s="103">
        <f t="shared" si="9"/>
        <v>2.5</v>
      </c>
      <c r="Z6" s="103">
        <f t="shared" si="10"/>
        <v>7.5</v>
      </c>
      <c r="AA6" s="104">
        <f t="shared" si="11"/>
        <v>10</v>
      </c>
    </row>
    <row r="7" spans="1:28" ht="20.25" customHeight="1" x14ac:dyDescent="0.35">
      <c r="A7" s="302"/>
      <c r="B7" s="304"/>
      <c r="C7" s="35" t="s">
        <v>12</v>
      </c>
      <c r="D7" s="10">
        <v>45</v>
      </c>
      <c r="E7" s="31" t="s">
        <v>17</v>
      </c>
      <c r="F7" s="49">
        <v>0.1</v>
      </c>
      <c r="G7" s="11">
        <v>1</v>
      </c>
      <c r="H7" s="72">
        <f>+F7*B4</f>
        <v>121</v>
      </c>
      <c r="I7" s="68">
        <v>122</v>
      </c>
      <c r="J7" s="13">
        <f t="shared" si="0"/>
        <v>1</v>
      </c>
      <c r="K7" s="76">
        <v>121</v>
      </c>
      <c r="L7" s="9">
        <f t="shared" si="4"/>
        <v>1</v>
      </c>
      <c r="M7" s="79">
        <v>5</v>
      </c>
      <c r="N7" s="23">
        <f t="shared" si="5"/>
        <v>116</v>
      </c>
      <c r="O7" s="42">
        <f>+N7/B4</f>
        <v>9.5867768595041328E-2</v>
      </c>
      <c r="P7" s="19">
        <f t="shared" ref="P7:P10" si="12">+L7+M7</f>
        <v>6</v>
      </c>
      <c r="Q7" s="82">
        <v>0</v>
      </c>
      <c r="R7" s="9">
        <f t="shared" si="1"/>
        <v>6</v>
      </c>
      <c r="S7" s="9">
        <f t="shared" si="2"/>
        <v>6</v>
      </c>
      <c r="T7" s="9">
        <f t="shared" si="3"/>
        <v>270</v>
      </c>
      <c r="U7" s="12">
        <f t="shared" si="6"/>
        <v>4.9180327868852458E-2</v>
      </c>
      <c r="W7" s="102">
        <f t="shared" si="7"/>
        <v>122</v>
      </c>
      <c r="X7" s="103">
        <f t="shared" si="8"/>
        <v>121</v>
      </c>
      <c r="Y7" s="103">
        <f t="shared" si="9"/>
        <v>1</v>
      </c>
      <c r="Z7" s="103">
        <f t="shared" si="10"/>
        <v>5</v>
      </c>
      <c r="AA7" s="104">
        <f t="shared" si="11"/>
        <v>6</v>
      </c>
    </row>
    <row r="8" spans="1:28" ht="20.25" customHeight="1" x14ac:dyDescent="0.35">
      <c r="A8" s="302"/>
      <c r="B8" s="304"/>
      <c r="C8" s="35" t="s">
        <v>13</v>
      </c>
      <c r="D8" s="10">
        <v>52</v>
      </c>
      <c r="E8" s="31" t="s">
        <v>17</v>
      </c>
      <c r="F8" s="49">
        <v>0.1</v>
      </c>
      <c r="G8" s="11">
        <v>1</v>
      </c>
      <c r="H8" s="72">
        <f>+F8*B4</f>
        <v>121</v>
      </c>
      <c r="I8" s="68">
        <v>123</v>
      </c>
      <c r="J8" s="13">
        <f t="shared" si="0"/>
        <v>2</v>
      </c>
      <c r="K8" s="76">
        <v>121</v>
      </c>
      <c r="L8" s="9">
        <f>+I8-K8</f>
        <v>2</v>
      </c>
      <c r="M8" s="79">
        <v>6</v>
      </c>
      <c r="N8" s="33">
        <f t="shared" si="5"/>
        <v>115</v>
      </c>
      <c r="O8" s="42">
        <f>+N8/B4</f>
        <v>9.5041322314049589E-2</v>
      </c>
      <c r="P8" s="19">
        <f t="shared" si="12"/>
        <v>8</v>
      </c>
      <c r="Q8" s="82">
        <v>0</v>
      </c>
      <c r="R8" s="9">
        <f t="shared" si="1"/>
        <v>8</v>
      </c>
      <c r="S8" s="9">
        <f t="shared" si="2"/>
        <v>8</v>
      </c>
      <c r="T8" s="9">
        <f t="shared" si="3"/>
        <v>416</v>
      </c>
      <c r="U8" s="12">
        <f t="shared" si="6"/>
        <v>6.5040650406504072E-2</v>
      </c>
      <c r="W8" s="102">
        <f t="shared" si="7"/>
        <v>123</v>
      </c>
      <c r="X8" s="103">
        <f t="shared" si="8"/>
        <v>121</v>
      </c>
      <c r="Y8" s="103">
        <f t="shared" si="9"/>
        <v>2</v>
      </c>
      <c r="Z8" s="103">
        <f t="shared" si="10"/>
        <v>6</v>
      </c>
      <c r="AA8" s="104">
        <f t="shared" si="11"/>
        <v>8</v>
      </c>
    </row>
    <row r="9" spans="1:28" ht="20.25" customHeight="1" x14ac:dyDescent="0.35">
      <c r="A9" s="302"/>
      <c r="B9" s="304"/>
      <c r="C9" s="35" t="s">
        <v>169</v>
      </c>
      <c r="D9" s="10">
        <v>90</v>
      </c>
      <c r="E9" s="31" t="s">
        <v>17</v>
      </c>
      <c r="F9" s="49">
        <v>0.1</v>
      </c>
      <c r="G9" s="11">
        <v>1</v>
      </c>
      <c r="H9" s="73">
        <f>+F9*B4</f>
        <v>121</v>
      </c>
      <c r="I9" s="68">
        <v>62</v>
      </c>
      <c r="J9" s="13">
        <f t="shared" si="0"/>
        <v>-59</v>
      </c>
      <c r="K9" s="76">
        <v>60.5</v>
      </c>
      <c r="L9" s="54">
        <f>+I9-K9</f>
        <v>1.5</v>
      </c>
      <c r="M9" s="79">
        <v>4.5</v>
      </c>
      <c r="N9" s="23">
        <f t="shared" si="5"/>
        <v>56</v>
      </c>
      <c r="O9" s="42">
        <f>+N9/B4</f>
        <v>4.6280991735537187E-2</v>
      </c>
      <c r="P9" s="19">
        <f t="shared" si="12"/>
        <v>6</v>
      </c>
      <c r="Q9" s="82">
        <v>0</v>
      </c>
      <c r="R9" s="9">
        <f t="shared" si="1"/>
        <v>6</v>
      </c>
      <c r="S9" s="9">
        <f t="shared" si="2"/>
        <v>6</v>
      </c>
      <c r="T9" s="9">
        <f t="shared" si="3"/>
        <v>540</v>
      </c>
      <c r="U9" s="12">
        <f t="shared" si="6"/>
        <v>9.6774193548387094E-2</v>
      </c>
      <c r="W9" s="102">
        <f t="shared" si="7"/>
        <v>62</v>
      </c>
      <c r="X9" s="103">
        <f t="shared" si="8"/>
        <v>60.5</v>
      </c>
      <c r="Y9" s="103">
        <f t="shared" si="9"/>
        <v>1.5</v>
      </c>
      <c r="Z9" s="103">
        <f t="shared" si="10"/>
        <v>4.5</v>
      </c>
      <c r="AA9" s="104">
        <f t="shared" si="11"/>
        <v>6</v>
      </c>
    </row>
    <row r="10" spans="1:28" ht="20.25" customHeight="1" x14ac:dyDescent="0.35">
      <c r="A10" s="302"/>
      <c r="B10" s="304"/>
      <c r="C10" s="35" t="s">
        <v>14</v>
      </c>
      <c r="D10" s="10">
        <v>60</v>
      </c>
      <c r="E10" s="31" t="s">
        <v>18</v>
      </c>
      <c r="F10" s="49">
        <v>0.1</v>
      </c>
      <c r="G10" s="11">
        <v>1</v>
      </c>
      <c r="H10" s="72">
        <f>+F10*B4</f>
        <v>121</v>
      </c>
      <c r="I10" s="68">
        <v>122</v>
      </c>
      <c r="J10" s="13">
        <f t="shared" si="0"/>
        <v>1</v>
      </c>
      <c r="K10" s="76">
        <v>121</v>
      </c>
      <c r="L10" s="9">
        <f t="shared" si="4"/>
        <v>1</v>
      </c>
      <c r="M10" s="79">
        <v>5.5</v>
      </c>
      <c r="N10" s="33">
        <f t="shared" si="5"/>
        <v>115.5</v>
      </c>
      <c r="O10" s="42">
        <f>+N10/B4</f>
        <v>9.5454545454545459E-2</v>
      </c>
      <c r="P10" s="19">
        <f t="shared" si="12"/>
        <v>6.5</v>
      </c>
      <c r="Q10" s="82">
        <v>0</v>
      </c>
      <c r="R10" s="9">
        <f t="shared" si="1"/>
        <v>6.5</v>
      </c>
      <c r="S10" s="9">
        <f t="shared" si="2"/>
        <v>6.5</v>
      </c>
      <c r="T10" s="9">
        <f t="shared" si="3"/>
        <v>390</v>
      </c>
      <c r="U10" s="12">
        <f>+R10/I10</f>
        <v>5.3278688524590161E-2</v>
      </c>
      <c r="W10" s="115">
        <f t="shared" si="7"/>
        <v>122</v>
      </c>
      <c r="X10" s="116">
        <f t="shared" si="8"/>
        <v>121</v>
      </c>
      <c r="Y10" s="116">
        <f t="shared" si="9"/>
        <v>1</v>
      </c>
      <c r="Z10" s="116">
        <f t="shared" si="10"/>
        <v>5.5</v>
      </c>
      <c r="AA10" s="117">
        <f t="shared" si="11"/>
        <v>6.5</v>
      </c>
    </row>
    <row r="11" spans="1:28" ht="20.25" customHeight="1" thickBot="1" x14ac:dyDescent="0.4">
      <c r="A11" s="27"/>
      <c r="B11" s="51"/>
      <c r="C11" s="50"/>
      <c r="D11" s="15"/>
      <c r="E11" s="15"/>
      <c r="F11" s="15"/>
      <c r="G11" s="15"/>
      <c r="H11" s="74"/>
      <c r="I11" s="69"/>
      <c r="J11" s="16"/>
      <c r="K11" s="77"/>
      <c r="L11" s="15"/>
      <c r="M11" s="80"/>
      <c r="N11" s="14"/>
      <c r="O11" s="16"/>
      <c r="P11" s="20"/>
      <c r="Q11" s="83"/>
      <c r="R11" s="15"/>
      <c r="S11" s="84">
        <f>SUM(S4:S10)</f>
        <v>41.75</v>
      </c>
      <c r="T11" s="56">
        <f>SUM(T4:T10)</f>
        <v>2326</v>
      </c>
      <c r="U11" s="16"/>
      <c r="W11" s="118">
        <f>SUM(W4:W10)</f>
        <v>855.5</v>
      </c>
      <c r="X11" s="109">
        <f t="shared" ref="X11:AA11" si="13">SUM(X4:X10)</f>
        <v>847</v>
      </c>
      <c r="Y11" s="109">
        <f t="shared" si="13"/>
        <v>8.5</v>
      </c>
      <c r="Z11" s="110">
        <f t="shared" si="13"/>
        <v>33.25</v>
      </c>
      <c r="AA11" s="114">
        <f t="shared" si="13"/>
        <v>41.75</v>
      </c>
      <c r="AB11" s="94"/>
    </row>
    <row r="12" spans="1:28" ht="20.25" customHeight="1" x14ac:dyDescent="0.35">
      <c r="A12" s="292" t="s">
        <v>38</v>
      </c>
      <c r="B12" s="295">
        <v>1231</v>
      </c>
      <c r="C12" s="34" t="s">
        <v>31</v>
      </c>
      <c r="D12" s="4">
        <v>20</v>
      </c>
      <c r="E12" s="30" t="s">
        <v>17</v>
      </c>
      <c r="F12" s="52">
        <v>0.4</v>
      </c>
      <c r="G12" s="5">
        <v>1</v>
      </c>
      <c r="H12" s="71">
        <f>+F12*B12</f>
        <v>492.40000000000003</v>
      </c>
      <c r="I12" s="67">
        <v>505</v>
      </c>
      <c r="J12" s="22">
        <f t="shared" ref="J12:J20" si="14">I12-H12</f>
        <v>12.599999999999966</v>
      </c>
      <c r="K12" s="75">
        <f>1231*0.4</f>
        <v>492.40000000000003</v>
      </c>
      <c r="L12" s="3">
        <f>+I12-K12</f>
        <v>12.599999999999966</v>
      </c>
      <c r="M12" s="78">
        <v>40</v>
      </c>
      <c r="N12" s="21">
        <f>+K12-M12</f>
        <v>452.40000000000003</v>
      </c>
      <c r="O12" s="41">
        <f>+N12/B12</f>
        <v>0.36750609260763611</v>
      </c>
      <c r="P12" s="18">
        <f>+L12+M12</f>
        <v>52.599999999999966</v>
      </c>
      <c r="Q12" s="81">
        <v>45</v>
      </c>
      <c r="R12" s="3">
        <f>+P12-Q12</f>
        <v>7.5999999999999659</v>
      </c>
      <c r="S12" s="3">
        <f>+R12*G12</f>
        <v>7.5999999999999659</v>
      </c>
      <c r="T12" s="3">
        <f t="shared" ref="T12:T20" si="15">+R12*D12</f>
        <v>151.99999999999932</v>
      </c>
      <c r="U12" s="6">
        <f>+R12/I12</f>
        <v>1.5049504950494981E-2</v>
      </c>
      <c r="W12" s="111">
        <f t="shared" si="7"/>
        <v>505</v>
      </c>
      <c r="X12" s="112">
        <f t="shared" si="8"/>
        <v>492.40000000000003</v>
      </c>
      <c r="Y12" s="112">
        <f t="shared" si="9"/>
        <v>12.599999999999966</v>
      </c>
      <c r="Z12" s="112">
        <f t="shared" si="10"/>
        <v>40</v>
      </c>
      <c r="AA12" s="113">
        <f t="shared" si="11"/>
        <v>7.5999999999999659</v>
      </c>
    </row>
    <row r="13" spans="1:28" ht="20.25" customHeight="1" x14ac:dyDescent="0.35">
      <c r="A13" s="293"/>
      <c r="B13" s="296"/>
      <c r="C13" s="35" t="s">
        <v>182</v>
      </c>
      <c r="D13" s="10">
        <v>65</v>
      </c>
      <c r="E13" s="31" t="s">
        <v>17</v>
      </c>
      <c r="F13" s="49">
        <v>0.08</v>
      </c>
      <c r="G13" s="11">
        <v>1</v>
      </c>
      <c r="H13" s="70">
        <f>+F13*B12</f>
        <v>98.48</v>
      </c>
      <c r="I13" s="68">
        <v>127</v>
      </c>
      <c r="J13" s="13">
        <f t="shared" si="14"/>
        <v>28.519999999999996</v>
      </c>
      <c r="K13" s="76">
        <v>123.1</v>
      </c>
      <c r="L13" s="9">
        <f t="shared" ref="L13:L20" si="16">+I13-K13</f>
        <v>3.9000000000000057</v>
      </c>
      <c r="M13" s="79">
        <v>6</v>
      </c>
      <c r="N13" s="23">
        <f>+K13-M13</f>
        <v>117.1</v>
      </c>
      <c r="O13" s="42">
        <f>+N13/B12</f>
        <v>9.51259138911454E-2</v>
      </c>
      <c r="P13" s="19">
        <f>+L13+M13</f>
        <v>9.9000000000000057</v>
      </c>
      <c r="Q13" s="82">
        <v>0</v>
      </c>
      <c r="R13" s="9">
        <f t="shared" ref="R13:R20" si="17">+P13-Q13</f>
        <v>9.9000000000000057</v>
      </c>
      <c r="S13" s="9">
        <f>+R13*G13</f>
        <v>9.9000000000000057</v>
      </c>
      <c r="T13" s="9">
        <f t="shared" si="15"/>
        <v>643.50000000000034</v>
      </c>
      <c r="U13" s="12">
        <f t="shared" ref="U13:U20" si="18">+R13/I13</f>
        <v>7.7952755905511859E-2</v>
      </c>
      <c r="W13" s="102">
        <f t="shared" si="7"/>
        <v>127</v>
      </c>
      <c r="X13" s="103">
        <f t="shared" si="8"/>
        <v>123.1</v>
      </c>
      <c r="Y13" s="103">
        <f t="shared" si="9"/>
        <v>3.9000000000000057</v>
      </c>
      <c r="Z13" s="103">
        <f>+M13*G13</f>
        <v>6</v>
      </c>
      <c r="AA13" s="104">
        <f t="shared" si="11"/>
        <v>9.9000000000000057</v>
      </c>
    </row>
    <row r="14" spans="1:28" ht="20.25" customHeight="1" x14ac:dyDescent="0.35">
      <c r="A14" s="293"/>
      <c r="B14" s="296"/>
      <c r="C14" s="35" t="s">
        <v>107</v>
      </c>
      <c r="D14" s="10">
        <v>130</v>
      </c>
      <c r="E14" s="31" t="s">
        <v>17</v>
      </c>
      <c r="F14" s="49">
        <v>0.08</v>
      </c>
      <c r="G14" s="11">
        <v>1</v>
      </c>
      <c r="H14" s="72">
        <f>+F14*B12</f>
        <v>98.48</v>
      </c>
      <c r="I14" s="68">
        <v>105</v>
      </c>
      <c r="J14" s="13">
        <f t="shared" si="14"/>
        <v>6.519999999999996</v>
      </c>
      <c r="K14" s="76">
        <v>98.5</v>
      </c>
      <c r="L14" s="9">
        <f t="shared" si="16"/>
        <v>6.5</v>
      </c>
      <c r="M14" s="79">
        <v>5.5</v>
      </c>
      <c r="N14" s="33">
        <f>+K14-M14</f>
        <v>93</v>
      </c>
      <c r="O14" s="42">
        <f>+N14/B12</f>
        <v>7.5548334687246144E-2</v>
      </c>
      <c r="P14" s="19">
        <f>+L14+M14</f>
        <v>12</v>
      </c>
      <c r="Q14" s="82">
        <v>0</v>
      </c>
      <c r="R14" s="9">
        <f t="shared" si="17"/>
        <v>12</v>
      </c>
      <c r="S14" s="9">
        <f t="shared" ref="S14:S20" si="19">+R14*G14</f>
        <v>12</v>
      </c>
      <c r="T14" s="9">
        <f t="shared" si="15"/>
        <v>1560</v>
      </c>
      <c r="U14" s="12">
        <f t="shared" si="18"/>
        <v>0.11428571428571428</v>
      </c>
      <c r="W14" s="102">
        <f t="shared" si="7"/>
        <v>105</v>
      </c>
      <c r="X14" s="103">
        <f t="shared" si="8"/>
        <v>98.5</v>
      </c>
      <c r="Y14" s="103">
        <f t="shared" si="9"/>
        <v>6.5</v>
      </c>
      <c r="Z14" s="103">
        <f>+M14*G14</f>
        <v>5.5</v>
      </c>
      <c r="AA14" s="104">
        <f t="shared" si="11"/>
        <v>12</v>
      </c>
    </row>
    <row r="15" spans="1:28" ht="20.25" customHeight="1" x14ac:dyDescent="0.35">
      <c r="A15" s="293"/>
      <c r="B15" s="296"/>
      <c r="C15" s="35" t="s">
        <v>171</v>
      </c>
      <c r="D15" s="10">
        <v>55</v>
      </c>
      <c r="E15" s="31" t="s">
        <v>17</v>
      </c>
      <c r="F15" s="49">
        <v>0.08</v>
      </c>
      <c r="G15" s="11">
        <v>1</v>
      </c>
      <c r="H15" s="72">
        <f>+F15*B12</f>
        <v>98.48</v>
      </c>
      <c r="I15" s="68">
        <v>123</v>
      </c>
      <c r="J15" s="13">
        <f t="shared" si="14"/>
        <v>24.519999999999996</v>
      </c>
      <c r="K15" s="76">
        <v>123.1</v>
      </c>
      <c r="L15" s="9">
        <f t="shared" si="16"/>
        <v>-9.9999999999994316E-2</v>
      </c>
      <c r="M15" s="79">
        <v>3.5</v>
      </c>
      <c r="N15" s="23">
        <f t="shared" ref="N15:N20" si="20">+K15-M15</f>
        <v>119.6</v>
      </c>
      <c r="O15" s="42">
        <f>+N15/B12</f>
        <v>9.7156783103168151E-2</v>
      </c>
      <c r="P15" s="19">
        <f t="shared" ref="P15:P20" si="21">+L15+M15</f>
        <v>3.4000000000000057</v>
      </c>
      <c r="Q15" s="82">
        <v>0</v>
      </c>
      <c r="R15" s="9">
        <f t="shared" si="17"/>
        <v>3.4000000000000057</v>
      </c>
      <c r="S15" s="9">
        <f t="shared" si="19"/>
        <v>3.4000000000000057</v>
      </c>
      <c r="T15" s="9">
        <f t="shared" si="15"/>
        <v>187.00000000000031</v>
      </c>
      <c r="U15" s="12">
        <f t="shared" si="18"/>
        <v>2.7642276422764275E-2</v>
      </c>
      <c r="W15" s="102">
        <f t="shared" si="7"/>
        <v>123</v>
      </c>
      <c r="X15" s="103">
        <f t="shared" si="8"/>
        <v>123.1</v>
      </c>
      <c r="Y15" s="103">
        <f t="shared" si="9"/>
        <v>-9.9999999999994316E-2</v>
      </c>
      <c r="Z15" s="103">
        <f t="shared" si="10"/>
        <v>3.5</v>
      </c>
      <c r="AA15" s="104">
        <f t="shared" si="11"/>
        <v>3.4000000000000057</v>
      </c>
    </row>
    <row r="16" spans="1:28" ht="20.25" customHeight="1" x14ac:dyDescent="0.35">
      <c r="A16" s="293"/>
      <c r="B16" s="296"/>
      <c r="C16" s="35" t="s">
        <v>32</v>
      </c>
      <c r="D16" s="10">
        <v>48</v>
      </c>
      <c r="E16" s="31" t="s">
        <v>18</v>
      </c>
      <c r="F16" s="49">
        <v>0.06</v>
      </c>
      <c r="G16" s="11">
        <v>1</v>
      </c>
      <c r="H16" s="72">
        <f>+F16*B12</f>
        <v>73.86</v>
      </c>
      <c r="I16" s="68">
        <v>100</v>
      </c>
      <c r="J16" s="13">
        <f t="shared" si="14"/>
        <v>26.14</v>
      </c>
      <c r="K16" s="76">
        <v>99</v>
      </c>
      <c r="L16" s="9">
        <f t="shared" si="16"/>
        <v>1</v>
      </c>
      <c r="M16" s="79">
        <v>4</v>
      </c>
      <c r="N16" s="33">
        <f t="shared" si="20"/>
        <v>95</v>
      </c>
      <c r="O16" s="42">
        <f>+N16/B12</f>
        <v>7.7173030056864336E-2</v>
      </c>
      <c r="P16" s="19">
        <f t="shared" si="21"/>
        <v>5</v>
      </c>
      <c r="Q16" s="82">
        <v>0</v>
      </c>
      <c r="R16" s="9">
        <f t="shared" si="17"/>
        <v>5</v>
      </c>
      <c r="S16" s="9">
        <f t="shared" si="19"/>
        <v>5</v>
      </c>
      <c r="T16" s="9">
        <f t="shared" si="15"/>
        <v>240</v>
      </c>
      <c r="U16" s="12">
        <f t="shared" si="18"/>
        <v>0.05</v>
      </c>
      <c r="W16" s="102">
        <f t="shared" si="7"/>
        <v>100</v>
      </c>
      <c r="X16" s="103">
        <f t="shared" si="8"/>
        <v>99</v>
      </c>
      <c r="Y16" s="103">
        <f t="shared" si="9"/>
        <v>1</v>
      </c>
      <c r="Z16" s="103">
        <f t="shared" si="10"/>
        <v>4</v>
      </c>
      <c r="AA16" s="104">
        <f t="shared" si="11"/>
        <v>5</v>
      </c>
    </row>
    <row r="17" spans="1:28" ht="20.25" customHeight="1" x14ac:dyDescent="0.35">
      <c r="A17" s="293"/>
      <c r="B17" s="296"/>
      <c r="C17" s="35" t="s">
        <v>155</v>
      </c>
      <c r="D17" s="10">
        <v>35</v>
      </c>
      <c r="E17" s="31" t="s">
        <v>18</v>
      </c>
      <c r="F17" s="49">
        <v>0.06</v>
      </c>
      <c r="G17" s="11">
        <v>1</v>
      </c>
      <c r="H17" s="73">
        <f>+F17*B12</f>
        <v>73.86</v>
      </c>
      <c r="I17" s="68">
        <v>102</v>
      </c>
      <c r="J17" s="66">
        <f t="shared" si="14"/>
        <v>28.14</v>
      </c>
      <c r="K17" s="76">
        <v>99</v>
      </c>
      <c r="L17" s="9">
        <f t="shared" si="16"/>
        <v>3</v>
      </c>
      <c r="M17" s="79">
        <v>5</v>
      </c>
      <c r="N17" s="23">
        <f t="shared" si="20"/>
        <v>94</v>
      </c>
      <c r="O17" s="42">
        <f>+N17/B12</f>
        <v>7.6360682372055233E-2</v>
      </c>
      <c r="P17" s="19">
        <f t="shared" si="21"/>
        <v>8</v>
      </c>
      <c r="Q17" s="82">
        <v>0</v>
      </c>
      <c r="R17" s="9">
        <f t="shared" si="17"/>
        <v>8</v>
      </c>
      <c r="S17" s="9">
        <f t="shared" si="19"/>
        <v>8</v>
      </c>
      <c r="T17" s="9">
        <f t="shared" si="15"/>
        <v>280</v>
      </c>
      <c r="U17" s="12">
        <f t="shared" si="18"/>
        <v>7.8431372549019607E-2</v>
      </c>
      <c r="W17" s="102">
        <f t="shared" si="7"/>
        <v>102</v>
      </c>
      <c r="X17" s="103">
        <f t="shared" si="8"/>
        <v>99</v>
      </c>
      <c r="Y17" s="103">
        <f t="shared" si="9"/>
        <v>3</v>
      </c>
      <c r="Z17" s="103">
        <f t="shared" si="10"/>
        <v>5</v>
      </c>
      <c r="AA17" s="104">
        <f t="shared" si="11"/>
        <v>8</v>
      </c>
    </row>
    <row r="18" spans="1:28" ht="20.25" customHeight="1" x14ac:dyDescent="0.35">
      <c r="A18" s="293"/>
      <c r="B18" s="296"/>
      <c r="C18" s="35" t="s">
        <v>33</v>
      </c>
      <c r="D18" s="10">
        <v>50</v>
      </c>
      <c r="E18" s="31" t="s">
        <v>17</v>
      </c>
      <c r="F18" s="49">
        <v>0.03</v>
      </c>
      <c r="G18" s="11">
        <v>1</v>
      </c>
      <c r="H18" s="72">
        <f>+F18*B12</f>
        <v>36.93</v>
      </c>
      <c r="I18" s="68">
        <v>37</v>
      </c>
      <c r="J18" s="13">
        <f t="shared" si="14"/>
        <v>7.0000000000000284E-2</v>
      </c>
      <c r="K18" s="76">
        <v>36.9</v>
      </c>
      <c r="L18" s="9">
        <f t="shared" si="16"/>
        <v>0.10000000000000142</v>
      </c>
      <c r="M18" s="79">
        <v>2.5</v>
      </c>
      <c r="N18" s="23">
        <f t="shared" si="20"/>
        <v>34.4</v>
      </c>
      <c r="O18" s="42">
        <f>+N18/B12</f>
        <v>2.7944760357432982E-2</v>
      </c>
      <c r="P18" s="19">
        <f t="shared" si="21"/>
        <v>2.6000000000000014</v>
      </c>
      <c r="Q18" s="82">
        <v>0</v>
      </c>
      <c r="R18" s="9">
        <f t="shared" si="17"/>
        <v>2.6000000000000014</v>
      </c>
      <c r="S18" s="9">
        <f t="shared" si="19"/>
        <v>2.6000000000000014</v>
      </c>
      <c r="T18" s="9">
        <f t="shared" si="15"/>
        <v>130.00000000000006</v>
      </c>
      <c r="U18" s="12">
        <f t="shared" si="18"/>
        <v>7.0270270270270302E-2</v>
      </c>
      <c r="W18" s="102">
        <f t="shared" si="7"/>
        <v>37</v>
      </c>
      <c r="X18" s="103">
        <f t="shared" si="8"/>
        <v>36.9</v>
      </c>
      <c r="Y18" s="103">
        <f t="shared" si="9"/>
        <v>0.10000000000000142</v>
      </c>
      <c r="Z18" s="103">
        <f t="shared" si="10"/>
        <v>2.5</v>
      </c>
      <c r="AA18" s="104">
        <f t="shared" si="11"/>
        <v>2.6000000000000014</v>
      </c>
    </row>
    <row r="19" spans="1:28" ht="20.25" customHeight="1" x14ac:dyDescent="0.35">
      <c r="A19" s="293"/>
      <c r="B19" s="296"/>
      <c r="C19" s="35" t="s">
        <v>34</v>
      </c>
      <c r="D19" s="31">
        <v>70</v>
      </c>
      <c r="E19" s="31" t="s">
        <v>17</v>
      </c>
      <c r="F19" s="11">
        <v>0.1</v>
      </c>
      <c r="G19" s="11">
        <v>1</v>
      </c>
      <c r="H19" s="72">
        <f>+F19*B12</f>
        <v>123.10000000000001</v>
      </c>
      <c r="I19" s="68">
        <v>123</v>
      </c>
      <c r="J19" s="13">
        <f t="shared" si="14"/>
        <v>-0.10000000000000853</v>
      </c>
      <c r="K19" s="76">
        <v>123.1</v>
      </c>
      <c r="L19" s="9">
        <f t="shared" si="16"/>
        <v>-9.9999999999994316E-2</v>
      </c>
      <c r="M19" s="79">
        <v>0</v>
      </c>
      <c r="N19" s="23">
        <f t="shared" si="20"/>
        <v>123.1</v>
      </c>
      <c r="O19" s="42">
        <f>+N19/B12</f>
        <v>9.9999999999999992E-2</v>
      </c>
      <c r="P19" s="19">
        <f t="shared" si="21"/>
        <v>-9.9999999999994316E-2</v>
      </c>
      <c r="Q19" s="82">
        <v>0</v>
      </c>
      <c r="R19" s="9">
        <f t="shared" si="17"/>
        <v>-9.9999999999994316E-2</v>
      </c>
      <c r="S19" s="9">
        <f t="shared" si="19"/>
        <v>-9.9999999999994316E-2</v>
      </c>
      <c r="T19" s="9">
        <f t="shared" si="15"/>
        <v>-6.9999999999996021</v>
      </c>
      <c r="U19" s="12">
        <f t="shared" si="18"/>
        <v>-8.1300813008125463E-4</v>
      </c>
      <c r="W19" s="102">
        <f t="shared" si="7"/>
        <v>123</v>
      </c>
      <c r="X19" s="103">
        <f t="shared" si="8"/>
        <v>123.1</v>
      </c>
      <c r="Y19" s="103">
        <f t="shared" si="9"/>
        <v>-9.9999999999994316E-2</v>
      </c>
      <c r="Z19" s="103">
        <f t="shared" si="10"/>
        <v>0</v>
      </c>
      <c r="AA19" s="104">
        <f t="shared" si="11"/>
        <v>-9.9999999999994316E-2</v>
      </c>
    </row>
    <row r="20" spans="1:28" ht="20.25" customHeight="1" x14ac:dyDescent="0.35">
      <c r="A20" s="294"/>
      <c r="B20" s="297"/>
      <c r="C20" s="40" t="s">
        <v>35</v>
      </c>
      <c r="D20" s="44">
        <v>2</v>
      </c>
      <c r="E20" s="44" t="s">
        <v>16</v>
      </c>
      <c r="F20" s="53">
        <v>2</v>
      </c>
      <c r="G20" s="45">
        <v>0.04</v>
      </c>
      <c r="H20" s="72">
        <f>+F20*B12</f>
        <v>2462</v>
      </c>
      <c r="I20" s="68">
        <v>2470</v>
      </c>
      <c r="J20" s="13">
        <f t="shared" si="14"/>
        <v>8</v>
      </c>
      <c r="K20" s="76">
        <f>1231*2</f>
        <v>2462</v>
      </c>
      <c r="L20" s="9">
        <f t="shared" si="16"/>
        <v>8</v>
      </c>
      <c r="M20" s="79">
        <v>40</v>
      </c>
      <c r="N20" s="33">
        <f t="shared" si="20"/>
        <v>2422</v>
      </c>
      <c r="O20" s="42">
        <f>+N20/B12</f>
        <v>1.967506092607636</v>
      </c>
      <c r="P20" s="19">
        <f t="shared" si="21"/>
        <v>48</v>
      </c>
      <c r="Q20" s="82">
        <v>0</v>
      </c>
      <c r="R20" s="9">
        <f t="shared" si="17"/>
        <v>48</v>
      </c>
      <c r="S20" s="9">
        <f t="shared" si="19"/>
        <v>1.92</v>
      </c>
      <c r="T20" s="9">
        <f t="shared" si="15"/>
        <v>96</v>
      </c>
      <c r="U20" s="12">
        <f t="shared" si="18"/>
        <v>1.9433198380566803E-2</v>
      </c>
      <c r="W20" s="115">
        <f t="shared" si="7"/>
        <v>98.8</v>
      </c>
      <c r="X20" s="116">
        <f t="shared" si="8"/>
        <v>98.48</v>
      </c>
      <c r="Y20" s="116">
        <f t="shared" si="9"/>
        <v>0.32</v>
      </c>
      <c r="Z20" s="116">
        <f t="shared" si="10"/>
        <v>1.6</v>
      </c>
      <c r="AA20" s="117">
        <f t="shared" si="11"/>
        <v>1.92</v>
      </c>
    </row>
    <row r="21" spans="1:28" ht="20.25" customHeight="1" thickBot="1" x14ac:dyDescent="0.4">
      <c r="A21" s="27"/>
      <c r="B21" s="28"/>
      <c r="C21" s="29"/>
      <c r="D21" s="15"/>
      <c r="E21" s="15"/>
      <c r="F21" s="15"/>
      <c r="G21" s="15"/>
      <c r="H21" s="74"/>
      <c r="I21" s="69"/>
      <c r="J21" s="16"/>
      <c r="K21" s="77"/>
      <c r="L21" s="15"/>
      <c r="M21" s="80"/>
      <c r="N21" s="14"/>
      <c r="O21" s="16"/>
      <c r="P21" s="20"/>
      <c r="Q21" s="83"/>
      <c r="R21" s="15"/>
      <c r="S21" s="56">
        <f>SUM(S12:S20)</f>
        <v>50.319999999999986</v>
      </c>
      <c r="T21" s="56">
        <f>SUM(T12:T20)</f>
        <v>3281.5000000000005</v>
      </c>
      <c r="U21" s="16"/>
      <c r="W21" s="118">
        <f>SUM(W12:W20)</f>
        <v>1320.8</v>
      </c>
      <c r="X21" s="110">
        <f t="shared" ref="X21:AA21" si="22">SUM(X12:X20)</f>
        <v>1293.58</v>
      </c>
      <c r="Y21" s="114">
        <f t="shared" si="22"/>
        <v>27.219999999999985</v>
      </c>
      <c r="Z21" s="109">
        <f t="shared" si="22"/>
        <v>68.099999999999994</v>
      </c>
      <c r="AA21" s="109">
        <f t="shared" si="22"/>
        <v>50.319999999999986</v>
      </c>
      <c r="AB21" s="94"/>
    </row>
    <row r="22" spans="1:28" ht="20.25" customHeight="1" x14ac:dyDescent="0.35">
      <c r="A22" s="292" t="s">
        <v>39</v>
      </c>
      <c r="B22" s="295">
        <v>1545</v>
      </c>
      <c r="C22" s="34" t="s">
        <v>183</v>
      </c>
      <c r="D22" s="4">
        <v>2.5</v>
      </c>
      <c r="E22" s="4" t="s">
        <v>58</v>
      </c>
      <c r="F22" s="135">
        <v>4</v>
      </c>
      <c r="G22" s="5">
        <v>0.05</v>
      </c>
      <c r="H22" s="71">
        <f>+F22*B22</f>
        <v>6180</v>
      </c>
      <c r="I22" s="67">
        <v>6180</v>
      </c>
      <c r="J22" s="22">
        <f>I22-H22</f>
        <v>0</v>
      </c>
      <c r="K22" s="75">
        <f>1545*4</f>
        <v>6180</v>
      </c>
      <c r="L22" s="3">
        <f>+I22-K22</f>
        <v>0</v>
      </c>
      <c r="M22" s="78"/>
      <c r="N22" s="21">
        <f>+K22-M22</f>
        <v>6180</v>
      </c>
      <c r="O22" s="41">
        <f>+N22/B22</f>
        <v>4</v>
      </c>
      <c r="P22" s="18">
        <f>+L22+M22</f>
        <v>0</v>
      </c>
      <c r="Q22" s="81">
        <v>0</v>
      </c>
      <c r="R22" s="3">
        <f>+P22-Q22</f>
        <v>0</v>
      </c>
      <c r="S22" s="3">
        <f>+R22*G22</f>
        <v>0</v>
      </c>
      <c r="T22" s="3">
        <f>+R22*D22</f>
        <v>0</v>
      </c>
      <c r="U22" s="6">
        <f>+R22/I22</f>
        <v>0</v>
      </c>
      <c r="W22" s="111">
        <f t="shared" si="7"/>
        <v>309</v>
      </c>
      <c r="X22" s="112">
        <f t="shared" si="8"/>
        <v>309</v>
      </c>
      <c r="Y22" s="112">
        <f t="shared" si="9"/>
        <v>0</v>
      </c>
      <c r="Z22" s="112">
        <f>+M22*G22</f>
        <v>0</v>
      </c>
      <c r="AA22" s="113">
        <f t="shared" si="11"/>
        <v>0</v>
      </c>
    </row>
    <row r="23" spans="1:28" ht="20.25" customHeight="1" x14ac:dyDescent="0.35">
      <c r="A23" s="293"/>
      <c r="B23" s="296"/>
      <c r="C23" s="35" t="s">
        <v>185</v>
      </c>
      <c r="D23" s="10">
        <v>45</v>
      </c>
      <c r="E23" s="10" t="s">
        <v>186</v>
      </c>
      <c r="F23" s="49">
        <v>0.1</v>
      </c>
      <c r="G23" s="11">
        <v>0.01</v>
      </c>
      <c r="H23" s="70">
        <f>+F23*B22</f>
        <v>154.5</v>
      </c>
      <c r="I23" s="68">
        <v>158</v>
      </c>
      <c r="J23" s="13">
        <f>I23-H23</f>
        <v>3.5</v>
      </c>
      <c r="K23" s="76">
        <v>154.5</v>
      </c>
      <c r="L23" s="9">
        <f t="shared" ref="L23:L25" si="23">+I23-K23</f>
        <v>3.5</v>
      </c>
      <c r="M23" s="79"/>
      <c r="N23" s="23">
        <f>+K23-M23</f>
        <v>154.5</v>
      </c>
      <c r="O23" s="42">
        <f>+N23/B22</f>
        <v>0.1</v>
      </c>
      <c r="P23" s="19">
        <f>+L23+M23</f>
        <v>3.5</v>
      </c>
      <c r="Q23" s="82">
        <v>0</v>
      </c>
      <c r="R23" s="9">
        <f t="shared" ref="R23:R25" si="24">+P23-Q23</f>
        <v>3.5</v>
      </c>
      <c r="S23" s="9">
        <f>+R23*G23</f>
        <v>3.5000000000000003E-2</v>
      </c>
      <c r="T23" s="9">
        <f>+R23*D23</f>
        <v>157.5</v>
      </c>
      <c r="U23" s="12">
        <f t="shared" ref="U23:U25" si="25">+R23/I23</f>
        <v>2.2151898734177215E-2</v>
      </c>
      <c r="W23" s="102">
        <f t="shared" si="7"/>
        <v>1.58</v>
      </c>
      <c r="X23" s="103">
        <f t="shared" si="8"/>
        <v>1.5449999999999999</v>
      </c>
      <c r="Y23" s="103">
        <f t="shared" si="9"/>
        <v>3.5000000000000003E-2</v>
      </c>
      <c r="Z23" s="103">
        <f>+M23*G23</f>
        <v>0</v>
      </c>
      <c r="AA23" s="104">
        <f t="shared" si="11"/>
        <v>3.5000000000000003E-2</v>
      </c>
    </row>
    <row r="24" spans="1:28" ht="20.25" customHeight="1" x14ac:dyDescent="0.35">
      <c r="A24" s="293"/>
      <c r="B24" s="296"/>
      <c r="C24" s="35" t="s">
        <v>184</v>
      </c>
      <c r="D24" s="10">
        <v>6</v>
      </c>
      <c r="E24" s="10" t="s">
        <v>16</v>
      </c>
      <c r="F24" s="126">
        <v>1</v>
      </c>
      <c r="G24" s="11">
        <v>0.05</v>
      </c>
      <c r="H24" s="72">
        <f>+F24*B22</f>
        <v>1545</v>
      </c>
      <c r="I24" s="68">
        <v>1465</v>
      </c>
      <c r="J24" s="13">
        <f>I24-H24</f>
        <v>-80</v>
      </c>
      <c r="K24" s="76">
        <f>1545-80</f>
        <v>1465</v>
      </c>
      <c r="L24" s="9">
        <f t="shared" si="23"/>
        <v>0</v>
      </c>
      <c r="M24" s="79"/>
      <c r="N24" s="33">
        <f t="shared" ref="N24:N25" si="26">+K24-M24</f>
        <v>1465</v>
      </c>
      <c r="O24" s="42">
        <f>+N24/B22</f>
        <v>0.94822006472491904</v>
      </c>
      <c r="P24" s="19">
        <f>+L24+M24</f>
        <v>0</v>
      </c>
      <c r="Q24" s="82">
        <v>0</v>
      </c>
      <c r="R24" s="9">
        <f t="shared" si="24"/>
        <v>0</v>
      </c>
      <c r="S24" s="9">
        <f>+R24*G24</f>
        <v>0</v>
      </c>
      <c r="T24" s="9">
        <f>+R24*D24</f>
        <v>0</v>
      </c>
      <c r="U24" s="12">
        <f t="shared" si="25"/>
        <v>0</v>
      </c>
      <c r="W24" s="102">
        <f t="shared" si="7"/>
        <v>73.25</v>
      </c>
      <c r="X24" s="103">
        <f t="shared" si="8"/>
        <v>73.25</v>
      </c>
      <c r="Y24" s="103">
        <f t="shared" si="9"/>
        <v>0</v>
      </c>
      <c r="Z24" s="103">
        <f t="shared" si="10"/>
        <v>0</v>
      </c>
      <c r="AA24" s="104">
        <f t="shared" si="11"/>
        <v>0</v>
      </c>
    </row>
    <row r="25" spans="1:28" ht="20.25" customHeight="1" x14ac:dyDescent="0.35">
      <c r="A25" s="293"/>
      <c r="B25" s="296"/>
      <c r="C25" s="35" t="s">
        <v>14</v>
      </c>
      <c r="D25" s="10">
        <v>60</v>
      </c>
      <c r="E25" s="10" t="s">
        <v>18</v>
      </c>
      <c r="F25" s="49">
        <v>0.1</v>
      </c>
      <c r="G25" s="11">
        <v>1</v>
      </c>
      <c r="H25" s="72">
        <f>+F25*B22</f>
        <v>154.5</v>
      </c>
      <c r="I25" s="68">
        <v>158</v>
      </c>
      <c r="J25" s="13">
        <f>I25-H25</f>
        <v>3.5</v>
      </c>
      <c r="K25" s="76">
        <v>154.5</v>
      </c>
      <c r="L25" s="9">
        <f t="shared" si="23"/>
        <v>3.5</v>
      </c>
      <c r="M25" s="79"/>
      <c r="N25" s="23">
        <f t="shared" si="26"/>
        <v>154.5</v>
      </c>
      <c r="O25" s="42">
        <f>+N25/B22</f>
        <v>0.1</v>
      </c>
      <c r="P25" s="19">
        <f t="shared" ref="P25" si="27">+L25+M25</f>
        <v>3.5</v>
      </c>
      <c r="Q25" s="82">
        <v>0</v>
      </c>
      <c r="R25" s="9">
        <f t="shared" si="24"/>
        <v>3.5</v>
      </c>
      <c r="S25" s="9">
        <f>+R25*G25</f>
        <v>3.5</v>
      </c>
      <c r="T25" s="9">
        <f>+R25*D25</f>
        <v>210</v>
      </c>
      <c r="U25" s="12">
        <f t="shared" si="25"/>
        <v>2.2151898734177215E-2</v>
      </c>
      <c r="W25" s="105">
        <f t="shared" si="7"/>
        <v>158</v>
      </c>
      <c r="X25" s="106">
        <f t="shared" si="8"/>
        <v>154.5</v>
      </c>
      <c r="Y25" s="106">
        <f t="shared" si="9"/>
        <v>3.5</v>
      </c>
      <c r="Z25" s="106">
        <f t="shared" si="10"/>
        <v>0</v>
      </c>
      <c r="AA25" s="107">
        <f t="shared" si="11"/>
        <v>3.5</v>
      </c>
    </row>
    <row r="26" spans="1:28" ht="21.75" customHeight="1" thickBot="1" x14ac:dyDescent="0.4">
      <c r="A26" s="27"/>
      <c r="B26" s="55"/>
      <c r="C26" s="29"/>
      <c r="D26" s="15"/>
      <c r="E26" s="15"/>
      <c r="F26" s="15"/>
      <c r="G26" s="15"/>
      <c r="H26" s="74"/>
      <c r="I26" s="69"/>
      <c r="J26" s="16"/>
      <c r="K26" s="77"/>
      <c r="L26" s="15"/>
      <c r="M26" s="80"/>
      <c r="N26" s="14"/>
      <c r="O26" s="16"/>
      <c r="P26" s="20"/>
      <c r="Q26" s="83"/>
      <c r="R26" s="15"/>
      <c r="S26" s="56">
        <f>SUM(S22:S25)</f>
        <v>3.5350000000000001</v>
      </c>
      <c r="T26" s="56">
        <f>SUM(T22:T25)</f>
        <v>367.5</v>
      </c>
      <c r="U26" s="16"/>
      <c r="W26" s="123">
        <f>SUM(W22:W25)</f>
        <v>541.82999999999993</v>
      </c>
      <c r="X26" s="124">
        <f t="shared" ref="X26:AA26" si="28">SUM(X22:X25)</f>
        <v>538.29500000000007</v>
      </c>
      <c r="Y26" s="124">
        <f t="shared" si="28"/>
        <v>3.5350000000000001</v>
      </c>
      <c r="Z26" s="124">
        <f t="shared" si="28"/>
        <v>0</v>
      </c>
      <c r="AA26" s="125">
        <f t="shared" si="28"/>
        <v>3.5350000000000001</v>
      </c>
    </row>
    <row r="27" spans="1:28" ht="20.25" customHeight="1" x14ac:dyDescent="0.35">
      <c r="A27" s="292" t="s">
        <v>40</v>
      </c>
      <c r="B27" s="295">
        <v>939</v>
      </c>
      <c r="C27" s="34" t="s">
        <v>31</v>
      </c>
      <c r="D27" s="4">
        <v>20</v>
      </c>
      <c r="E27" s="30" t="s">
        <v>17</v>
      </c>
      <c r="F27" s="52">
        <v>0.35</v>
      </c>
      <c r="G27" s="5">
        <v>1</v>
      </c>
      <c r="H27" s="71">
        <f>+F27*B27</f>
        <v>328.65</v>
      </c>
      <c r="I27" s="67">
        <v>338</v>
      </c>
      <c r="J27" s="22">
        <f t="shared" ref="J27:J35" si="29">I27-H27</f>
        <v>9.3500000000000227</v>
      </c>
      <c r="K27" s="75">
        <v>328.7</v>
      </c>
      <c r="L27" s="3">
        <f>+I27-K27</f>
        <v>9.3000000000000114</v>
      </c>
      <c r="M27" s="78">
        <v>20</v>
      </c>
      <c r="N27" s="21">
        <f>+K27-M27</f>
        <v>308.7</v>
      </c>
      <c r="O27" s="41">
        <f>+N27/B27</f>
        <v>0.32875399361022362</v>
      </c>
      <c r="P27" s="18">
        <f>+L27+M27</f>
        <v>29.300000000000011</v>
      </c>
      <c r="Q27" s="81">
        <v>19</v>
      </c>
      <c r="R27" s="3">
        <f>+P27-Q27</f>
        <v>10.300000000000011</v>
      </c>
      <c r="S27" s="3">
        <f t="shared" ref="S27:S35" si="30">+R27*G27</f>
        <v>10.300000000000011</v>
      </c>
      <c r="T27" s="3">
        <f t="shared" ref="T27:T35" si="31">+R27*D27</f>
        <v>206.00000000000023</v>
      </c>
      <c r="U27" s="6">
        <f>+R27/I27</f>
        <v>3.0473372781065121E-2</v>
      </c>
      <c r="W27" s="111">
        <f t="shared" si="7"/>
        <v>338</v>
      </c>
      <c r="X27" s="112">
        <f t="shared" si="8"/>
        <v>328.7</v>
      </c>
      <c r="Y27" s="112">
        <f t="shared" si="9"/>
        <v>9.3000000000000114</v>
      </c>
      <c r="Z27" s="112">
        <f t="shared" si="10"/>
        <v>20</v>
      </c>
      <c r="AA27" s="113">
        <f t="shared" si="11"/>
        <v>10.300000000000011</v>
      </c>
    </row>
    <row r="28" spans="1:28" ht="20.25" customHeight="1" x14ac:dyDescent="0.35">
      <c r="A28" s="293"/>
      <c r="B28" s="296"/>
      <c r="C28" s="35" t="s">
        <v>187</v>
      </c>
      <c r="D28" s="10">
        <v>65</v>
      </c>
      <c r="E28" s="31" t="s">
        <v>17</v>
      </c>
      <c r="F28" s="49">
        <v>0.1</v>
      </c>
      <c r="G28" s="11">
        <v>1</v>
      </c>
      <c r="H28" s="70">
        <f>+F28*B27</f>
        <v>93.9</v>
      </c>
      <c r="I28" s="68">
        <v>95.5</v>
      </c>
      <c r="J28" s="13">
        <f t="shared" si="29"/>
        <v>1.5999999999999943</v>
      </c>
      <c r="K28" s="76">
        <v>93.9</v>
      </c>
      <c r="L28" s="9">
        <f t="shared" ref="L28:L35" si="32">+I28-K28</f>
        <v>1.5999999999999943</v>
      </c>
      <c r="M28" s="79">
        <v>3</v>
      </c>
      <c r="N28" s="23">
        <f t="shared" ref="N28:N35" si="33">+K28-M28</f>
        <v>90.9</v>
      </c>
      <c r="O28" s="42">
        <f>+N28/B27</f>
        <v>9.6805111821086268E-2</v>
      </c>
      <c r="P28" s="19">
        <f>+L28+M28</f>
        <v>4.5999999999999943</v>
      </c>
      <c r="Q28" s="82">
        <v>0</v>
      </c>
      <c r="R28" s="9">
        <f t="shared" ref="R28:R35" si="34">+P28-Q28</f>
        <v>4.5999999999999943</v>
      </c>
      <c r="S28" s="9">
        <f t="shared" si="30"/>
        <v>4.5999999999999943</v>
      </c>
      <c r="T28" s="9">
        <f t="shared" si="31"/>
        <v>298.99999999999966</v>
      </c>
      <c r="U28" s="12">
        <f t="shared" ref="U28:U35" si="35">+R28/I28</f>
        <v>4.8167539267015648E-2</v>
      </c>
      <c r="W28" s="102">
        <f t="shared" si="7"/>
        <v>95.5</v>
      </c>
      <c r="X28" s="103">
        <f t="shared" si="8"/>
        <v>93.9</v>
      </c>
      <c r="Y28" s="103">
        <f t="shared" si="9"/>
        <v>1.5999999999999943</v>
      </c>
      <c r="Z28" s="103">
        <f t="shared" si="10"/>
        <v>3</v>
      </c>
      <c r="AA28" s="104">
        <f t="shared" si="11"/>
        <v>4.5999999999999943</v>
      </c>
    </row>
    <row r="29" spans="1:28" ht="20.25" customHeight="1" x14ac:dyDescent="0.35">
      <c r="A29" s="293"/>
      <c r="B29" s="296"/>
      <c r="C29" s="35" t="s">
        <v>97</v>
      </c>
      <c r="D29" s="10">
        <v>130</v>
      </c>
      <c r="E29" s="31" t="s">
        <v>17</v>
      </c>
      <c r="F29" s="49">
        <v>0.05</v>
      </c>
      <c r="G29" s="11">
        <v>1</v>
      </c>
      <c r="H29" s="72">
        <f>+F29*B27</f>
        <v>46.95</v>
      </c>
      <c r="I29" s="68">
        <v>49</v>
      </c>
      <c r="J29" s="13">
        <f t="shared" si="29"/>
        <v>2.0499999999999972</v>
      </c>
      <c r="K29" s="76">
        <v>47</v>
      </c>
      <c r="L29" s="9">
        <f t="shared" si="32"/>
        <v>2</v>
      </c>
      <c r="M29" s="79">
        <v>2</v>
      </c>
      <c r="N29" s="33">
        <f t="shared" si="33"/>
        <v>45</v>
      </c>
      <c r="O29" s="42">
        <f>+N29/B27</f>
        <v>4.7923322683706068E-2</v>
      </c>
      <c r="P29" s="19">
        <f>+L29+M29</f>
        <v>4</v>
      </c>
      <c r="Q29" s="82">
        <v>0</v>
      </c>
      <c r="R29" s="9">
        <f t="shared" si="34"/>
        <v>4</v>
      </c>
      <c r="S29" s="9">
        <f t="shared" si="30"/>
        <v>4</v>
      </c>
      <c r="T29" s="9">
        <f t="shared" si="31"/>
        <v>520</v>
      </c>
      <c r="U29" s="12">
        <f t="shared" si="35"/>
        <v>8.1632653061224483E-2</v>
      </c>
      <c r="W29" s="102">
        <f t="shared" si="7"/>
        <v>49</v>
      </c>
      <c r="X29" s="103">
        <f t="shared" si="8"/>
        <v>47</v>
      </c>
      <c r="Y29" s="103">
        <f t="shared" si="9"/>
        <v>2</v>
      </c>
      <c r="Z29" s="103">
        <f t="shared" si="10"/>
        <v>2</v>
      </c>
      <c r="AA29" s="104">
        <f t="shared" si="11"/>
        <v>4</v>
      </c>
    </row>
    <row r="30" spans="1:28" ht="20.25" customHeight="1" x14ac:dyDescent="0.35">
      <c r="A30" s="293"/>
      <c r="B30" s="296"/>
      <c r="C30" s="35" t="s">
        <v>92</v>
      </c>
      <c r="D30" s="10">
        <v>55</v>
      </c>
      <c r="E30" s="31" t="s">
        <v>17</v>
      </c>
      <c r="F30" s="49">
        <v>0.1</v>
      </c>
      <c r="G30" s="11">
        <v>1</v>
      </c>
      <c r="H30" s="72">
        <f>+F30*B27</f>
        <v>93.9</v>
      </c>
      <c r="I30" s="68">
        <v>96.5</v>
      </c>
      <c r="J30" s="13">
        <f t="shared" si="29"/>
        <v>2.5999999999999943</v>
      </c>
      <c r="K30" s="76">
        <v>93.9</v>
      </c>
      <c r="L30" s="9">
        <f t="shared" si="32"/>
        <v>2.5999999999999943</v>
      </c>
      <c r="M30" s="79">
        <v>4</v>
      </c>
      <c r="N30" s="23">
        <f t="shared" si="33"/>
        <v>89.9</v>
      </c>
      <c r="O30" s="42">
        <f>+N30/B27</f>
        <v>9.5740149094781693E-2</v>
      </c>
      <c r="P30" s="19">
        <f t="shared" ref="P30:P35" si="36">+L30+M30</f>
        <v>6.5999999999999943</v>
      </c>
      <c r="Q30" s="82">
        <v>0</v>
      </c>
      <c r="R30" s="9">
        <f t="shared" si="34"/>
        <v>6.5999999999999943</v>
      </c>
      <c r="S30" s="9">
        <f t="shared" si="30"/>
        <v>6.5999999999999943</v>
      </c>
      <c r="T30" s="9">
        <f t="shared" si="31"/>
        <v>362.99999999999966</v>
      </c>
      <c r="U30" s="12">
        <f t="shared" si="35"/>
        <v>6.839378238341963E-2</v>
      </c>
      <c r="W30" s="102">
        <f t="shared" si="7"/>
        <v>96.5</v>
      </c>
      <c r="X30" s="103">
        <f t="shared" si="8"/>
        <v>93.9</v>
      </c>
      <c r="Y30" s="103">
        <f t="shared" si="9"/>
        <v>2.5999999999999943</v>
      </c>
      <c r="Z30" s="103">
        <f t="shared" si="10"/>
        <v>4</v>
      </c>
      <c r="AA30" s="104">
        <f t="shared" si="11"/>
        <v>6.5999999999999943</v>
      </c>
    </row>
    <row r="31" spans="1:28" ht="20.25" customHeight="1" x14ac:dyDescent="0.35">
      <c r="A31" s="293"/>
      <c r="B31" s="296"/>
      <c r="C31" s="35" t="s">
        <v>32</v>
      </c>
      <c r="D31" s="10">
        <v>48</v>
      </c>
      <c r="E31" s="31" t="s">
        <v>18</v>
      </c>
      <c r="F31" s="49">
        <v>0.08</v>
      </c>
      <c r="G31" s="11">
        <v>1</v>
      </c>
      <c r="H31" s="72">
        <f>+F31*B27</f>
        <v>75.12</v>
      </c>
      <c r="I31" s="68">
        <v>79</v>
      </c>
      <c r="J31" s="13">
        <f t="shared" si="29"/>
        <v>3.8799999999999955</v>
      </c>
      <c r="K31" s="76">
        <v>75.099999999999994</v>
      </c>
      <c r="L31" s="9">
        <f t="shared" si="32"/>
        <v>3.9000000000000057</v>
      </c>
      <c r="M31" s="79">
        <v>3.5</v>
      </c>
      <c r="N31" s="33">
        <f t="shared" si="33"/>
        <v>71.599999999999994</v>
      </c>
      <c r="O31" s="42">
        <f>+N31/B27</f>
        <v>7.6251331203407879E-2</v>
      </c>
      <c r="P31" s="19">
        <f t="shared" si="36"/>
        <v>7.4000000000000057</v>
      </c>
      <c r="Q31" s="82">
        <v>0</v>
      </c>
      <c r="R31" s="9">
        <f t="shared" si="34"/>
        <v>7.4000000000000057</v>
      </c>
      <c r="S31" s="9">
        <f t="shared" si="30"/>
        <v>7.4000000000000057</v>
      </c>
      <c r="T31" s="9">
        <f t="shared" si="31"/>
        <v>355.20000000000027</v>
      </c>
      <c r="U31" s="12">
        <f t="shared" si="35"/>
        <v>9.3670886075949436E-2</v>
      </c>
      <c r="W31" s="102">
        <f t="shared" si="7"/>
        <v>79</v>
      </c>
      <c r="X31" s="103">
        <f t="shared" si="8"/>
        <v>75.099999999999994</v>
      </c>
      <c r="Y31" s="103">
        <f t="shared" si="9"/>
        <v>3.9000000000000057</v>
      </c>
      <c r="Z31" s="103">
        <f t="shared" si="10"/>
        <v>3.5</v>
      </c>
      <c r="AA31" s="104">
        <f t="shared" si="11"/>
        <v>7.4000000000000057</v>
      </c>
    </row>
    <row r="32" spans="1:28" ht="20.25" customHeight="1" x14ac:dyDescent="0.35">
      <c r="A32" s="293"/>
      <c r="B32" s="296"/>
      <c r="C32" s="35" t="s">
        <v>54</v>
      </c>
      <c r="D32" s="10">
        <v>35</v>
      </c>
      <c r="E32" s="31" t="s">
        <v>18</v>
      </c>
      <c r="F32" s="49">
        <v>0.08</v>
      </c>
      <c r="G32" s="11">
        <v>1</v>
      </c>
      <c r="H32" s="73">
        <f>+F32*B27</f>
        <v>75.12</v>
      </c>
      <c r="I32" s="68">
        <v>78.5</v>
      </c>
      <c r="J32" s="13">
        <f t="shared" si="29"/>
        <v>3.3799999999999955</v>
      </c>
      <c r="K32" s="76">
        <v>75.099999999999994</v>
      </c>
      <c r="L32" s="9">
        <f t="shared" si="32"/>
        <v>3.4000000000000057</v>
      </c>
      <c r="M32" s="79">
        <v>4</v>
      </c>
      <c r="N32" s="23">
        <f t="shared" si="33"/>
        <v>71.099999999999994</v>
      </c>
      <c r="O32" s="42">
        <f>+N32/B27</f>
        <v>7.5718849840255578E-2</v>
      </c>
      <c r="P32" s="19">
        <f t="shared" si="36"/>
        <v>7.4000000000000057</v>
      </c>
      <c r="Q32" s="82">
        <v>0</v>
      </c>
      <c r="R32" s="9">
        <f t="shared" si="34"/>
        <v>7.4000000000000057</v>
      </c>
      <c r="S32" s="9">
        <f t="shared" si="30"/>
        <v>7.4000000000000057</v>
      </c>
      <c r="T32" s="9">
        <f t="shared" si="31"/>
        <v>259.00000000000023</v>
      </c>
      <c r="U32" s="12">
        <f t="shared" si="35"/>
        <v>9.4267515923566955E-2</v>
      </c>
      <c r="W32" s="102">
        <f t="shared" si="7"/>
        <v>78.5</v>
      </c>
      <c r="X32" s="103">
        <f t="shared" si="8"/>
        <v>75.099999999999994</v>
      </c>
      <c r="Y32" s="103">
        <f t="shared" si="9"/>
        <v>3.4000000000000057</v>
      </c>
      <c r="Z32" s="103">
        <f t="shared" si="10"/>
        <v>4</v>
      </c>
      <c r="AA32" s="104">
        <f t="shared" si="11"/>
        <v>7.4000000000000057</v>
      </c>
    </row>
    <row r="33" spans="1:28" ht="20.25" customHeight="1" x14ac:dyDescent="0.35">
      <c r="A33" s="293"/>
      <c r="B33" s="296"/>
      <c r="C33" s="35" t="s">
        <v>33</v>
      </c>
      <c r="D33" s="10">
        <v>50</v>
      </c>
      <c r="E33" s="31" t="s">
        <v>17</v>
      </c>
      <c r="F33" s="49">
        <v>0.03</v>
      </c>
      <c r="G33" s="11">
        <v>1</v>
      </c>
      <c r="H33" s="72">
        <f>+F33*B27</f>
        <v>28.169999999999998</v>
      </c>
      <c r="I33" s="68">
        <v>30</v>
      </c>
      <c r="J33" s="13">
        <f t="shared" si="29"/>
        <v>1.8300000000000018</v>
      </c>
      <c r="K33" s="76">
        <v>28.2</v>
      </c>
      <c r="L33" s="9">
        <f t="shared" si="32"/>
        <v>1.8000000000000007</v>
      </c>
      <c r="M33" s="79">
        <v>2</v>
      </c>
      <c r="N33" s="23">
        <f t="shared" si="33"/>
        <v>26.2</v>
      </c>
      <c r="O33" s="42">
        <f>+N33/B27</f>
        <v>2.7902023429179978E-2</v>
      </c>
      <c r="P33" s="19">
        <f t="shared" si="36"/>
        <v>3.8000000000000007</v>
      </c>
      <c r="Q33" s="82">
        <v>0</v>
      </c>
      <c r="R33" s="9">
        <f t="shared" si="34"/>
        <v>3.8000000000000007</v>
      </c>
      <c r="S33" s="9">
        <f t="shared" si="30"/>
        <v>3.8000000000000007</v>
      </c>
      <c r="T33" s="9">
        <f t="shared" si="31"/>
        <v>190.00000000000003</v>
      </c>
      <c r="U33" s="12">
        <f t="shared" si="35"/>
        <v>0.12666666666666668</v>
      </c>
      <c r="W33" s="102">
        <f t="shared" si="7"/>
        <v>30</v>
      </c>
      <c r="X33" s="103">
        <f t="shared" si="8"/>
        <v>28.2</v>
      </c>
      <c r="Y33" s="103">
        <f t="shared" si="9"/>
        <v>1.8000000000000007</v>
      </c>
      <c r="Z33" s="103">
        <f t="shared" si="10"/>
        <v>2</v>
      </c>
      <c r="AA33" s="104">
        <f t="shared" si="11"/>
        <v>3.8000000000000007</v>
      </c>
    </row>
    <row r="34" spans="1:28" ht="20.25" customHeight="1" x14ac:dyDescent="0.35">
      <c r="A34" s="293"/>
      <c r="B34" s="296"/>
      <c r="C34" s="35" t="s">
        <v>34</v>
      </c>
      <c r="D34" s="31">
        <v>70</v>
      </c>
      <c r="E34" s="31" t="s">
        <v>17</v>
      </c>
      <c r="F34" s="11">
        <v>0.1</v>
      </c>
      <c r="G34" s="11">
        <v>1</v>
      </c>
      <c r="H34" s="72">
        <f>+F34*B27</f>
        <v>93.9</v>
      </c>
      <c r="I34" s="68">
        <v>93.9</v>
      </c>
      <c r="J34" s="13">
        <f t="shared" si="29"/>
        <v>0</v>
      </c>
      <c r="K34" s="76">
        <v>93.9</v>
      </c>
      <c r="L34" s="9">
        <f t="shared" si="32"/>
        <v>0</v>
      </c>
      <c r="M34" s="79">
        <v>0</v>
      </c>
      <c r="N34" s="23">
        <f t="shared" si="33"/>
        <v>93.9</v>
      </c>
      <c r="O34" s="42">
        <f>+N34/B27</f>
        <v>0.1</v>
      </c>
      <c r="P34" s="19">
        <f t="shared" si="36"/>
        <v>0</v>
      </c>
      <c r="Q34" s="82">
        <v>0</v>
      </c>
      <c r="R34" s="9">
        <f t="shared" si="34"/>
        <v>0</v>
      </c>
      <c r="S34" s="9">
        <f t="shared" si="30"/>
        <v>0</v>
      </c>
      <c r="T34" s="9">
        <f t="shared" si="31"/>
        <v>0</v>
      </c>
      <c r="U34" s="12">
        <f t="shared" si="35"/>
        <v>0</v>
      </c>
      <c r="W34" s="102">
        <f t="shared" si="7"/>
        <v>93.9</v>
      </c>
      <c r="X34" s="103">
        <f t="shared" si="8"/>
        <v>93.9</v>
      </c>
      <c r="Y34" s="103">
        <f t="shared" si="9"/>
        <v>0</v>
      </c>
      <c r="Z34" s="103">
        <f t="shared" si="10"/>
        <v>0</v>
      </c>
      <c r="AA34" s="104">
        <f t="shared" si="11"/>
        <v>0</v>
      </c>
    </row>
    <row r="35" spans="1:28" ht="20.25" customHeight="1" x14ac:dyDescent="0.35">
      <c r="A35" s="294"/>
      <c r="B35" s="297"/>
      <c r="C35" s="40" t="s">
        <v>35</v>
      </c>
      <c r="D35" s="44">
        <v>2</v>
      </c>
      <c r="E35" s="44" t="s">
        <v>16</v>
      </c>
      <c r="F35" s="53">
        <v>2</v>
      </c>
      <c r="G35" s="45">
        <v>0.04</v>
      </c>
      <c r="H35" s="72">
        <f>+F35*B27</f>
        <v>1878</v>
      </c>
      <c r="I35" s="68">
        <v>1898</v>
      </c>
      <c r="J35" s="13">
        <f t="shared" si="29"/>
        <v>20</v>
      </c>
      <c r="K35" s="76">
        <v>1878</v>
      </c>
      <c r="L35" s="9">
        <f t="shared" si="32"/>
        <v>20</v>
      </c>
      <c r="M35" s="79">
        <v>15</v>
      </c>
      <c r="N35" s="33">
        <f t="shared" si="33"/>
        <v>1863</v>
      </c>
      <c r="O35" s="42">
        <f>+N35/B27</f>
        <v>1.9840255591054312</v>
      </c>
      <c r="P35" s="19">
        <f t="shared" si="36"/>
        <v>35</v>
      </c>
      <c r="Q35" s="82">
        <v>0</v>
      </c>
      <c r="R35" s="9">
        <f t="shared" si="34"/>
        <v>35</v>
      </c>
      <c r="S35" s="9">
        <f t="shared" si="30"/>
        <v>1.4000000000000001</v>
      </c>
      <c r="T35" s="9">
        <f t="shared" si="31"/>
        <v>70</v>
      </c>
      <c r="U35" s="12">
        <f t="shared" si="35"/>
        <v>1.8440463645943098E-2</v>
      </c>
      <c r="W35" s="105">
        <f t="shared" si="7"/>
        <v>75.92</v>
      </c>
      <c r="X35" s="106">
        <f t="shared" si="8"/>
        <v>75.12</v>
      </c>
      <c r="Y35" s="106">
        <f t="shared" si="9"/>
        <v>0.8</v>
      </c>
      <c r="Z35" s="106">
        <f t="shared" si="10"/>
        <v>0.6</v>
      </c>
      <c r="AA35" s="107">
        <f t="shared" si="11"/>
        <v>1.4000000000000001</v>
      </c>
    </row>
    <row r="36" spans="1:28" ht="23.25" customHeight="1" thickBot="1" x14ac:dyDescent="0.4">
      <c r="A36" s="27"/>
      <c r="B36" s="57"/>
      <c r="C36" s="29"/>
      <c r="D36" s="15"/>
      <c r="E36" s="15"/>
      <c r="F36" s="15"/>
      <c r="G36" s="15"/>
      <c r="H36" s="14"/>
      <c r="I36" s="15"/>
      <c r="J36" s="16"/>
      <c r="K36" s="14"/>
      <c r="L36" s="15"/>
      <c r="M36" s="16"/>
      <c r="N36" s="14"/>
      <c r="O36" s="16"/>
      <c r="P36" s="20"/>
      <c r="Q36" s="15"/>
      <c r="R36" s="15"/>
      <c r="S36" s="56">
        <f>SUM(S27:S35)</f>
        <v>45.500000000000007</v>
      </c>
      <c r="T36" s="56">
        <f>SUM(T27:T35)</f>
        <v>2262.2000000000003</v>
      </c>
      <c r="U36" s="16"/>
      <c r="W36" s="122">
        <f>SUM(W27:W35)</f>
        <v>936.31999999999994</v>
      </c>
      <c r="X36" s="109">
        <f t="shared" ref="X36:AA36" si="37">SUM(X27:X35)</f>
        <v>910.92000000000007</v>
      </c>
      <c r="Y36" s="109">
        <f t="shared" si="37"/>
        <v>25.400000000000013</v>
      </c>
      <c r="Z36" s="110">
        <f t="shared" si="37"/>
        <v>39.1</v>
      </c>
      <c r="AA36" s="114">
        <f t="shared" si="37"/>
        <v>45.500000000000007</v>
      </c>
      <c r="AB36" s="94"/>
    </row>
    <row r="37" spans="1:28" ht="31.5" customHeight="1" thickBot="1" x14ac:dyDescent="0.4">
      <c r="A37" s="58" t="s">
        <v>42</v>
      </c>
      <c r="B37" s="32">
        <f>+B4+B12+B22+B27</f>
        <v>4925</v>
      </c>
      <c r="C37" s="29"/>
      <c r="D37" s="15"/>
      <c r="E37" s="15"/>
      <c r="F37" s="15"/>
      <c r="G37" s="15"/>
      <c r="H37" s="14"/>
      <c r="I37" s="15"/>
      <c r="J37" s="16"/>
      <c r="K37" s="14"/>
      <c r="L37" s="15"/>
      <c r="M37" s="16"/>
      <c r="N37" s="14"/>
      <c r="O37" s="16"/>
      <c r="P37" s="20"/>
      <c r="Q37" s="15"/>
      <c r="R37" s="17"/>
      <c r="S37" s="85">
        <f>+S36+S26+S21+S11</f>
        <v>141.10499999999999</v>
      </c>
      <c r="T37" s="85">
        <f>+T36+T26+T21+T11</f>
        <v>8237.2000000000007</v>
      </c>
      <c r="U37" s="62"/>
      <c r="W37" s="108">
        <f>+W11+W21+W26+W36</f>
        <v>3654.45</v>
      </c>
      <c r="X37" s="119">
        <f t="shared" ref="X37:AA37" si="38">+X11+X21+X26+X36</f>
        <v>3589.7950000000001</v>
      </c>
      <c r="Y37" s="119">
        <f t="shared" si="38"/>
        <v>64.655000000000001</v>
      </c>
      <c r="Z37" s="121">
        <f t="shared" si="38"/>
        <v>140.44999999999999</v>
      </c>
      <c r="AA37" s="120">
        <f t="shared" si="38"/>
        <v>141.10499999999999</v>
      </c>
      <c r="AB37" s="94"/>
    </row>
    <row r="38" spans="1:28" x14ac:dyDescent="0.35">
      <c r="B38" s="59"/>
      <c r="Y38" s="63"/>
    </row>
    <row r="39" spans="1:28" ht="15" thickBot="1" x14ac:dyDescent="0.4">
      <c r="W39" s="63"/>
      <c r="X39" s="63"/>
      <c r="Y39" s="63"/>
      <c r="Z39" s="63"/>
      <c r="AA39" s="63"/>
    </row>
    <row r="40" spans="1:28" ht="18" customHeight="1" x14ac:dyDescent="0.35">
      <c r="A40" s="271"/>
      <c r="B40" s="271"/>
      <c r="C40" s="271"/>
      <c r="D40" s="271"/>
      <c r="E40" s="271"/>
      <c r="F40" s="271"/>
      <c r="S40" s="341" t="s">
        <v>191</v>
      </c>
      <c r="T40" s="342"/>
      <c r="U40" s="342"/>
      <c r="V40" s="342"/>
      <c r="W40" s="342"/>
      <c r="X40" s="342"/>
      <c r="Y40" s="342"/>
      <c r="Z40" s="342"/>
      <c r="AA40" s="343"/>
    </row>
    <row r="41" spans="1:28" ht="36.75" customHeight="1" x14ac:dyDescent="0.35">
      <c r="A41" s="255"/>
      <c r="B41" s="255"/>
      <c r="C41" s="255"/>
      <c r="D41" s="260"/>
      <c r="E41" s="260"/>
      <c r="F41" s="261"/>
      <c r="O41" s="255"/>
      <c r="P41" s="255"/>
      <c r="S41" s="7" t="s">
        <v>6</v>
      </c>
      <c r="T41" s="8" t="s">
        <v>7</v>
      </c>
      <c r="U41" s="60" t="s">
        <v>162</v>
      </c>
      <c r="V41" s="60" t="s">
        <v>3</v>
      </c>
      <c r="W41" s="60" t="s">
        <v>28</v>
      </c>
      <c r="X41" s="60" t="s">
        <v>163</v>
      </c>
      <c r="Y41" s="60" t="s">
        <v>164</v>
      </c>
      <c r="Z41" s="258" t="s">
        <v>165</v>
      </c>
      <c r="AA41" s="61" t="s">
        <v>166</v>
      </c>
    </row>
    <row r="42" spans="1:28" ht="29.25" customHeight="1" x14ac:dyDescent="0.35">
      <c r="A42" s="262"/>
      <c r="B42" s="263"/>
      <c r="C42" s="264"/>
      <c r="D42" s="264"/>
      <c r="E42" s="265"/>
      <c r="F42" s="266"/>
      <c r="O42" s="256"/>
      <c r="P42" s="256"/>
      <c r="S42" s="91" t="s">
        <v>47</v>
      </c>
      <c r="T42" s="35">
        <f>+B4</f>
        <v>1210</v>
      </c>
      <c r="U42" s="254">
        <f>+W11</f>
        <v>855.5</v>
      </c>
      <c r="V42" s="254">
        <f t="shared" ref="V42:Y42" si="39">+X11</f>
        <v>847</v>
      </c>
      <c r="W42" s="254">
        <f t="shared" si="39"/>
        <v>8.5</v>
      </c>
      <c r="X42" s="254">
        <f t="shared" si="39"/>
        <v>33.25</v>
      </c>
      <c r="Y42" s="254">
        <f t="shared" si="39"/>
        <v>41.75</v>
      </c>
      <c r="Z42" s="95">
        <f>+Y42/T42</f>
        <v>3.4504132231404958E-2</v>
      </c>
      <c r="AA42" s="253">
        <f>+Y42/U42</f>
        <v>4.8801870251315022E-2</v>
      </c>
    </row>
    <row r="43" spans="1:28" ht="29.25" customHeight="1" x14ac:dyDescent="0.35">
      <c r="A43" s="262"/>
      <c r="B43" s="263"/>
      <c r="C43" s="263"/>
      <c r="D43" s="264"/>
      <c r="E43" s="265"/>
      <c r="F43" s="266"/>
      <c r="O43" s="256"/>
      <c r="P43" s="256"/>
      <c r="Q43" s="133"/>
      <c r="R43" s="134"/>
      <c r="S43" s="91" t="s">
        <v>48</v>
      </c>
      <c r="T43" s="35">
        <f>+B12</f>
        <v>1231</v>
      </c>
      <c r="U43" s="254">
        <f>+W21</f>
        <v>1320.8</v>
      </c>
      <c r="V43" s="254">
        <f t="shared" ref="V43:Y43" si="40">+X21</f>
        <v>1293.58</v>
      </c>
      <c r="W43" s="254">
        <f t="shared" si="40"/>
        <v>27.219999999999985</v>
      </c>
      <c r="X43" s="254">
        <f t="shared" si="40"/>
        <v>68.099999999999994</v>
      </c>
      <c r="Y43" s="254">
        <f t="shared" si="40"/>
        <v>50.319999999999986</v>
      </c>
      <c r="Z43" s="95">
        <f t="shared" ref="Z43:Z45" si="41">+Y43/T43</f>
        <v>4.0877335499593812E-2</v>
      </c>
      <c r="AA43" s="253">
        <f t="shared" ref="AA43:AA45" si="42">+Y43/U43</f>
        <v>3.8098122350090843E-2</v>
      </c>
    </row>
    <row r="44" spans="1:28" ht="29.25" customHeight="1" x14ac:dyDescent="0.35">
      <c r="A44" s="262"/>
      <c r="B44" s="263"/>
      <c r="C44" s="263"/>
      <c r="D44" s="264"/>
      <c r="E44" s="265"/>
      <c r="F44" s="266"/>
      <c r="O44" s="256"/>
      <c r="P44" s="256"/>
      <c r="S44" s="91" t="s">
        <v>49</v>
      </c>
      <c r="T44" s="35">
        <f>+B22</f>
        <v>1545</v>
      </c>
      <c r="U44" s="254">
        <f>+W26</f>
        <v>541.82999999999993</v>
      </c>
      <c r="V44" s="254">
        <f t="shared" ref="V44:Y44" si="43">+X26</f>
        <v>538.29500000000007</v>
      </c>
      <c r="W44" s="254">
        <f t="shared" si="43"/>
        <v>3.5350000000000001</v>
      </c>
      <c r="X44" s="254">
        <f t="shared" si="43"/>
        <v>0</v>
      </c>
      <c r="Y44" s="254">
        <f t="shared" si="43"/>
        <v>3.5350000000000001</v>
      </c>
      <c r="Z44" s="95">
        <f t="shared" si="41"/>
        <v>2.2880258899676377E-3</v>
      </c>
      <c r="AA44" s="253">
        <f t="shared" si="42"/>
        <v>6.5241865529778722E-3</v>
      </c>
    </row>
    <row r="45" spans="1:28" ht="29.25" customHeight="1" x14ac:dyDescent="0.35">
      <c r="A45" s="262"/>
      <c r="B45" s="263"/>
      <c r="C45" s="264"/>
      <c r="D45" s="264"/>
      <c r="E45" s="265"/>
      <c r="F45" s="266"/>
      <c r="O45" s="256"/>
      <c r="P45" s="256"/>
      <c r="S45" s="91" t="s">
        <v>50</v>
      </c>
      <c r="T45" s="35">
        <f>+B27</f>
        <v>939</v>
      </c>
      <c r="U45" s="254">
        <f>+W36</f>
        <v>936.31999999999994</v>
      </c>
      <c r="V45" s="254">
        <f t="shared" ref="V45:Y45" si="44">+X36</f>
        <v>910.92000000000007</v>
      </c>
      <c r="W45" s="254">
        <f t="shared" si="44"/>
        <v>25.400000000000013</v>
      </c>
      <c r="X45" s="254">
        <f t="shared" si="44"/>
        <v>39.1</v>
      </c>
      <c r="Y45" s="254">
        <f t="shared" si="44"/>
        <v>45.500000000000007</v>
      </c>
      <c r="Z45" s="95">
        <f t="shared" si="41"/>
        <v>4.845580404685837E-2</v>
      </c>
      <c r="AA45" s="253">
        <f t="shared" si="42"/>
        <v>4.8594497607655517E-2</v>
      </c>
    </row>
    <row r="46" spans="1:28" ht="29.25" customHeight="1" thickBot="1" x14ac:dyDescent="0.4">
      <c r="A46" s="267"/>
      <c r="B46" s="268"/>
      <c r="C46" s="268"/>
      <c r="D46" s="269"/>
      <c r="E46" s="270"/>
      <c r="F46" s="266"/>
      <c r="G46" s="259"/>
      <c r="O46" s="257"/>
      <c r="P46" s="257"/>
      <c r="S46" s="93" t="s">
        <v>51</v>
      </c>
      <c r="T46" s="96">
        <f>SUM(T42:T45)</f>
        <v>4925</v>
      </c>
      <c r="U46" s="272">
        <f>SUM(U42:U45)</f>
        <v>3654.45</v>
      </c>
      <c r="V46" s="272">
        <f t="shared" ref="V46:Y46" si="45">SUM(V42:V45)</f>
        <v>3589.7950000000001</v>
      </c>
      <c r="W46" s="272">
        <f t="shared" si="45"/>
        <v>64.655000000000001</v>
      </c>
      <c r="X46" s="272">
        <f t="shared" si="45"/>
        <v>140.44999999999999</v>
      </c>
      <c r="Y46" s="272">
        <f t="shared" si="45"/>
        <v>141.10499999999999</v>
      </c>
      <c r="Z46" s="273">
        <f>+Y46/T46</f>
        <v>2.8650761421319795E-2</v>
      </c>
      <c r="AA46" s="274">
        <f>+Y46/U46</f>
        <v>3.8611829413454826E-2</v>
      </c>
    </row>
    <row r="47" spans="1:28" x14ac:dyDescent="0.35">
      <c r="T47">
        <v>410</v>
      </c>
    </row>
    <row r="48" spans="1:28" x14ac:dyDescent="0.35">
      <c r="T48">
        <f>+T46+T47</f>
        <v>5335</v>
      </c>
    </row>
  </sheetData>
  <mergeCells count="16">
    <mergeCell ref="A1:F1"/>
    <mergeCell ref="A2:G2"/>
    <mergeCell ref="H2:J2"/>
    <mergeCell ref="K2:M2"/>
    <mergeCell ref="N2:O2"/>
    <mergeCell ref="A27:A35"/>
    <mergeCell ref="B27:B35"/>
    <mergeCell ref="S40:AA40"/>
    <mergeCell ref="W2:AA2"/>
    <mergeCell ref="A4:A10"/>
    <mergeCell ref="B4:B10"/>
    <mergeCell ref="A12:A20"/>
    <mergeCell ref="B12:B20"/>
    <mergeCell ref="A22:A25"/>
    <mergeCell ref="B22:B25"/>
    <mergeCell ref="P2:U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97AAB-55B6-4BFA-B67A-BC7B7E3B35C0}">
  <dimension ref="A1:AB48"/>
  <sheetViews>
    <sheetView workbookViewId="0">
      <pane xSplit="7" ySplit="3" topLeftCell="O16" activePane="bottomRight" state="frozen"/>
      <selection pane="topRight" activeCell="H1" sqref="H1"/>
      <selection pane="bottomLeft" activeCell="A4" sqref="A4"/>
      <selection pane="bottomRight" activeCell="P42" sqref="P42:P44"/>
    </sheetView>
  </sheetViews>
  <sheetFormatPr defaultRowHeight="14.5" x14ac:dyDescent="0.35"/>
  <cols>
    <col min="1" max="1" width="11" customWidth="1"/>
    <col min="2" max="2" width="7.81640625" customWidth="1"/>
    <col min="3" max="3" width="20" customWidth="1"/>
    <col min="4" max="4" width="9.1796875" customWidth="1"/>
    <col min="5" max="5" width="9.26953125" customWidth="1"/>
    <col min="6" max="6" width="10" customWidth="1"/>
    <col min="7" max="7" width="8.1796875" customWidth="1"/>
    <col min="8" max="8" width="12.54296875" customWidth="1"/>
    <col min="9" max="9" width="12.453125" customWidth="1"/>
    <col min="10" max="10" width="11" customWidth="1"/>
    <col min="11" max="11" width="9.453125" customWidth="1"/>
    <col min="12" max="12" width="11" customWidth="1"/>
    <col min="13" max="13" width="13.54296875" customWidth="1"/>
    <col min="14" max="14" width="14.81640625" customWidth="1"/>
    <col min="15" max="15" width="16" customWidth="1"/>
    <col min="16" max="16" width="11.26953125" customWidth="1"/>
    <col min="17" max="18" width="9.54296875" customWidth="1"/>
    <col min="19" max="20" width="10.81640625" customWidth="1"/>
    <col min="21" max="21" width="12.7265625" customWidth="1"/>
    <col min="22" max="22" width="10" customWidth="1"/>
    <col min="23" max="23" width="11.453125" customWidth="1"/>
    <col min="24" max="24" width="11" customWidth="1"/>
    <col min="25" max="25" width="13.453125" customWidth="1"/>
    <col min="26" max="26" width="10.26953125" customWidth="1"/>
    <col min="27" max="27" width="13.7265625" customWidth="1"/>
  </cols>
  <sheetData>
    <row r="1" spans="1:28" ht="22.5" customHeight="1" thickBot="1" x14ac:dyDescent="0.4">
      <c r="A1" s="308" t="s">
        <v>36</v>
      </c>
      <c r="B1" s="309"/>
      <c r="C1" s="309"/>
      <c r="D1" s="309"/>
      <c r="E1" s="309"/>
      <c r="F1" s="310"/>
    </row>
    <row r="2" spans="1:28" ht="22.5" customHeight="1" thickBot="1" x14ac:dyDescent="0.4">
      <c r="A2" s="311" t="s">
        <v>196</v>
      </c>
      <c r="B2" s="312"/>
      <c r="C2" s="312"/>
      <c r="D2" s="312"/>
      <c r="E2" s="312"/>
      <c r="F2" s="312"/>
      <c r="G2" s="313"/>
      <c r="H2" s="314" t="s">
        <v>22</v>
      </c>
      <c r="I2" s="315"/>
      <c r="J2" s="316"/>
      <c r="K2" s="317" t="s">
        <v>23</v>
      </c>
      <c r="L2" s="318"/>
      <c r="M2" s="319"/>
      <c r="N2" s="320" t="s">
        <v>24</v>
      </c>
      <c r="O2" s="321"/>
      <c r="P2" s="305" t="s">
        <v>25</v>
      </c>
      <c r="Q2" s="306"/>
      <c r="R2" s="306"/>
      <c r="S2" s="306"/>
      <c r="T2" s="306"/>
      <c r="U2" s="307"/>
      <c r="W2" s="325" t="s">
        <v>43</v>
      </c>
      <c r="X2" s="326"/>
      <c r="Y2" s="326"/>
      <c r="Z2" s="326"/>
      <c r="AA2" s="327"/>
    </row>
    <row r="3" spans="1:28" ht="58.5" thickBot="1" x14ac:dyDescent="0.4">
      <c r="A3" s="39" t="s">
        <v>6</v>
      </c>
      <c r="B3" s="38" t="s">
        <v>7</v>
      </c>
      <c r="C3" s="38" t="s">
        <v>0</v>
      </c>
      <c r="D3" s="37" t="s">
        <v>15</v>
      </c>
      <c r="E3" s="38" t="s">
        <v>1</v>
      </c>
      <c r="F3" s="36" t="s">
        <v>27</v>
      </c>
      <c r="G3" s="37" t="s">
        <v>19</v>
      </c>
      <c r="H3" s="25" t="s">
        <v>4</v>
      </c>
      <c r="I3" s="89" t="s">
        <v>44</v>
      </c>
      <c r="J3" s="26" t="s">
        <v>29</v>
      </c>
      <c r="K3" s="88" t="s">
        <v>3</v>
      </c>
      <c r="L3" s="1" t="s">
        <v>28</v>
      </c>
      <c r="M3" s="87" t="s">
        <v>5</v>
      </c>
      <c r="N3" s="25" t="s">
        <v>20</v>
      </c>
      <c r="O3" s="26" t="s">
        <v>21</v>
      </c>
      <c r="P3" s="24" t="s">
        <v>8</v>
      </c>
      <c r="Q3" s="86" t="s">
        <v>9</v>
      </c>
      <c r="R3" s="2" t="s">
        <v>10</v>
      </c>
      <c r="S3" s="1" t="s">
        <v>26</v>
      </c>
      <c r="T3" s="1" t="s">
        <v>11</v>
      </c>
      <c r="U3" s="1" t="s">
        <v>30</v>
      </c>
      <c r="W3" s="43" t="s">
        <v>2</v>
      </c>
      <c r="X3" s="60" t="s">
        <v>3</v>
      </c>
      <c r="Y3" s="60" t="s">
        <v>28</v>
      </c>
      <c r="Z3" s="60" t="s">
        <v>5</v>
      </c>
      <c r="AA3" s="61" t="s">
        <v>26</v>
      </c>
    </row>
    <row r="4" spans="1:28" ht="20.25" customHeight="1" x14ac:dyDescent="0.35">
      <c r="A4" s="301" t="s">
        <v>37</v>
      </c>
      <c r="B4" s="303">
        <v>1225</v>
      </c>
      <c r="C4" s="34" t="s">
        <v>55</v>
      </c>
      <c r="D4" s="4">
        <v>2</v>
      </c>
      <c r="E4" s="30" t="s">
        <v>16</v>
      </c>
      <c r="F4" s="47">
        <v>2</v>
      </c>
      <c r="G4" s="5">
        <v>0.05</v>
      </c>
      <c r="H4" s="71">
        <f>+F4*B4</f>
        <v>2450</v>
      </c>
      <c r="I4" s="67">
        <v>2460</v>
      </c>
      <c r="J4" s="64">
        <f>I4-H4</f>
        <v>10</v>
      </c>
      <c r="K4" s="75">
        <f>1225*2</f>
        <v>2450</v>
      </c>
      <c r="L4" s="127">
        <f>+I4-K4</f>
        <v>10</v>
      </c>
      <c r="M4" s="78">
        <v>45</v>
      </c>
      <c r="N4" s="128">
        <f>+K4-M4</f>
        <v>2405</v>
      </c>
      <c r="O4" s="64">
        <f>+N4/B4</f>
        <v>1.963265306122449</v>
      </c>
      <c r="P4" s="18">
        <f>+L4+M4</f>
        <v>55</v>
      </c>
      <c r="Q4" s="81">
        <v>0</v>
      </c>
      <c r="R4" s="3">
        <f t="shared" ref="R4:R10" si="0">+P4-Q4</f>
        <v>55</v>
      </c>
      <c r="S4" s="3">
        <f t="shared" ref="S4:S10" si="1">+R4*G4</f>
        <v>2.75</v>
      </c>
      <c r="T4" s="3">
        <f t="shared" ref="T4:T10" si="2">+R4*D4</f>
        <v>110</v>
      </c>
      <c r="U4" s="6">
        <f>+R4/I4</f>
        <v>2.2357723577235773E-2</v>
      </c>
      <c r="W4" s="102">
        <f>+I4*G4</f>
        <v>123</v>
      </c>
      <c r="X4" s="103">
        <f>+K4*G4</f>
        <v>122.5</v>
      </c>
      <c r="Y4" s="103">
        <f>+L4*G4</f>
        <v>0.5</v>
      </c>
      <c r="Z4" s="103">
        <f>+M4*G4</f>
        <v>2.25</v>
      </c>
      <c r="AA4" s="104">
        <f>+R4*G4</f>
        <v>2.75</v>
      </c>
    </row>
    <row r="5" spans="1:28" ht="20.25" customHeight="1" x14ac:dyDescent="0.35">
      <c r="A5" s="302"/>
      <c r="B5" s="304"/>
      <c r="C5" s="35" t="s">
        <v>87</v>
      </c>
      <c r="D5" s="10">
        <v>4</v>
      </c>
      <c r="E5" s="31" t="s">
        <v>16</v>
      </c>
      <c r="F5" s="48">
        <v>2</v>
      </c>
      <c r="G5" s="11">
        <v>0.05</v>
      </c>
      <c r="H5" s="70">
        <f>+F5*B4</f>
        <v>2450</v>
      </c>
      <c r="I5" s="68">
        <v>2470</v>
      </c>
      <c r="J5" s="13">
        <f t="shared" ref="J5:J10" si="3">I5-H5</f>
        <v>20</v>
      </c>
      <c r="K5" s="76">
        <v>2450</v>
      </c>
      <c r="L5" s="9">
        <f t="shared" ref="L5:L10" si="4">+I5-K5</f>
        <v>20</v>
      </c>
      <c r="M5" s="79">
        <v>15</v>
      </c>
      <c r="N5" s="23">
        <f t="shared" ref="N5:N10" si="5">+K5-M5</f>
        <v>2435</v>
      </c>
      <c r="O5" s="65">
        <f>+N5/B4</f>
        <v>1.9877551020408164</v>
      </c>
      <c r="P5" s="19">
        <f>+L5+M5</f>
        <v>35</v>
      </c>
      <c r="Q5" s="82">
        <v>0</v>
      </c>
      <c r="R5" s="9">
        <f t="shared" si="0"/>
        <v>35</v>
      </c>
      <c r="S5" s="9">
        <f>+R5*G5</f>
        <v>1.75</v>
      </c>
      <c r="T5" s="9">
        <f t="shared" si="2"/>
        <v>140</v>
      </c>
      <c r="U5" s="12">
        <f t="shared" ref="U5:U9" si="6">+R5/I5</f>
        <v>1.417004048582996E-2</v>
      </c>
      <c r="W5" s="102">
        <f t="shared" ref="W5:W35" si="7">+I5*G5</f>
        <v>123.5</v>
      </c>
      <c r="X5" s="103">
        <f t="shared" ref="X5:X35" si="8">+K5*G5</f>
        <v>122.5</v>
      </c>
      <c r="Y5" s="103">
        <f t="shared" ref="Y5:Y35" si="9">+L5*G5</f>
        <v>1</v>
      </c>
      <c r="Z5" s="103">
        <f t="shared" ref="Z5:Z35" si="10">+M5*G5</f>
        <v>0.75</v>
      </c>
      <c r="AA5" s="104">
        <f t="shared" ref="AA5:AA35" si="11">+R5*G5</f>
        <v>1.75</v>
      </c>
    </row>
    <row r="6" spans="1:28" ht="20.25" customHeight="1" x14ac:dyDescent="0.35">
      <c r="A6" s="302"/>
      <c r="B6" s="304"/>
      <c r="C6" s="35" t="s">
        <v>122</v>
      </c>
      <c r="D6" s="10">
        <v>40</v>
      </c>
      <c r="E6" s="31" t="s">
        <v>17</v>
      </c>
      <c r="F6" s="49">
        <v>0.15</v>
      </c>
      <c r="G6" s="11">
        <v>1</v>
      </c>
      <c r="H6" s="72">
        <f>+F6*B4</f>
        <v>183.75</v>
      </c>
      <c r="I6" s="68">
        <v>185</v>
      </c>
      <c r="J6" s="13">
        <f t="shared" si="3"/>
        <v>1.25</v>
      </c>
      <c r="K6" s="76">
        <f>1225*0.15</f>
        <v>183.75</v>
      </c>
      <c r="L6" s="9">
        <f t="shared" si="4"/>
        <v>1.25</v>
      </c>
      <c r="M6" s="79">
        <v>5.5</v>
      </c>
      <c r="N6" s="33">
        <f t="shared" si="5"/>
        <v>178.25</v>
      </c>
      <c r="O6" s="42">
        <f>+N6/B4</f>
        <v>0.14551020408163265</v>
      </c>
      <c r="P6" s="19">
        <f>+L6+M6</f>
        <v>6.75</v>
      </c>
      <c r="Q6" s="82">
        <v>0</v>
      </c>
      <c r="R6" s="9">
        <f t="shared" si="0"/>
        <v>6.75</v>
      </c>
      <c r="S6" s="9">
        <f t="shared" si="1"/>
        <v>6.75</v>
      </c>
      <c r="T6" s="9">
        <f t="shared" si="2"/>
        <v>270</v>
      </c>
      <c r="U6" s="12">
        <f t="shared" si="6"/>
        <v>3.6486486486486489E-2</v>
      </c>
      <c r="W6" s="102">
        <f t="shared" si="7"/>
        <v>185</v>
      </c>
      <c r="X6" s="103">
        <f t="shared" si="8"/>
        <v>183.75</v>
      </c>
      <c r="Y6" s="103">
        <f t="shared" si="9"/>
        <v>1.25</v>
      </c>
      <c r="Z6" s="103">
        <f t="shared" si="10"/>
        <v>5.5</v>
      </c>
      <c r="AA6" s="104">
        <f t="shared" si="11"/>
        <v>6.75</v>
      </c>
    </row>
    <row r="7" spans="1:28" ht="20.25" customHeight="1" x14ac:dyDescent="0.35">
      <c r="A7" s="302"/>
      <c r="B7" s="304"/>
      <c r="C7" s="35" t="s">
        <v>12</v>
      </c>
      <c r="D7" s="10">
        <v>45</v>
      </c>
      <c r="E7" s="31" t="s">
        <v>17</v>
      </c>
      <c r="F7" s="49">
        <v>0.1</v>
      </c>
      <c r="G7" s="11">
        <v>1</v>
      </c>
      <c r="H7" s="72">
        <f>+F7*B4</f>
        <v>122.5</v>
      </c>
      <c r="I7" s="68">
        <v>124</v>
      </c>
      <c r="J7" s="13">
        <f t="shared" si="3"/>
        <v>1.5</v>
      </c>
      <c r="K7" s="76">
        <v>122.5</v>
      </c>
      <c r="L7" s="9">
        <f t="shared" si="4"/>
        <v>1.5</v>
      </c>
      <c r="M7" s="79">
        <v>4.5</v>
      </c>
      <c r="N7" s="23">
        <f t="shared" si="5"/>
        <v>118</v>
      </c>
      <c r="O7" s="42">
        <f>+N7/B4</f>
        <v>9.6326530612244901E-2</v>
      </c>
      <c r="P7" s="19">
        <f t="shared" ref="P7:P10" si="12">+L7+M7</f>
        <v>6</v>
      </c>
      <c r="Q7" s="82">
        <v>0</v>
      </c>
      <c r="R7" s="9">
        <f t="shared" si="0"/>
        <v>6</v>
      </c>
      <c r="S7" s="9">
        <f t="shared" si="1"/>
        <v>6</v>
      </c>
      <c r="T7" s="9">
        <f t="shared" si="2"/>
        <v>270</v>
      </c>
      <c r="U7" s="12">
        <f t="shared" si="6"/>
        <v>4.8387096774193547E-2</v>
      </c>
      <c r="W7" s="102">
        <f t="shared" si="7"/>
        <v>124</v>
      </c>
      <c r="X7" s="103">
        <f t="shared" si="8"/>
        <v>122.5</v>
      </c>
      <c r="Y7" s="103">
        <f t="shared" si="9"/>
        <v>1.5</v>
      </c>
      <c r="Z7" s="103">
        <f t="shared" si="10"/>
        <v>4.5</v>
      </c>
      <c r="AA7" s="104">
        <f t="shared" si="11"/>
        <v>6</v>
      </c>
    </row>
    <row r="8" spans="1:28" ht="20.25" customHeight="1" x14ac:dyDescent="0.35">
      <c r="A8" s="302"/>
      <c r="B8" s="304"/>
      <c r="C8" s="35" t="s">
        <v>13</v>
      </c>
      <c r="D8" s="10">
        <v>52</v>
      </c>
      <c r="E8" s="31" t="s">
        <v>17</v>
      </c>
      <c r="F8" s="49">
        <v>0.1</v>
      </c>
      <c r="G8" s="11">
        <v>1</v>
      </c>
      <c r="H8" s="72">
        <f>+F8*B4</f>
        <v>122.5</v>
      </c>
      <c r="I8" s="68">
        <v>125</v>
      </c>
      <c r="J8" s="13">
        <f t="shared" si="3"/>
        <v>2.5</v>
      </c>
      <c r="K8" s="76">
        <v>122.5</v>
      </c>
      <c r="L8" s="9">
        <f>+I8-K8</f>
        <v>2.5</v>
      </c>
      <c r="M8" s="79">
        <v>4</v>
      </c>
      <c r="N8" s="33">
        <f t="shared" si="5"/>
        <v>118.5</v>
      </c>
      <c r="O8" s="42">
        <f>+N8/B4</f>
        <v>9.6734693877551015E-2</v>
      </c>
      <c r="P8" s="19">
        <f t="shared" si="12"/>
        <v>6.5</v>
      </c>
      <c r="Q8" s="82">
        <v>0</v>
      </c>
      <c r="R8" s="9">
        <f t="shared" si="0"/>
        <v>6.5</v>
      </c>
      <c r="S8" s="9">
        <f t="shared" si="1"/>
        <v>6.5</v>
      </c>
      <c r="T8" s="9">
        <f t="shared" si="2"/>
        <v>338</v>
      </c>
      <c r="U8" s="12">
        <f t="shared" si="6"/>
        <v>5.1999999999999998E-2</v>
      </c>
      <c r="W8" s="102">
        <f t="shared" si="7"/>
        <v>125</v>
      </c>
      <c r="X8" s="103">
        <f t="shared" si="8"/>
        <v>122.5</v>
      </c>
      <c r="Y8" s="103">
        <f t="shared" si="9"/>
        <v>2.5</v>
      </c>
      <c r="Z8" s="103">
        <f t="shared" si="10"/>
        <v>4</v>
      </c>
      <c r="AA8" s="104">
        <f t="shared" si="11"/>
        <v>6.5</v>
      </c>
    </row>
    <row r="9" spans="1:28" ht="20.25" customHeight="1" x14ac:dyDescent="0.35">
      <c r="A9" s="302"/>
      <c r="B9" s="304"/>
      <c r="C9" s="35" t="s">
        <v>169</v>
      </c>
      <c r="D9" s="10">
        <v>90</v>
      </c>
      <c r="E9" s="31" t="s">
        <v>17</v>
      </c>
      <c r="F9" s="49">
        <v>0.05</v>
      </c>
      <c r="G9" s="11">
        <v>1</v>
      </c>
      <c r="H9" s="73">
        <f>+F9*B4</f>
        <v>61.25</v>
      </c>
      <c r="I9" s="68">
        <v>62</v>
      </c>
      <c r="J9" s="13">
        <f t="shared" si="3"/>
        <v>0.75</v>
      </c>
      <c r="K9" s="76">
        <f>1225*0.05</f>
        <v>61.25</v>
      </c>
      <c r="L9" s="54">
        <f>+I9-K9</f>
        <v>0.75</v>
      </c>
      <c r="M9" s="79">
        <v>2.5</v>
      </c>
      <c r="N9" s="23">
        <f t="shared" si="5"/>
        <v>58.75</v>
      </c>
      <c r="O9" s="42">
        <f>+N9/B4</f>
        <v>4.7959183673469387E-2</v>
      </c>
      <c r="P9" s="19">
        <f t="shared" si="12"/>
        <v>3.25</v>
      </c>
      <c r="Q9" s="82">
        <v>0</v>
      </c>
      <c r="R9" s="9">
        <f t="shared" si="0"/>
        <v>3.25</v>
      </c>
      <c r="S9" s="9">
        <f t="shared" si="1"/>
        <v>3.25</v>
      </c>
      <c r="T9" s="9">
        <f t="shared" si="2"/>
        <v>292.5</v>
      </c>
      <c r="U9" s="12">
        <f t="shared" si="6"/>
        <v>5.2419354838709679E-2</v>
      </c>
      <c r="W9" s="102">
        <f t="shared" si="7"/>
        <v>62</v>
      </c>
      <c r="X9" s="103">
        <f t="shared" si="8"/>
        <v>61.25</v>
      </c>
      <c r="Y9" s="103">
        <f t="shared" si="9"/>
        <v>0.75</v>
      </c>
      <c r="Z9" s="103">
        <f t="shared" si="10"/>
        <v>2.5</v>
      </c>
      <c r="AA9" s="104">
        <f t="shared" si="11"/>
        <v>3.25</v>
      </c>
    </row>
    <row r="10" spans="1:28" ht="20.25" customHeight="1" x14ac:dyDescent="0.35">
      <c r="A10" s="302"/>
      <c r="B10" s="304"/>
      <c r="C10" s="35" t="s">
        <v>14</v>
      </c>
      <c r="D10" s="10">
        <v>60</v>
      </c>
      <c r="E10" s="31" t="s">
        <v>18</v>
      </c>
      <c r="F10" s="49">
        <v>0.1</v>
      </c>
      <c r="G10" s="11">
        <v>1</v>
      </c>
      <c r="H10" s="72">
        <f>+F10*B4</f>
        <v>122.5</v>
      </c>
      <c r="I10" s="68">
        <v>124</v>
      </c>
      <c r="J10" s="13">
        <f t="shared" si="3"/>
        <v>1.5</v>
      </c>
      <c r="K10" s="76">
        <v>122.5</v>
      </c>
      <c r="L10" s="9">
        <f t="shared" si="4"/>
        <v>1.5</v>
      </c>
      <c r="M10" s="79">
        <v>4</v>
      </c>
      <c r="N10" s="33">
        <f t="shared" si="5"/>
        <v>118.5</v>
      </c>
      <c r="O10" s="42">
        <f>+N10/B4</f>
        <v>9.6734693877551015E-2</v>
      </c>
      <c r="P10" s="19">
        <f t="shared" si="12"/>
        <v>5.5</v>
      </c>
      <c r="Q10" s="82">
        <v>0</v>
      </c>
      <c r="R10" s="9">
        <f t="shared" si="0"/>
        <v>5.5</v>
      </c>
      <c r="S10" s="9">
        <f t="shared" si="1"/>
        <v>5.5</v>
      </c>
      <c r="T10" s="9">
        <f t="shared" si="2"/>
        <v>330</v>
      </c>
      <c r="U10" s="12">
        <f>+R10/I10</f>
        <v>4.4354838709677422E-2</v>
      </c>
      <c r="W10" s="115">
        <f t="shared" si="7"/>
        <v>124</v>
      </c>
      <c r="X10" s="116">
        <f t="shared" si="8"/>
        <v>122.5</v>
      </c>
      <c r="Y10" s="116">
        <f t="shared" si="9"/>
        <v>1.5</v>
      </c>
      <c r="Z10" s="116">
        <f t="shared" si="10"/>
        <v>4</v>
      </c>
      <c r="AA10" s="117">
        <f t="shared" si="11"/>
        <v>5.5</v>
      </c>
    </row>
    <row r="11" spans="1:28" ht="20.25" customHeight="1" thickBot="1" x14ac:dyDescent="0.4">
      <c r="A11" s="27"/>
      <c r="B11" s="51"/>
      <c r="C11" s="50"/>
      <c r="D11" s="15"/>
      <c r="E11" s="15"/>
      <c r="F11" s="15"/>
      <c r="G11" s="15"/>
      <c r="H11" s="74"/>
      <c r="I11" s="69"/>
      <c r="J11" s="16"/>
      <c r="K11" s="77"/>
      <c r="L11" s="15"/>
      <c r="M11" s="80"/>
      <c r="N11" s="14"/>
      <c r="O11" s="16"/>
      <c r="P11" s="20"/>
      <c r="Q11" s="83"/>
      <c r="R11" s="15"/>
      <c r="S11" s="84">
        <f>SUM(S4:S10)</f>
        <v>32.5</v>
      </c>
      <c r="T11" s="56">
        <f>SUM(T4:T10)</f>
        <v>1750.5</v>
      </c>
      <c r="U11" s="16"/>
      <c r="W11" s="118">
        <f>SUM(W4:W10)</f>
        <v>866.5</v>
      </c>
      <c r="X11" s="109">
        <f t="shared" ref="X11:AA11" si="13">SUM(X4:X10)</f>
        <v>857.5</v>
      </c>
      <c r="Y11" s="109">
        <f t="shared" si="13"/>
        <v>9</v>
      </c>
      <c r="Z11" s="110">
        <f t="shared" si="13"/>
        <v>23.5</v>
      </c>
      <c r="AA11" s="114">
        <f t="shared" si="13"/>
        <v>32.5</v>
      </c>
      <c r="AB11" s="94"/>
    </row>
    <row r="12" spans="1:28" ht="20.25" customHeight="1" x14ac:dyDescent="0.35">
      <c r="A12" s="292" t="s">
        <v>38</v>
      </c>
      <c r="B12" s="295">
        <v>1107</v>
      </c>
      <c r="C12" s="34" t="s">
        <v>31</v>
      </c>
      <c r="D12" s="4">
        <v>20</v>
      </c>
      <c r="E12" s="30" t="s">
        <v>17</v>
      </c>
      <c r="F12" s="52">
        <v>0.4</v>
      </c>
      <c r="G12" s="5">
        <v>1</v>
      </c>
      <c r="H12" s="71">
        <f>+F12*B12</f>
        <v>442.8</v>
      </c>
      <c r="I12" s="67">
        <v>465</v>
      </c>
      <c r="J12" s="64">
        <f>I12-H12</f>
        <v>22.199999999999989</v>
      </c>
      <c r="K12" s="75">
        <f>1107*0.4</f>
        <v>442.8</v>
      </c>
      <c r="L12" s="3">
        <f>+I12-K12</f>
        <v>22.199999999999989</v>
      </c>
      <c r="M12" s="78">
        <v>35</v>
      </c>
      <c r="N12" s="21">
        <f>+K12-M12</f>
        <v>407.8</v>
      </c>
      <c r="O12" s="41">
        <f>+N12/B12</f>
        <v>0.36838301716350497</v>
      </c>
      <c r="P12" s="18">
        <f>+L12+M12</f>
        <v>57.199999999999989</v>
      </c>
      <c r="Q12" s="81">
        <v>52.5</v>
      </c>
      <c r="R12" s="3">
        <f>+P12-Q12</f>
        <v>4.6999999999999886</v>
      </c>
      <c r="S12" s="3">
        <f>+R12*G12</f>
        <v>4.6999999999999886</v>
      </c>
      <c r="T12" s="3">
        <f t="shared" ref="T12:T20" si="14">+R12*D12</f>
        <v>93.999999999999773</v>
      </c>
      <c r="U12" s="6">
        <f>+R12/I12</f>
        <v>1.0107526881720405E-2</v>
      </c>
      <c r="W12" s="111">
        <f t="shared" si="7"/>
        <v>465</v>
      </c>
      <c r="X12" s="112">
        <f t="shared" si="8"/>
        <v>442.8</v>
      </c>
      <c r="Y12" s="112">
        <f t="shared" si="9"/>
        <v>22.199999999999989</v>
      </c>
      <c r="Z12" s="112">
        <f t="shared" si="10"/>
        <v>35</v>
      </c>
      <c r="AA12" s="113">
        <f t="shared" si="11"/>
        <v>4.6999999999999886</v>
      </c>
    </row>
    <row r="13" spans="1:28" ht="20.25" customHeight="1" x14ac:dyDescent="0.35">
      <c r="A13" s="293"/>
      <c r="B13" s="296"/>
      <c r="C13" s="35" t="s">
        <v>193</v>
      </c>
      <c r="D13" s="10">
        <v>65</v>
      </c>
      <c r="E13" s="31" t="s">
        <v>17</v>
      </c>
      <c r="F13" s="49">
        <v>0.1</v>
      </c>
      <c r="G13" s="11">
        <v>1</v>
      </c>
      <c r="H13" s="70">
        <f>+F13*B12</f>
        <v>110.7</v>
      </c>
      <c r="I13" s="68">
        <v>115</v>
      </c>
      <c r="J13" s="65">
        <f>+I13-H13</f>
        <v>4.2999999999999972</v>
      </c>
      <c r="K13" s="76">
        <v>110.7</v>
      </c>
      <c r="L13" s="9">
        <f t="shared" ref="L13:L20" si="15">+I13-K13</f>
        <v>4.2999999999999972</v>
      </c>
      <c r="M13" s="79">
        <v>2.5</v>
      </c>
      <c r="N13" s="23">
        <f>+K13-M13</f>
        <v>108.2</v>
      </c>
      <c r="O13" s="42">
        <f>+N13/B12</f>
        <v>9.7741644083107496E-2</v>
      </c>
      <c r="P13" s="19">
        <f>+L13+M13</f>
        <v>6.7999999999999972</v>
      </c>
      <c r="Q13" s="82">
        <v>0</v>
      </c>
      <c r="R13" s="9">
        <f t="shared" ref="R13:R20" si="16">+P13-Q13</f>
        <v>6.7999999999999972</v>
      </c>
      <c r="S13" s="9">
        <f>+R13*G13</f>
        <v>6.7999999999999972</v>
      </c>
      <c r="T13" s="9">
        <f t="shared" si="14"/>
        <v>441.99999999999983</v>
      </c>
      <c r="U13" s="12">
        <f t="shared" ref="U13:U20" si="17">+R13/I13</f>
        <v>5.9130434782608668E-2</v>
      </c>
      <c r="W13" s="102">
        <f t="shared" si="7"/>
        <v>115</v>
      </c>
      <c r="X13" s="103">
        <f t="shared" si="8"/>
        <v>110.7</v>
      </c>
      <c r="Y13" s="103">
        <f t="shared" si="9"/>
        <v>4.2999999999999972</v>
      </c>
      <c r="Z13" s="103">
        <f>+M13*G13</f>
        <v>2.5</v>
      </c>
      <c r="AA13" s="104">
        <f t="shared" si="11"/>
        <v>6.7999999999999972</v>
      </c>
    </row>
    <row r="14" spans="1:28" ht="20.25" customHeight="1" x14ac:dyDescent="0.35">
      <c r="A14" s="293"/>
      <c r="B14" s="296"/>
      <c r="C14" s="35" t="s">
        <v>194</v>
      </c>
      <c r="D14" s="10">
        <v>130</v>
      </c>
      <c r="E14" s="31" t="s">
        <v>17</v>
      </c>
      <c r="F14" s="49">
        <v>0.08</v>
      </c>
      <c r="G14" s="11">
        <v>1</v>
      </c>
      <c r="H14" s="72">
        <f>+F14*B12</f>
        <v>88.56</v>
      </c>
      <c r="I14" s="68">
        <v>93</v>
      </c>
      <c r="J14" s="13">
        <f t="shared" ref="J14:J20" si="18">I14-H14</f>
        <v>4.4399999999999977</v>
      </c>
      <c r="K14" s="76">
        <v>88.6</v>
      </c>
      <c r="L14" s="9">
        <f t="shared" si="15"/>
        <v>4.4000000000000057</v>
      </c>
      <c r="M14" s="79">
        <v>5</v>
      </c>
      <c r="N14" s="33">
        <f>+K14-M14</f>
        <v>83.6</v>
      </c>
      <c r="O14" s="42">
        <f>+N14/B12</f>
        <v>7.5519421860885269E-2</v>
      </c>
      <c r="P14" s="19">
        <f>+L14+M14</f>
        <v>9.4000000000000057</v>
      </c>
      <c r="Q14" s="82">
        <v>0</v>
      </c>
      <c r="R14" s="9">
        <f t="shared" si="16"/>
        <v>9.4000000000000057</v>
      </c>
      <c r="S14" s="9">
        <f t="shared" ref="S14:S20" si="19">+R14*G14</f>
        <v>9.4000000000000057</v>
      </c>
      <c r="T14" s="9">
        <f t="shared" si="14"/>
        <v>1222.0000000000007</v>
      </c>
      <c r="U14" s="12">
        <f t="shared" si="17"/>
        <v>0.10107526881720436</v>
      </c>
      <c r="W14" s="102">
        <f t="shared" si="7"/>
        <v>93</v>
      </c>
      <c r="X14" s="103">
        <f t="shared" si="8"/>
        <v>88.6</v>
      </c>
      <c r="Y14" s="103">
        <f t="shared" si="9"/>
        <v>4.4000000000000057</v>
      </c>
      <c r="Z14" s="103">
        <f>+M14*G14</f>
        <v>5</v>
      </c>
      <c r="AA14" s="104">
        <f t="shared" si="11"/>
        <v>9.4000000000000057</v>
      </c>
    </row>
    <row r="15" spans="1:28" ht="20.25" customHeight="1" x14ac:dyDescent="0.35">
      <c r="A15" s="293"/>
      <c r="B15" s="296"/>
      <c r="C15" s="35" t="s">
        <v>105</v>
      </c>
      <c r="D15" s="10">
        <v>55</v>
      </c>
      <c r="E15" s="31" t="s">
        <v>17</v>
      </c>
      <c r="F15" s="49">
        <v>0.1</v>
      </c>
      <c r="G15" s="11">
        <v>1</v>
      </c>
      <c r="H15" s="72">
        <f>+F15*B12</f>
        <v>110.7</v>
      </c>
      <c r="I15" s="68">
        <v>113</v>
      </c>
      <c r="J15" s="13">
        <f t="shared" si="18"/>
        <v>2.2999999999999972</v>
      </c>
      <c r="K15" s="76">
        <v>110.7</v>
      </c>
      <c r="L15" s="9">
        <f t="shared" si="15"/>
        <v>2.2999999999999972</v>
      </c>
      <c r="M15" s="79">
        <v>3.5</v>
      </c>
      <c r="N15" s="23">
        <f t="shared" ref="N15:N20" si="20">+K15-M15</f>
        <v>107.2</v>
      </c>
      <c r="O15" s="42">
        <f>+N15/B12</f>
        <v>9.6838301716350494E-2</v>
      </c>
      <c r="P15" s="19">
        <f t="shared" ref="P15:P20" si="21">+L15+M15</f>
        <v>5.7999999999999972</v>
      </c>
      <c r="Q15" s="82">
        <v>0</v>
      </c>
      <c r="R15" s="9">
        <f t="shared" si="16"/>
        <v>5.7999999999999972</v>
      </c>
      <c r="S15" s="9">
        <f t="shared" si="19"/>
        <v>5.7999999999999972</v>
      </c>
      <c r="T15" s="9">
        <f t="shared" si="14"/>
        <v>318.99999999999983</v>
      </c>
      <c r="U15" s="12">
        <f t="shared" si="17"/>
        <v>5.1327433628318556E-2</v>
      </c>
      <c r="W15" s="102">
        <f t="shared" si="7"/>
        <v>113</v>
      </c>
      <c r="X15" s="103">
        <f t="shared" si="8"/>
        <v>110.7</v>
      </c>
      <c r="Y15" s="103">
        <f t="shared" si="9"/>
        <v>2.2999999999999972</v>
      </c>
      <c r="Z15" s="103">
        <f t="shared" si="10"/>
        <v>3.5</v>
      </c>
      <c r="AA15" s="104">
        <f t="shared" si="11"/>
        <v>5.7999999999999972</v>
      </c>
    </row>
    <row r="16" spans="1:28" ht="20.25" customHeight="1" x14ac:dyDescent="0.35">
      <c r="A16" s="293"/>
      <c r="B16" s="296"/>
      <c r="C16" s="35" t="s">
        <v>32</v>
      </c>
      <c r="D16" s="10">
        <v>48</v>
      </c>
      <c r="E16" s="31" t="s">
        <v>18</v>
      </c>
      <c r="F16" s="49">
        <v>0.08</v>
      </c>
      <c r="G16" s="11">
        <v>1</v>
      </c>
      <c r="H16" s="72">
        <f>+F16*B12</f>
        <v>88.56</v>
      </c>
      <c r="I16" s="68">
        <v>92</v>
      </c>
      <c r="J16" s="13">
        <f t="shared" si="18"/>
        <v>3.4399999999999977</v>
      </c>
      <c r="K16" s="76">
        <v>88.6</v>
      </c>
      <c r="L16" s="9">
        <f t="shared" si="15"/>
        <v>3.4000000000000057</v>
      </c>
      <c r="M16" s="79">
        <v>4</v>
      </c>
      <c r="N16" s="33">
        <f t="shared" si="20"/>
        <v>84.6</v>
      </c>
      <c r="O16" s="42">
        <f>+N16/B12</f>
        <v>7.642276422764227E-2</v>
      </c>
      <c r="P16" s="19">
        <f t="shared" si="21"/>
        <v>7.4000000000000057</v>
      </c>
      <c r="Q16" s="82">
        <v>0</v>
      </c>
      <c r="R16" s="9">
        <f t="shared" si="16"/>
        <v>7.4000000000000057</v>
      </c>
      <c r="S16" s="9">
        <f t="shared" si="19"/>
        <v>7.4000000000000057</v>
      </c>
      <c r="T16" s="9">
        <f t="shared" si="14"/>
        <v>355.20000000000027</v>
      </c>
      <c r="U16" s="12">
        <f t="shared" si="17"/>
        <v>8.0434782608695715E-2</v>
      </c>
      <c r="W16" s="102">
        <f t="shared" si="7"/>
        <v>92</v>
      </c>
      <c r="X16" s="103">
        <f t="shared" si="8"/>
        <v>88.6</v>
      </c>
      <c r="Y16" s="103">
        <f t="shared" si="9"/>
        <v>3.4000000000000057</v>
      </c>
      <c r="Z16" s="103">
        <f t="shared" si="10"/>
        <v>4</v>
      </c>
      <c r="AA16" s="104">
        <f t="shared" si="11"/>
        <v>7.4000000000000057</v>
      </c>
    </row>
    <row r="17" spans="1:28" ht="20.25" customHeight="1" x14ac:dyDescent="0.35">
      <c r="A17" s="293"/>
      <c r="B17" s="296"/>
      <c r="C17" s="35" t="s">
        <v>155</v>
      </c>
      <c r="D17" s="10">
        <v>35</v>
      </c>
      <c r="E17" s="31" t="s">
        <v>18</v>
      </c>
      <c r="F17" s="49">
        <v>0.06</v>
      </c>
      <c r="G17" s="11">
        <v>1</v>
      </c>
      <c r="H17" s="73">
        <f>+F17*B12</f>
        <v>66.42</v>
      </c>
      <c r="I17" s="68">
        <v>94</v>
      </c>
      <c r="J17" s="66">
        <f t="shared" si="18"/>
        <v>27.58</v>
      </c>
      <c r="K17" s="76">
        <v>88.6</v>
      </c>
      <c r="L17" s="9">
        <f t="shared" si="15"/>
        <v>5.4000000000000057</v>
      </c>
      <c r="M17" s="79">
        <v>3.5</v>
      </c>
      <c r="N17" s="23">
        <f t="shared" si="20"/>
        <v>85.1</v>
      </c>
      <c r="O17" s="42">
        <f>+N17/B12</f>
        <v>7.6874435411020778E-2</v>
      </c>
      <c r="P17" s="19">
        <f t="shared" si="21"/>
        <v>8.9000000000000057</v>
      </c>
      <c r="Q17" s="82">
        <v>0</v>
      </c>
      <c r="R17" s="9">
        <f t="shared" si="16"/>
        <v>8.9000000000000057</v>
      </c>
      <c r="S17" s="9">
        <f t="shared" si="19"/>
        <v>8.9000000000000057</v>
      </c>
      <c r="T17" s="9">
        <f t="shared" si="14"/>
        <v>311.50000000000023</v>
      </c>
      <c r="U17" s="12">
        <f t="shared" si="17"/>
        <v>9.4680851063829854E-2</v>
      </c>
      <c r="W17" s="102">
        <f t="shared" si="7"/>
        <v>94</v>
      </c>
      <c r="X17" s="103">
        <f t="shared" si="8"/>
        <v>88.6</v>
      </c>
      <c r="Y17" s="103">
        <f t="shared" si="9"/>
        <v>5.4000000000000057</v>
      </c>
      <c r="Z17" s="103">
        <f t="shared" si="10"/>
        <v>3.5</v>
      </c>
      <c r="AA17" s="104">
        <f t="shared" si="11"/>
        <v>8.9000000000000057</v>
      </c>
    </row>
    <row r="18" spans="1:28" ht="20.25" customHeight="1" x14ac:dyDescent="0.35">
      <c r="A18" s="293"/>
      <c r="B18" s="296"/>
      <c r="C18" s="35" t="s">
        <v>33</v>
      </c>
      <c r="D18" s="10">
        <v>50</v>
      </c>
      <c r="E18" s="31" t="s">
        <v>17</v>
      </c>
      <c r="F18" s="49">
        <v>0.03</v>
      </c>
      <c r="G18" s="11">
        <v>1</v>
      </c>
      <c r="H18" s="72">
        <f>+F18*B12</f>
        <v>33.21</v>
      </c>
      <c r="I18" s="68">
        <v>35</v>
      </c>
      <c r="J18" s="13">
        <f t="shared" si="18"/>
        <v>1.7899999999999991</v>
      </c>
      <c r="K18" s="76">
        <v>33</v>
      </c>
      <c r="L18" s="9">
        <f t="shared" si="15"/>
        <v>2</v>
      </c>
      <c r="M18" s="79">
        <v>3</v>
      </c>
      <c r="N18" s="23">
        <f t="shared" si="20"/>
        <v>30</v>
      </c>
      <c r="O18" s="42">
        <f>+N18/B12</f>
        <v>2.7100271002710029E-2</v>
      </c>
      <c r="P18" s="19">
        <f t="shared" si="21"/>
        <v>5</v>
      </c>
      <c r="Q18" s="82">
        <v>0</v>
      </c>
      <c r="R18" s="9">
        <f t="shared" si="16"/>
        <v>5</v>
      </c>
      <c r="S18" s="9">
        <f t="shared" si="19"/>
        <v>5</v>
      </c>
      <c r="T18" s="9">
        <f t="shared" si="14"/>
        <v>250</v>
      </c>
      <c r="U18" s="12">
        <f t="shared" si="17"/>
        <v>0.14285714285714285</v>
      </c>
      <c r="W18" s="102">
        <f t="shared" si="7"/>
        <v>35</v>
      </c>
      <c r="X18" s="103">
        <f t="shared" si="8"/>
        <v>33</v>
      </c>
      <c r="Y18" s="103">
        <f t="shared" si="9"/>
        <v>2</v>
      </c>
      <c r="Z18" s="103">
        <f t="shared" si="10"/>
        <v>3</v>
      </c>
      <c r="AA18" s="104">
        <f t="shared" si="11"/>
        <v>5</v>
      </c>
    </row>
    <row r="19" spans="1:28" ht="20.25" customHeight="1" x14ac:dyDescent="0.35">
      <c r="A19" s="293"/>
      <c r="B19" s="296"/>
      <c r="C19" s="35" t="s">
        <v>34</v>
      </c>
      <c r="D19" s="31">
        <v>70</v>
      </c>
      <c r="E19" s="31" t="s">
        <v>17</v>
      </c>
      <c r="F19" s="11">
        <v>0.1</v>
      </c>
      <c r="G19" s="11">
        <v>1</v>
      </c>
      <c r="H19" s="72">
        <f>+F19*B12</f>
        <v>110.7</v>
      </c>
      <c r="I19" s="68">
        <v>110.7</v>
      </c>
      <c r="J19" s="13">
        <f t="shared" si="18"/>
        <v>0</v>
      </c>
      <c r="K19" s="76">
        <v>110.7</v>
      </c>
      <c r="L19" s="9">
        <f t="shared" si="15"/>
        <v>0</v>
      </c>
      <c r="M19" s="79"/>
      <c r="N19" s="23">
        <f t="shared" si="20"/>
        <v>110.7</v>
      </c>
      <c r="O19" s="42">
        <f>+N19/B12</f>
        <v>0.1</v>
      </c>
      <c r="P19" s="19">
        <f t="shared" si="21"/>
        <v>0</v>
      </c>
      <c r="Q19" s="82">
        <v>0</v>
      </c>
      <c r="R19" s="9">
        <f t="shared" si="16"/>
        <v>0</v>
      </c>
      <c r="S19" s="9">
        <f t="shared" si="19"/>
        <v>0</v>
      </c>
      <c r="T19" s="9">
        <f t="shared" si="14"/>
        <v>0</v>
      </c>
      <c r="U19" s="12">
        <f t="shared" si="17"/>
        <v>0</v>
      </c>
      <c r="W19" s="102">
        <f t="shared" si="7"/>
        <v>110.7</v>
      </c>
      <c r="X19" s="103">
        <f t="shared" si="8"/>
        <v>110.7</v>
      </c>
      <c r="Y19" s="103">
        <f t="shared" si="9"/>
        <v>0</v>
      </c>
      <c r="Z19" s="103">
        <f t="shared" si="10"/>
        <v>0</v>
      </c>
      <c r="AA19" s="104">
        <f t="shared" si="11"/>
        <v>0</v>
      </c>
    </row>
    <row r="20" spans="1:28" ht="20.25" customHeight="1" x14ac:dyDescent="0.35">
      <c r="A20" s="294"/>
      <c r="B20" s="297"/>
      <c r="C20" s="40" t="s">
        <v>35</v>
      </c>
      <c r="D20" s="44">
        <v>2</v>
      </c>
      <c r="E20" s="44" t="s">
        <v>16</v>
      </c>
      <c r="F20" s="53">
        <v>2</v>
      </c>
      <c r="G20" s="45">
        <v>0.04</v>
      </c>
      <c r="H20" s="72">
        <f>+F20*B12</f>
        <v>2214</v>
      </c>
      <c r="I20" s="68">
        <v>2230</v>
      </c>
      <c r="J20" s="13">
        <f t="shared" si="18"/>
        <v>16</v>
      </c>
      <c r="K20" s="76">
        <f>1107*2</f>
        <v>2214</v>
      </c>
      <c r="L20" s="9">
        <f t="shared" si="15"/>
        <v>16</v>
      </c>
      <c r="M20" s="79">
        <v>25</v>
      </c>
      <c r="N20" s="33">
        <f t="shared" si="20"/>
        <v>2189</v>
      </c>
      <c r="O20" s="42">
        <f>+N20/B12</f>
        <v>1.977416440831075</v>
      </c>
      <c r="P20" s="19">
        <f t="shared" si="21"/>
        <v>41</v>
      </c>
      <c r="Q20" s="82">
        <v>0</v>
      </c>
      <c r="R20" s="9">
        <f t="shared" si="16"/>
        <v>41</v>
      </c>
      <c r="S20" s="9">
        <f t="shared" si="19"/>
        <v>1.6400000000000001</v>
      </c>
      <c r="T20" s="9">
        <f t="shared" si="14"/>
        <v>82</v>
      </c>
      <c r="U20" s="12">
        <f t="shared" si="17"/>
        <v>1.8385650224215247E-2</v>
      </c>
      <c r="W20" s="115">
        <f t="shared" si="7"/>
        <v>89.2</v>
      </c>
      <c r="X20" s="116">
        <f t="shared" si="8"/>
        <v>88.56</v>
      </c>
      <c r="Y20" s="116">
        <f t="shared" si="9"/>
        <v>0.64</v>
      </c>
      <c r="Z20" s="116">
        <f t="shared" si="10"/>
        <v>1</v>
      </c>
      <c r="AA20" s="117">
        <f t="shared" si="11"/>
        <v>1.6400000000000001</v>
      </c>
    </row>
    <row r="21" spans="1:28" ht="20.25" customHeight="1" thickBot="1" x14ac:dyDescent="0.4">
      <c r="A21" s="27"/>
      <c r="B21" s="28"/>
      <c r="C21" s="29"/>
      <c r="D21" s="15"/>
      <c r="E21" s="15"/>
      <c r="F21" s="15"/>
      <c r="G21" s="15"/>
      <c r="H21" s="74"/>
      <c r="I21" s="69"/>
      <c r="J21" s="16"/>
      <c r="K21" s="77"/>
      <c r="L21" s="15"/>
      <c r="M21" s="80"/>
      <c r="N21" s="14"/>
      <c r="O21" s="16"/>
      <c r="P21" s="20"/>
      <c r="Q21" s="83"/>
      <c r="R21" s="15"/>
      <c r="S21" s="56">
        <f>SUM(S12:S20)</f>
        <v>49.64</v>
      </c>
      <c r="T21" s="56">
        <f>SUM(T12:T20)</f>
        <v>3075.7000000000007</v>
      </c>
      <c r="U21" s="16"/>
      <c r="W21" s="118">
        <f>SUM(W12:W20)</f>
        <v>1206.9000000000001</v>
      </c>
      <c r="X21" s="110">
        <f t="shared" ref="X21:AA21" si="22">SUM(X12:X20)</f>
        <v>1162.26</v>
      </c>
      <c r="Y21" s="114">
        <f t="shared" si="22"/>
        <v>44.64</v>
      </c>
      <c r="Z21" s="109">
        <f t="shared" si="22"/>
        <v>57.5</v>
      </c>
      <c r="AA21" s="109">
        <f t="shared" si="22"/>
        <v>49.64</v>
      </c>
      <c r="AB21" s="94"/>
    </row>
    <row r="22" spans="1:28" ht="20.25" customHeight="1" x14ac:dyDescent="0.35">
      <c r="A22" s="292" t="s">
        <v>39</v>
      </c>
      <c r="B22" s="295">
        <v>905</v>
      </c>
      <c r="C22" s="34" t="s">
        <v>153</v>
      </c>
      <c r="D22" s="4">
        <v>2.5</v>
      </c>
      <c r="E22" s="4" t="s">
        <v>58</v>
      </c>
      <c r="F22" s="135">
        <v>6</v>
      </c>
      <c r="G22" s="5">
        <v>0.05</v>
      </c>
      <c r="H22" s="71">
        <f>+F22*B22</f>
        <v>5430</v>
      </c>
      <c r="I22" s="67">
        <v>5450</v>
      </c>
      <c r="J22" s="22">
        <f>I22-H22</f>
        <v>20</v>
      </c>
      <c r="K22" s="75">
        <v>5430</v>
      </c>
      <c r="L22" s="3">
        <f>+I22-K22</f>
        <v>20</v>
      </c>
      <c r="M22" s="78">
        <v>80</v>
      </c>
      <c r="N22" s="21">
        <f>+K22-M22</f>
        <v>5350</v>
      </c>
      <c r="O22" s="41">
        <f>+N22/B22</f>
        <v>5.9116022099447516</v>
      </c>
      <c r="P22" s="18">
        <f>+L22+M22</f>
        <v>100</v>
      </c>
      <c r="Q22" s="81">
        <v>0</v>
      </c>
      <c r="R22" s="3">
        <f>+P22-Q22</f>
        <v>100</v>
      </c>
      <c r="S22" s="3">
        <f>+R22*G22</f>
        <v>5</v>
      </c>
      <c r="T22" s="3">
        <f>+R22*D22</f>
        <v>250</v>
      </c>
      <c r="U22" s="6">
        <f>+R22/I22</f>
        <v>1.834862385321101E-2</v>
      </c>
      <c r="W22" s="111">
        <f t="shared" si="7"/>
        <v>272.5</v>
      </c>
      <c r="X22" s="112">
        <f t="shared" si="8"/>
        <v>271.5</v>
      </c>
      <c r="Y22" s="112">
        <f t="shared" si="9"/>
        <v>1</v>
      </c>
      <c r="Z22" s="112">
        <f>+M22*G22</f>
        <v>4</v>
      </c>
      <c r="AA22" s="113">
        <f t="shared" si="11"/>
        <v>5</v>
      </c>
    </row>
    <row r="23" spans="1:28" ht="20.25" customHeight="1" x14ac:dyDescent="0.35">
      <c r="A23" s="293"/>
      <c r="B23" s="296"/>
      <c r="C23" s="35" t="s">
        <v>56</v>
      </c>
      <c r="D23" s="10">
        <v>45</v>
      </c>
      <c r="E23" s="10" t="s">
        <v>186</v>
      </c>
      <c r="F23" s="49">
        <v>0.1</v>
      </c>
      <c r="G23" s="11">
        <v>0.01</v>
      </c>
      <c r="H23" s="70">
        <f>+F23*B22</f>
        <v>90.5</v>
      </c>
      <c r="I23" s="68">
        <v>90.5</v>
      </c>
      <c r="J23" s="13">
        <f>I23-H23</f>
        <v>0</v>
      </c>
      <c r="K23" s="76">
        <v>90.5</v>
      </c>
      <c r="L23" s="9">
        <f t="shared" ref="L23:L25" si="23">+I23-K23</f>
        <v>0</v>
      </c>
      <c r="M23" s="79">
        <v>6</v>
      </c>
      <c r="N23" s="23">
        <f>+K23-M23</f>
        <v>84.5</v>
      </c>
      <c r="O23" s="42">
        <f>+N23/B22</f>
        <v>9.3370165745856354E-2</v>
      </c>
      <c r="P23" s="19">
        <f>+L23+M23</f>
        <v>6</v>
      </c>
      <c r="Q23" s="82">
        <v>0</v>
      </c>
      <c r="R23" s="9">
        <f t="shared" ref="R23:R25" si="24">+P23-Q23</f>
        <v>6</v>
      </c>
      <c r="S23" s="9">
        <f>+R23*G23</f>
        <v>0.06</v>
      </c>
      <c r="T23" s="9">
        <f>+R23*D23</f>
        <v>270</v>
      </c>
      <c r="U23" s="12">
        <f t="shared" ref="U23:U25" si="25">+R23/I23</f>
        <v>6.6298342541436461E-2</v>
      </c>
      <c r="W23" s="102">
        <f t="shared" si="7"/>
        <v>0.90500000000000003</v>
      </c>
      <c r="X23" s="103">
        <f t="shared" si="8"/>
        <v>0.90500000000000003</v>
      </c>
      <c r="Y23" s="103">
        <f t="shared" si="9"/>
        <v>0</v>
      </c>
      <c r="Z23" s="103">
        <f>+M23*G23</f>
        <v>0.06</v>
      </c>
      <c r="AA23" s="104">
        <f t="shared" si="11"/>
        <v>0.06</v>
      </c>
    </row>
    <row r="24" spans="1:28" ht="20.25" customHeight="1" x14ac:dyDescent="0.35">
      <c r="A24" s="293"/>
      <c r="B24" s="296"/>
      <c r="C24" s="35" t="s">
        <v>195</v>
      </c>
      <c r="D24" s="10">
        <v>6</v>
      </c>
      <c r="E24" s="10" t="s">
        <v>16</v>
      </c>
      <c r="F24" s="126">
        <v>1</v>
      </c>
      <c r="G24" s="11">
        <v>0.05</v>
      </c>
      <c r="H24" s="72">
        <f>+F24*B22</f>
        <v>905</v>
      </c>
      <c r="I24" s="68">
        <v>820</v>
      </c>
      <c r="J24" s="13">
        <f>I24-H24</f>
        <v>-85</v>
      </c>
      <c r="K24" s="76">
        <f>905-85</f>
        <v>820</v>
      </c>
      <c r="L24" s="9">
        <f t="shared" si="23"/>
        <v>0</v>
      </c>
      <c r="M24" s="79">
        <v>0</v>
      </c>
      <c r="N24" s="33">
        <f t="shared" ref="N24:N25" si="26">+K24-M24</f>
        <v>820</v>
      </c>
      <c r="O24" s="42">
        <f>+N24/B22</f>
        <v>0.90607734806629836</v>
      </c>
      <c r="P24" s="19">
        <f>+L24+M24</f>
        <v>0</v>
      </c>
      <c r="Q24" s="82">
        <v>0</v>
      </c>
      <c r="R24" s="9">
        <f t="shared" si="24"/>
        <v>0</v>
      </c>
      <c r="S24" s="9">
        <f>+R24*G24</f>
        <v>0</v>
      </c>
      <c r="T24" s="9">
        <f>+R24*D24</f>
        <v>0</v>
      </c>
      <c r="U24" s="12">
        <f t="shared" si="25"/>
        <v>0</v>
      </c>
      <c r="W24" s="102">
        <f t="shared" si="7"/>
        <v>41</v>
      </c>
      <c r="X24" s="103">
        <f t="shared" si="8"/>
        <v>41</v>
      </c>
      <c r="Y24" s="103">
        <f t="shared" si="9"/>
        <v>0</v>
      </c>
      <c r="Z24" s="103">
        <f t="shared" si="10"/>
        <v>0</v>
      </c>
      <c r="AA24" s="104">
        <f t="shared" si="11"/>
        <v>0</v>
      </c>
    </row>
    <row r="25" spans="1:28" ht="20.25" customHeight="1" x14ac:dyDescent="0.35">
      <c r="A25" s="293"/>
      <c r="B25" s="296"/>
      <c r="C25" s="35" t="s">
        <v>14</v>
      </c>
      <c r="D25" s="10">
        <v>60</v>
      </c>
      <c r="E25" s="10" t="s">
        <v>18</v>
      </c>
      <c r="F25" s="49">
        <v>0.1</v>
      </c>
      <c r="G25" s="11">
        <v>1</v>
      </c>
      <c r="H25" s="72">
        <f>+F25*B22</f>
        <v>90.5</v>
      </c>
      <c r="I25" s="68">
        <v>92</v>
      </c>
      <c r="J25" s="13">
        <f>I25-H25</f>
        <v>1.5</v>
      </c>
      <c r="K25" s="76">
        <v>90.5</v>
      </c>
      <c r="L25" s="9">
        <f t="shared" si="23"/>
        <v>1.5</v>
      </c>
      <c r="M25" s="79">
        <v>4</v>
      </c>
      <c r="N25" s="23">
        <f t="shared" si="26"/>
        <v>86.5</v>
      </c>
      <c r="O25" s="42">
        <f>+N25/B22</f>
        <v>9.5580110497237566E-2</v>
      </c>
      <c r="P25" s="19">
        <f t="shared" ref="P25" si="27">+L25+M25</f>
        <v>5.5</v>
      </c>
      <c r="Q25" s="82">
        <v>0</v>
      </c>
      <c r="R25" s="9">
        <f t="shared" si="24"/>
        <v>5.5</v>
      </c>
      <c r="S25" s="9">
        <f>+R25*G25</f>
        <v>5.5</v>
      </c>
      <c r="T25" s="9">
        <f>+R25*D25</f>
        <v>330</v>
      </c>
      <c r="U25" s="12">
        <f t="shared" si="25"/>
        <v>5.9782608695652176E-2</v>
      </c>
      <c r="W25" s="105">
        <f t="shared" si="7"/>
        <v>92</v>
      </c>
      <c r="X25" s="106">
        <f t="shared" si="8"/>
        <v>90.5</v>
      </c>
      <c r="Y25" s="106">
        <f t="shared" si="9"/>
        <v>1.5</v>
      </c>
      <c r="Z25" s="106">
        <f t="shared" si="10"/>
        <v>4</v>
      </c>
      <c r="AA25" s="107">
        <f t="shared" si="11"/>
        <v>5.5</v>
      </c>
    </row>
    <row r="26" spans="1:28" ht="21.75" customHeight="1" thickBot="1" x14ac:dyDescent="0.4">
      <c r="A26" s="27"/>
      <c r="B26" s="55"/>
      <c r="C26" s="29"/>
      <c r="D26" s="15"/>
      <c r="E26" s="15"/>
      <c r="F26" s="15"/>
      <c r="G26" s="15"/>
      <c r="H26" s="74"/>
      <c r="I26" s="69"/>
      <c r="J26" s="16"/>
      <c r="K26" s="77"/>
      <c r="L26" s="15"/>
      <c r="M26" s="80"/>
      <c r="N26" s="14"/>
      <c r="O26" s="16"/>
      <c r="P26" s="20"/>
      <c r="Q26" s="83"/>
      <c r="R26" s="15"/>
      <c r="S26" s="56">
        <f>SUM(S22:S25)</f>
        <v>10.559999999999999</v>
      </c>
      <c r="T26" s="56">
        <f>SUM(T22:T25)</f>
        <v>850</v>
      </c>
      <c r="U26" s="16"/>
      <c r="W26" s="123">
        <f>SUM(W22:W25)</f>
        <v>406.40499999999997</v>
      </c>
      <c r="X26" s="124">
        <f t="shared" ref="X26:AA26" si="28">SUM(X22:X25)</f>
        <v>403.90499999999997</v>
      </c>
      <c r="Y26" s="124">
        <f t="shared" si="28"/>
        <v>2.5</v>
      </c>
      <c r="Z26" s="124">
        <f t="shared" si="28"/>
        <v>8.0599999999999987</v>
      </c>
      <c r="AA26" s="125">
        <f t="shared" si="28"/>
        <v>10.559999999999999</v>
      </c>
    </row>
    <row r="27" spans="1:28" ht="20.25" customHeight="1" x14ac:dyDescent="0.35">
      <c r="A27" s="292" t="s">
        <v>40</v>
      </c>
      <c r="B27" s="295">
        <v>492</v>
      </c>
      <c r="C27" s="34" t="s">
        <v>31</v>
      </c>
      <c r="D27" s="4">
        <v>20</v>
      </c>
      <c r="E27" s="30" t="s">
        <v>17</v>
      </c>
      <c r="F27" s="52">
        <v>0.35</v>
      </c>
      <c r="G27" s="5">
        <v>1</v>
      </c>
      <c r="H27" s="71">
        <f>+F27*B27</f>
        <v>172.2</v>
      </c>
      <c r="I27" s="67">
        <v>197</v>
      </c>
      <c r="J27" s="22">
        <f t="shared" ref="J27:J35" si="29">I27-H27</f>
        <v>24.800000000000011</v>
      </c>
      <c r="K27" s="75">
        <f>492*0.4</f>
        <v>196.8</v>
      </c>
      <c r="L27" s="3">
        <f>+I27-K27</f>
        <v>0.19999999999998863</v>
      </c>
      <c r="M27" s="78">
        <v>10</v>
      </c>
      <c r="N27" s="21">
        <f>+K27-M27</f>
        <v>186.8</v>
      </c>
      <c r="O27" s="41">
        <f>+N27/B27</f>
        <v>0.3796747967479675</v>
      </c>
      <c r="P27" s="18">
        <f>+L27+M27</f>
        <v>10.199999999999989</v>
      </c>
      <c r="Q27" s="81">
        <v>0</v>
      </c>
      <c r="R27" s="3">
        <f>+P27-Q27</f>
        <v>10.199999999999989</v>
      </c>
      <c r="S27" s="3">
        <f t="shared" ref="S27:S35" si="30">+R27*G27</f>
        <v>10.199999999999989</v>
      </c>
      <c r="T27" s="3">
        <f t="shared" ref="T27:T35" si="31">+R27*D27</f>
        <v>203.99999999999977</v>
      </c>
      <c r="U27" s="6">
        <f>+R27/I27</f>
        <v>5.1776649746192838E-2</v>
      </c>
      <c r="W27" s="111">
        <f t="shared" si="7"/>
        <v>197</v>
      </c>
      <c r="X27" s="112">
        <f t="shared" si="8"/>
        <v>196.8</v>
      </c>
      <c r="Y27" s="112">
        <f t="shared" si="9"/>
        <v>0.19999999999998863</v>
      </c>
      <c r="Z27" s="112">
        <f t="shared" si="10"/>
        <v>10</v>
      </c>
      <c r="AA27" s="113">
        <f t="shared" si="11"/>
        <v>10.199999999999989</v>
      </c>
    </row>
    <row r="28" spans="1:28" ht="20.25" customHeight="1" x14ac:dyDescent="0.35">
      <c r="A28" s="293"/>
      <c r="B28" s="296"/>
      <c r="C28" s="35" t="s">
        <v>197</v>
      </c>
      <c r="D28" s="10">
        <v>65</v>
      </c>
      <c r="E28" s="31" t="s">
        <v>17</v>
      </c>
      <c r="F28" s="49">
        <v>0.1</v>
      </c>
      <c r="G28" s="11">
        <v>1</v>
      </c>
      <c r="H28" s="70">
        <f>+F28*B27</f>
        <v>49.2</v>
      </c>
      <c r="I28" s="68">
        <v>51</v>
      </c>
      <c r="J28" s="13">
        <f t="shared" si="29"/>
        <v>1.7999999999999972</v>
      </c>
      <c r="K28" s="76">
        <v>49.2</v>
      </c>
      <c r="L28" s="9">
        <f t="shared" ref="L28:L35" si="32">+I28-K28</f>
        <v>1.7999999999999972</v>
      </c>
      <c r="M28" s="79">
        <v>4</v>
      </c>
      <c r="N28" s="23">
        <f t="shared" ref="N28:N35" si="33">+K28-M28</f>
        <v>45.2</v>
      </c>
      <c r="O28" s="42">
        <f>+N28/B27</f>
        <v>9.1869918699186995E-2</v>
      </c>
      <c r="P28" s="19">
        <f>+L28+M28</f>
        <v>5.7999999999999972</v>
      </c>
      <c r="Q28" s="82">
        <v>0</v>
      </c>
      <c r="R28" s="9">
        <f t="shared" ref="R28:R35" si="34">+P28-Q28</f>
        <v>5.7999999999999972</v>
      </c>
      <c r="S28" s="9">
        <f t="shared" si="30"/>
        <v>5.7999999999999972</v>
      </c>
      <c r="T28" s="9">
        <f t="shared" si="31"/>
        <v>376.99999999999983</v>
      </c>
      <c r="U28" s="12">
        <f t="shared" ref="U28:U35" si="35">+R28/I28</f>
        <v>0.11372549019607837</v>
      </c>
      <c r="W28" s="102">
        <f t="shared" si="7"/>
        <v>51</v>
      </c>
      <c r="X28" s="103">
        <f t="shared" si="8"/>
        <v>49.2</v>
      </c>
      <c r="Y28" s="103">
        <f t="shared" si="9"/>
        <v>1.7999999999999972</v>
      </c>
      <c r="Z28" s="103">
        <f t="shared" si="10"/>
        <v>4</v>
      </c>
      <c r="AA28" s="104">
        <f t="shared" si="11"/>
        <v>5.7999999999999972</v>
      </c>
    </row>
    <row r="29" spans="1:28" ht="20.25" customHeight="1" x14ac:dyDescent="0.35">
      <c r="A29" s="293"/>
      <c r="B29" s="296"/>
      <c r="C29" s="35" t="s">
        <v>69</v>
      </c>
      <c r="D29" s="10">
        <v>130</v>
      </c>
      <c r="E29" s="31" t="s">
        <v>17</v>
      </c>
      <c r="F29" s="49">
        <v>0.05</v>
      </c>
      <c r="G29" s="11">
        <v>1</v>
      </c>
      <c r="H29" s="72">
        <f>+F29*B27</f>
        <v>24.6</v>
      </c>
      <c r="I29" s="68">
        <v>25</v>
      </c>
      <c r="J29" s="13">
        <f t="shared" si="29"/>
        <v>0.39999999999999858</v>
      </c>
      <c r="K29" s="76">
        <v>24.6</v>
      </c>
      <c r="L29" s="9">
        <f t="shared" si="32"/>
        <v>0.39999999999999858</v>
      </c>
      <c r="M29" s="79">
        <v>3</v>
      </c>
      <c r="N29" s="33">
        <f t="shared" si="33"/>
        <v>21.6</v>
      </c>
      <c r="O29" s="42">
        <f>+N29/B27</f>
        <v>4.3902439024390248E-2</v>
      </c>
      <c r="P29" s="19">
        <f>+L29+M29</f>
        <v>3.3999999999999986</v>
      </c>
      <c r="Q29" s="82">
        <v>0</v>
      </c>
      <c r="R29" s="9">
        <f t="shared" si="34"/>
        <v>3.3999999999999986</v>
      </c>
      <c r="S29" s="9">
        <f t="shared" si="30"/>
        <v>3.3999999999999986</v>
      </c>
      <c r="T29" s="9">
        <f t="shared" si="31"/>
        <v>441.99999999999983</v>
      </c>
      <c r="U29" s="12">
        <f t="shared" si="35"/>
        <v>0.13599999999999995</v>
      </c>
      <c r="W29" s="102">
        <f t="shared" si="7"/>
        <v>25</v>
      </c>
      <c r="X29" s="103">
        <f t="shared" si="8"/>
        <v>24.6</v>
      </c>
      <c r="Y29" s="103">
        <f t="shared" si="9"/>
        <v>0.39999999999999858</v>
      </c>
      <c r="Z29" s="103">
        <f t="shared" si="10"/>
        <v>3</v>
      </c>
      <c r="AA29" s="104">
        <f t="shared" si="11"/>
        <v>3.3999999999999986</v>
      </c>
    </row>
    <row r="30" spans="1:28" ht="20.25" customHeight="1" x14ac:dyDescent="0.35">
      <c r="A30" s="293"/>
      <c r="B30" s="296"/>
      <c r="C30" s="35" t="s">
        <v>85</v>
      </c>
      <c r="D30" s="10">
        <v>55</v>
      </c>
      <c r="E30" s="31" t="s">
        <v>17</v>
      </c>
      <c r="F30" s="49">
        <v>0.1</v>
      </c>
      <c r="G30" s="11">
        <v>1</v>
      </c>
      <c r="H30" s="72">
        <f>+F30*B27</f>
        <v>49.2</v>
      </c>
      <c r="I30" s="68">
        <v>51</v>
      </c>
      <c r="J30" s="13">
        <f t="shared" si="29"/>
        <v>1.7999999999999972</v>
      </c>
      <c r="K30" s="76">
        <v>49.2</v>
      </c>
      <c r="L30" s="9">
        <f t="shared" si="32"/>
        <v>1.7999999999999972</v>
      </c>
      <c r="M30" s="79">
        <v>2</v>
      </c>
      <c r="N30" s="23">
        <f t="shared" si="33"/>
        <v>47.2</v>
      </c>
      <c r="O30" s="42">
        <f>+N30/B27</f>
        <v>9.5934959349593507E-2</v>
      </c>
      <c r="P30" s="19">
        <f t="shared" ref="P30:P35" si="36">+L30+M30</f>
        <v>3.7999999999999972</v>
      </c>
      <c r="Q30" s="82">
        <v>0</v>
      </c>
      <c r="R30" s="9">
        <f t="shared" si="34"/>
        <v>3.7999999999999972</v>
      </c>
      <c r="S30" s="9">
        <f t="shared" si="30"/>
        <v>3.7999999999999972</v>
      </c>
      <c r="T30" s="9">
        <f t="shared" si="31"/>
        <v>208.99999999999983</v>
      </c>
      <c r="U30" s="12">
        <f t="shared" si="35"/>
        <v>7.4509803921568571E-2</v>
      </c>
      <c r="W30" s="102">
        <f t="shared" si="7"/>
        <v>51</v>
      </c>
      <c r="X30" s="103">
        <f t="shared" si="8"/>
        <v>49.2</v>
      </c>
      <c r="Y30" s="103">
        <f t="shared" si="9"/>
        <v>1.7999999999999972</v>
      </c>
      <c r="Z30" s="103">
        <f t="shared" si="10"/>
        <v>2</v>
      </c>
      <c r="AA30" s="104">
        <f t="shared" si="11"/>
        <v>3.7999999999999972</v>
      </c>
    </row>
    <row r="31" spans="1:28" ht="20.25" customHeight="1" x14ac:dyDescent="0.35">
      <c r="A31" s="293"/>
      <c r="B31" s="296"/>
      <c r="C31" s="35" t="s">
        <v>32</v>
      </c>
      <c r="D31" s="10">
        <v>48</v>
      </c>
      <c r="E31" s="31" t="s">
        <v>18</v>
      </c>
      <c r="F31" s="49">
        <v>0.08</v>
      </c>
      <c r="G31" s="11">
        <v>1</v>
      </c>
      <c r="H31" s="72">
        <f>+F31*B27</f>
        <v>39.36</v>
      </c>
      <c r="I31" s="68">
        <v>42</v>
      </c>
      <c r="J31" s="13">
        <f t="shared" si="29"/>
        <v>2.6400000000000006</v>
      </c>
      <c r="K31" s="76">
        <v>39.4</v>
      </c>
      <c r="L31" s="9">
        <f t="shared" si="32"/>
        <v>2.6000000000000014</v>
      </c>
      <c r="M31" s="79">
        <v>3</v>
      </c>
      <c r="N31" s="33">
        <f t="shared" si="33"/>
        <v>36.4</v>
      </c>
      <c r="O31" s="42">
        <f>+N31/B27</f>
        <v>7.3983739837398366E-2</v>
      </c>
      <c r="P31" s="19">
        <f t="shared" si="36"/>
        <v>5.6000000000000014</v>
      </c>
      <c r="Q31" s="82">
        <v>0</v>
      </c>
      <c r="R31" s="9">
        <f t="shared" si="34"/>
        <v>5.6000000000000014</v>
      </c>
      <c r="S31" s="9">
        <f t="shared" si="30"/>
        <v>5.6000000000000014</v>
      </c>
      <c r="T31" s="9">
        <f t="shared" si="31"/>
        <v>268.80000000000007</v>
      </c>
      <c r="U31" s="12">
        <f t="shared" si="35"/>
        <v>0.13333333333333336</v>
      </c>
      <c r="W31" s="102">
        <f t="shared" si="7"/>
        <v>42</v>
      </c>
      <c r="X31" s="103">
        <f t="shared" si="8"/>
        <v>39.4</v>
      </c>
      <c r="Y31" s="103">
        <f t="shared" si="9"/>
        <v>2.6000000000000014</v>
      </c>
      <c r="Z31" s="103">
        <f t="shared" si="10"/>
        <v>3</v>
      </c>
      <c r="AA31" s="104">
        <f t="shared" si="11"/>
        <v>5.6000000000000014</v>
      </c>
    </row>
    <row r="32" spans="1:28" ht="20.25" customHeight="1" x14ac:dyDescent="0.35">
      <c r="A32" s="293"/>
      <c r="B32" s="296"/>
      <c r="C32" s="35" t="s">
        <v>54</v>
      </c>
      <c r="D32" s="10">
        <v>35</v>
      </c>
      <c r="E32" s="31" t="s">
        <v>18</v>
      </c>
      <c r="F32" s="49">
        <v>0.08</v>
      </c>
      <c r="G32" s="11">
        <v>1</v>
      </c>
      <c r="H32" s="73">
        <f>+F32*B27</f>
        <v>39.36</v>
      </c>
      <c r="I32" s="68">
        <v>42</v>
      </c>
      <c r="J32" s="13">
        <f t="shared" si="29"/>
        <v>2.6400000000000006</v>
      </c>
      <c r="K32" s="76">
        <v>39.4</v>
      </c>
      <c r="L32" s="9">
        <f t="shared" si="32"/>
        <v>2.6000000000000014</v>
      </c>
      <c r="M32" s="79">
        <v>2</v>
      </c>
      <c r="N32" s="23">
        <f t="shared" si="33"/>
        <v>37.4</v>
      </c>
      <c r="O32" s="42">
        <f>+N32/B27</f>
        <v>7.6016260162601629E-2</v>
      </c>
      <c r="P32" s="19">
        <f t="shared" si="36"/>
        <v>4.6000000000000014</v>
      </c>
      <c r="Q32" s="82">
        <v>0</v>
      </c>
      <c r="R32" s="9">
        <f t="shared" si="34"/>
        <v>4.6000000000000014</v>
      </c>
      <c r="S32" s="9">
        <f t="shared" si="30"/>
        <v>4.6000000000000014</v>
      </c>
      <c r="T32" s="9">
        <f t="shared" si="31"/>
        <v>161.00000000000006</v>
      </c>
      <c r="U32" s="12">
        <f t="shared" si="35"/>
        <v>0.10952380952380955</v>
      </c>
      <c r="W32" s="102">
        <f t="shared" si="7"/>
        <v>42</v>
      </c>
      <c r="X32" s="103">
        <f t="shared" si="8"/>
        <v>39.4</v>
      </c>
      <c r="Y32" s="103">
        <f t="shared" si="9"/>
        <v>2.6000000000000014</v>
      </c>
      <c r="Z32" s="103">
        <f t="shared" si="10"/>
        <v>2</v>
      </c>
      <c r="AA32" s="104">
        <f t="shared" si="11"/>
        <v>4.6000000000000014</v>
      </c>
    </row>
    <row r="33" spans="1:28" ht="20.25" customHeight="1" x14ac:dyDescent="0.35">
      <c r="A33" s="293"/>
      <c r="B33" s="296"/>
      <c r="C33" s="35" t="s">
        <v>33</v>
      </c>
      <c r="D33" s="10">
        <v>50</v>
      </c>
      <c r="E33" s="31" t="s">
        <v>17</v>
      </c>
      <c r="F33" s="49">
        <v>0.03</v>
      </c>
      <c r="G33" s="11">
        <v>1</v>
      </c>
      <c r="H33" s="72">
        <f>+F33*B27</f>
        <v>14.76</v>
      </c>
      <c r="I33" s="68">
        <v>16</v>
      </c>
      <c r="J33" s="13">
        <f t="shared" si="29"/>
        <v>1.2400000000000002</v>
      </c>
      <c r="K33" s="76">
        <v>14.8</v>
      </c>
      <c r="L33" s="9">
        <f t="shared" si="32"/>
        <v>1.1999999999999993</v>
      </c>
      <c r="M33" s="79">
        <v>4</v>
      </c>
      <c r="N33" s="23">
        <f t="shared" si="33"/>
        <v>10.8</v>
      </c>
      <c r="O33" s="42">
        <f>+N33/B27</f>
        <v>2.1951219512195124E-2</v>
      </c>
      <c r="P33" s="19">
        <f t="shared" si="36"/>
        <v>5.1999999999999993</v>
      </c>
      <c r="Q33" s="82">
        <v>0</v>
      </c>
      <c r="R33" s="9">
        <f t="shared" si="34"/>
        <v>5.1999999999999993</v>
      </c>
      <c r="S33" s="9">
        <f t="shared" si="30"/>
        <v>5.1999999999999993</v>
      </c>
      <c r="T33" s="9">
        <f t="shared" si="31"/>
        <v>259.99999999999994</v>
      </c>
      <c r="U33" s="12">
        <f t="shared" si="35"/>
        <v>0.32499999999999996</v>
      </c>
      <c r="W33" s="102">
        <f t="shared" si="7"/>
        <v>16</v>
      </c>
      <c r="X33" s="103">
        <f t="shared" si="8"/>
        <v>14.8</v>
      </c>
      <c r="Y33" s="103">
        <f t="shared" si="9"/>
        <v>1.1999999999999993</v>
      </c>
      <c r="Z33" s="103">
        <f t="shared" si="10"/>
        <v>4</v>
      </c>
      <c r="AA33" s="104">
        <f t="shared" si="11"/>
        <v>5.1999999999999993</v>
      </c>
    </row>
    <row r="34" spans="1:28" ht="20.25" customHeight="1" x14ac:dyDescent="0.35">
      <c r="A34" s="293"/>
      <c r="B34" s="296"/>
      <c r="C34" s="35" t="s">
        <v>34</v>
      </c>
      <c r="D34" s="31">
        <v>70</v>
      </c>
      <c r="E34" s="31" t="s">
        <v>17</v>
      </c>
      <c r="F34" s="11">
        <v>0.1</v>
      </c>
      <c r="G34" s="11">
        <v>1</v>
      </c>
      <c r="H34" s="72">
        <f>+F34*B27</f>
        <v>49.2</v>
      </c>
      <c r="I34" s="68">
        <v>49.2</v>
      </c>
      <c r="J34" s="13">
        <f t="shared" si="29"/>
        <v>0</v>
      </c>
      <c r="K34" s="76">
        <v>49.2</v>
      </c>
      <c r="L34" s="9">
        <f t="shared" si="32"/>
        <v>0</v>
      </c>
      <c r="M34" s="79">
        <v>0</v>
      </c>
      <c r="N34" s="23">
        <f t="shared" si="33"/>
        <v>49.2</v>
      </c>
      <c r="O34" s="42">
        <f>+N34/B27</f>
        <v>0.1</v>
      </c>
      <c r="P34" s="19">
        <f t="shared" si="36"/>
        <v>0</v>
      </c>
      <c r="Q34" s="82">
        <v>0</v>
      </c>
      <c r="R34" s="9">
        <f t="shared" si="34"/>
        <v>0</v>
      </c>
      <c r="S34" s="9">
        <f t="shared" si="30"/>
        <v>0</v>
      </c>
      <c r="T34" s="9">
        <f t="shared" si="31"/>
        <v>0</v>
      </c>
      <c r="U34" s="12">
        <f t="shared" si="35"/>
        <v>0</v>
      </c>
      <c r="W34" s="102">
        <f t="shared" si="7"/>
        <v>49.2</v>
      </c>
      <c r="X34" s="103">
        <f t="shared" si="8"/>
        <v>49.2</v>
      </c>
      <c r="Y34" s="103">
        <f t="shared" si="9"/>
        <v>0</v>
      </c>
      <c r="Z34" s="103">
        <f t="shared" si="10"/>
        <v>0</v>
      </c>
      <c r="AA34" s="104">
        <f t="shared" si="11"/>
        <v>0</v>
      </c>
    </row>
    <row r="35" spans="1:28" ht="20.25" customHeight="1" x14ac:dyDescent="0.35">
      <c r="A35" s="294"/>
      <c r="B35" s="297"/>
      <c r="C35" s="40" t="s">
        <v>35</v>
      </c>
      <c r="D35" s="44">
        <v>2</v>
      </c>
      <c r="E35" s="44" t="s">
        <v>16</v>
      </c>
      <c r="F35" s="53">
        <v>2</v>
      </c>
      <c r="G35" s="45">
        <v>0.04</v>
      </c>
      <c r="H35" s="72">
        <f>+F35*B27</f>
        <v>984</v>
      </c>
      <c r="I35" s="68">
        <v>1005</v>
      </c>
      <c r="J35" s="13">
        <f t="shared" si="29"/>
        <v>21</v>
      </c>
      <c r="K35" s="76">
        <f>492*2</f>
        <v>984</v>
      </c>
      <c r="L35" s="9">
        <f t="shared" si="32"/>
        <v>21</v>
      </c>
      <c r="M35" s="79">
        <v>20</v>
      </c>
      <c r="N35" s="33">
        <f t="shared" si="33"/>
        <v>964</v>
      </c>
      <c r="O35" s="42">
        <f>+N35/B27</f>
        <v>1.9593495934959348</v>
      </c>
      <c r="P35" s="19">
        <f t="shared" si="36"/>
        <v>41</v>
      </c>
      <c r="Q35" s="82">
        <v>0</v>
      </c>
      <c r="R35" s="9">
        <f t="shared" si="34"/>
        <v>41</v>
      </c>
      <c r="S35" s="9">
        <f t="shared" si="30"/>
        <v>1.6400000000000001</v>
      </c>
      <c r="T35" s="9">
        <f t="shared" si="31"/>
        <v>82</v>
      </c>
      <c r="U35" s="12">
        <f t="shared" si="35"/>
        <v>4.0796019900497513E-2</v>
      </c>
      <c r="W35" s="105">
        <f t="shared" si="7"/>
        <v>40.200000000000003</v>
      </c>
      <c r="X35" s="106">
        <f t="shared" si="8"/>
        <v>39.36</v>
      </c>
      <c r="Y35" s="106">
        <f t="shared" si="9"/>
        <v>0.84</v>
      </c>
      <c r="Z35" s="106">
        <f t="shared" si="10"/>
        <v>0.8</v>
      </c>
      <c r="AA35" s="107">
        <f t="shared" si="11"/>
        <v>1.6400000000000001</v>
      </c>
    </row>
    <row r="36" spans="1:28" ht="23.25" customHeight="1" thickBot="1" x14ac:dyDescent="0.4">
      <c r="A36" s="27"/>
      <c r="B36" s="57"/>
      <c r="C36" s="29"/>
      <c r="D36" s="15"/>
      <c r="E36" s="15"/>
      <c r="F36" s="15"/>
      <c r="G36" s="15"/>
      <c r="H36" s="14"/>
      <c r="I36" s="15"/>
      <c r="J36" s="16"/>
      <c r="K36" s="14"/>
      <c r="L36" s="15"/>
      <c r="M36" s="16"/>
      <c r="N36" s="14"/>
      <c r="O36" s="16"/>
      <c r="P36" s="20"/>
      <c r="Q36" s="15"/>
      <c r="R36" s="15"/>
      <c r="S36" s="56">
        <f>SUM(S27:S35)</f>
        <v>40.239999999999981</v>
      </c>
      <c r="T36" s="56">
        <f>SUM(T27:T35)</f>
        <v>2003.7999999999993</v>
      </c>
      <c r="U36" s="16"/>
      <c r="W36" s="122">
        <f>SUM(W27:W35)</f>
        <v>513.4</v>
      </c>
      <c r="X36" s="109">
        <f t="shared" ref="X36:AA36" si="37">SUM(X27:X35)</f>
        <v>501.96</v>
      </c>
      <c r="Y36" s="109">
        <f t="shared" si="37"/>
        <v>11.439999999999984</v>
      </c>
      <c r="Z36" s="110">
        <f t="shared" si="37"/>
        <v>28.8</v>
      </c>
      <c r="AA36" s="114">
        <f t="shared" si="37"/>
        <v>40.239999999999981</v>
      </c>
      <c r="AB36" s="94"/>
    </row>
    <row r="37" spans="1:28" ht="31.5" customHeight="1" thickBot="1" x14ac:dyDescent="0.4">
      <c r="A37" s="58" t="s">
        <v>42</v>
      </c>
      <c r="B37" s="32">
        <f>+B4+B12+B22+B27</f>
        <v>3729</v>
      </c>
      <c r="C37" s="29"/>
      <c r="D37" s="15"/>
      <c r="E37" s="15"/>
      <c r="F37" s="15"/>
      <c r="G37" s="15"/>
      <c r="H37" s="14"/>
      <c r="I37" s="15"/>
      <c r="J37" s="16"/>
      <c r="K37" s="14"/>
      <c r="L37" s="15"/>
      <c r="M37" s="16"/>
      <c r="N37" s="14"/>
      <c r="O37" s="16"/>
      <c r="P37" s="20"/>
      <c r="Q37" s="15"/>
      <c r="R37" s="17"/>
      <c r="S37" s="85">
        <f>+S36+S26+S21+S11</f>
        <v>132.94</v>
      </c>
      <c r="T37" s="85">
        <f>+T36+T26+T21+T11</f>
        <v>7680</v>
      </c>
      <c r="U37" s="62"/>
      <c r="W37" s="108">
        <f>+W11+W21+W26+W36</f>
        <v>2993.2050000000004</v>
      </c>
      <c r="X37" s="119">
        <f t="shared" ref="X37:AA37" si="38">+X11+X21+X26+X36</f>
        <v>2925.625</v>
      </c>
      <c r="Y37" s="119">
        <f t="shared" si="38"/>
        <v>67.579999999999984</v>
      </c>
      <c r="Z37" s="121">
        <f t="shared" si="38"/>
        <v>117.86</v>
      </c>
      <c r="AA37" s="120">
        <f t="shared" si="38"/>
        <v>132.94</v>
      </c>
      <c r="AB37" s="94"/>
    </row>
    <row r="38" spans="1:28" x14ac:dyDescent="0.35">
      <c r="B38" s="59"/>
      <c r="Y38" s="63"/>
    </row>
    <row r="39" spans="1:28" ht="15" thickBot="1" x14ac:dyDescent="0.4">
      <c r="W39" s="63"/>
      <c r="X39" s="63"/>
      <c r="Y39" s="63"/>
      <c r="Z39" s="63"/>
      <c r="AA39" s="63"/>
    </row>
    <row r="40" spans="1:28" ht="18" customHeight="1" x14ac:dyDescent="0.35">
      <c r="A40" s="271"/>
      <c r="B40" s="271"/>
      <c r="C40" s="271"/>
      <c r="D40" s="271"/>
      <c r="E40" s="271"/>
      <c r="F40" s="271"/>
      <c r="S40" s="341" t="s">
        <v>191</v>
      </c>
      <c r="T40" s="342"/>
      <c r="U40" s="342"/>
      <c r="V40" s="342"/>
      <c r="W40" s="342"/>
      <c r="X40" s="342"/>
      <c r="Y40" s="342"/>
      <c r="Z40" s="342"/>
      <c r="AA40" s="343"/>
    </row>
    <row r="41" spans="1:28" ht="36.75" customHeight="1" x14ac:dyDescent="0.35">
      <c r="A41" s="255"/>
      <c r="B41" s="255"/>
      <c r="C41" s="255"/>
      <c r="D41" s="260"/>
      <c r="E41" s="260"/>
      <c r="F41" s="261"/>
      <c r="O41" s="255"/>
      <c r="P41" s="255"/>
      <c r="S41" s="7" t="s">
        <v>6</v>
      </c>
      <c r="T41" s="8" t="s">
        <v>7</v>
      </c>
      <c r="U41" s="60" t="s">
        <v>162</v>
      </c>
      <c r="V41" s="60" t="s">
        <v>3</v>
      </c>
      <c r="W41" s="60" t="s">
        <v>28</v>
      </c>
      <c r="X41" s="60" t="s">
        <v>163</v>
      </c>
      <c r="Y41" s="60" t="s">
        <v>164</v>
      </c>
      <c r="Z41" s="258" t="s">
        <v>165</v>
      </c>
      <c r="AA41" s="61" t="s">
        <v>166</v>
      </c>
    </row>
    <row r="42" spans="1:28" ht="29.25" customHeight="1" x14ac:dyDescent="0.35">
      <c r="A42" s="262"/>
      <c r="B42" s="263"/>
      <c r="C42" s="264"/>
      <c r="D42" s="264"/>
      <c r="E42" s="265"/>
      <c r="F42" s="266"/>
      <c r="O42" s="256"/>
      <c r="P42" s="256"/>
      <c r="S42" s="91" t="s">
        <v>47</v>
      </c>
      <c r="T42" s="35">
        <f>+B4</f>
        <v>1225</v>
      </c>
      <c r="U42" s="254">
        <f>+W11</f>
        <v>866.5</v>
      </c>
      <c r="V42" s="254">
        <f t="shared" ref="V42:Y42" si="39">+X11</f>
        <v>857.5</v>
      </c>
      <c r="W42" s="254">
        <f t="shared" si="39"/>
        <v>9</v>
      </c>
      <c r="X42" s="254">
        <f t="shared" si="39"/>
        <v>23.5</v>
      </c>
      <c r="Y42" s="254">
        <f t="shared" si="39"/>
        <v>32.5</v>
      </c>
      <c r="Z42" s="95">
        <f>+Y42/T42</f>
        <v>2.6530612244897958E-2</v>
      </c>
      <c r="AA42" s="253">
        <f>+Y42/U42</f>
        <v>3.7507212925562611E-2</v>
      </c>
    </row>
    <row r="43" spans="1:28" ht="29.25" customHeight="1" x14ac:dyDescent="0.35">
      <c r="A43" s="262"/>
      <c r="B43" s="263"/>
      <c r="C43" s="263"/>
      <c r="D43" s="264"/>
      <c r="E43" s="265"/>
      <c r="F43" s="266"/>
      <c r="O43" s="256"/>
      <c r="P43" s="256"/>
      <c r="Q43" s="133"/>
      <c r="R43" s="134"/>
      <c r="S43" s="91" t="s">
        <v>48</v>
      </c>
      <c r="T43" s="35">
        <f>+B12</f>
        <v>1107</v>
      </c>
      <c r="U43" s="254">
        <f>+W21</f>
        <v>1206.9000000000001</v>
      </c>
      <c r="V43" s="254">
        <f t="shared" ref="V43:Y43" si="40">+X21</f>
        <v>1162.26</v>
      </c>
      <c r="W43" s="254">
        <f t="shared" si="40"/>
        <v>44.64</v>
      </c>
      <c r="X43" s="254">
        <f t="shared" si="40"/>
        <v>57.5</v>
      </c>
      <c r="Y43" s="254">
        <f t="shared" si="40"/>
        <v>49.64</v>
      </c>
      <c r="Z43" s="95">
        <f t="shared" ref="Z43:Z45" si="41">+Y43/T43</f>
        <v>4.4841915085817523E-2</v>
      </c>
      <c r="AA43" s="253">
        <f t="shared" ref="AA43:AA45" si="42">+Y43/U43</f>
        <v>4.113016819951943E-2</v>
      </c>
    </row>
    <row r="44" spans="1:28" ht="29.25" customHeight="1" x14ac:dyDescent="0.35">
      <c r="A44" s="262"/>
      <c r="B44" s="263"/>
      <c r="C44" s="263"/>
      <c r="D44" s="264"/>
      <c r="E44" s="265"/>
      <c r="F44" s="266"/>
      <c r="O44" s="256"/>
      <c r="P44" s="256"/>
      <c r="S44" s="91" t="s">
        <v>49</v>
      </c>
      <c r="T44" s="35">
        <f>+B22</f>
        <v>905</v>
      </c>
      <c r="U44" s="254">
        <f>+W26</f>
        <v>406.40499999999997</v>
      </c>
      <c r="V44" s="254">
        <f t="shared" ref="V44:Y44" si="43">+X26</f>
        <v>403.90499999999997</v>
      </c>
      <c r="W44" s="254">
        <f t="shared" si="43"/>
        <v>2.5</v>
      </c>
      <c r="X44" s="254">
        <f t="shared" si="43"/>
        <v>8.0599999999999987</v>
      </c>
      <c r="Y44" s="254">
        <f t="shared" si="43"/>
        <v>10.559999999999999</v>
      </c>
      <c r="Z44" s="95">
        <f t="shared" si="41"/>
        <v>1.1668508287292816E-2</v>
      </c>
      <c r="AA44" s="253">
        <f t="shared" si="42"/>
        <v>2.598393228429768E-2</v>
      </c>
    </row>
    <row r="45" spans="1:28" ht="29.25" customHeight="1" x14ac:dyDescent="0.35">
      <c r="A45" s="262"/>
      <c r="B45" s="263"/>
      <c r="C45" s="264"/>
      <c r="D45" s="264"/>
      <c r="E45" s="265"/>
      <c r="F45" s="266"/>
      <c r="O45" s="256"/>
      <c r="P45" s="256"/>
      <c r="S45" s="91" t="s">
        <v>50</v>
      </c>
      <c r="T45" s="35">
        <f>+B27</f>
        <v>492</v>
      </c>
      <c r="U45" s="254">
        <f>+W36</f>
        <v>513.4</v>
      </c>
      <c r="V45" s="254">
        <f t="shared" ref="V45:Y45" si="44">+X36</f>
        <v>501.96</v>
      </c>
      <c r="W45" s="254">
        <f t="shared" si="44"/>
        <v>11.439999999999984</v>
      </c>
      <c r="X45" s="254">
        <f t="shared" si="44"/>
        <v>28.8</v>
      </c>
      <c r="Y45" s="254">
        <f t="shared" si="44"/>
        <v>40.239999999999981</v>
      </c>
      <c r="Z45" s="95">
        <f t="shared" si="41"/>
        <v>8.1788617886178819E-2</v>
      </c>
      <c r="AA45" s="253">
        <f t="shared" si="42"/>
        <v>7.8379431242695724E-2</v>
      </c>
    </row>
    <row r="46" spans="1:28" ht="29.25" customHeight="1" thickBot="1" x14ac:dyDescent="0.4">
      <c r="A46" s="267"/>
      <c r="B46" s="268"/>
      <c r="C46" s="268"/>
      <c r="D46" s="269"/>
      <c r="E46" s="270"/>
      <c r="F46" s="266"/>
      <c r="G46" s="259"/>
      <c r="O46" s="257"/>
      <c r="P46" s="257"/>
      <c r="S46" s="93" t="s">
        <v>51</v>
      </c>
      <c r="T46" s="96">
        <f>SUM(T42:T45)</f>
        <v>3729</v>
      </c>
      <c r="U46" s="272">
        <f>SUM(U42:U45)</f>
        <v>2993.2050000000004</v>
      </c>
      <c r="V46" s="272">
        <f t="shared" ref="V46:Y46" si="45">SUM(V42:V45)</f>
        <v>2925.625</v>
      </c>
      <c r="W46" s="272">
        <f t="shared" si="45"/>
        <v>67.579999999999984</v>
      </c>
      <c r="X46" s="272">
        <f t="shared" si="45"/>
        <v>117.86</v>
      </c>
      <c r="Y46" s="272">
        <f t="shared" si="45"/>
        <v>132.94</v>
      </c>
      <c r="Z46" s="273">
        <f>+Y46/T46</f>
        <v>3.5650308393671226E-2</v>
      </c>
      <c r="AA46" s="274">
        <f>+Y46/U46</f>
        <v>4.4413930886791908E-2</v>
      </c>
    </row>
    <row r="47" spans="1:28" x14ac:dyDescent="0.35">
      <c r="T47">
        <v>410</v>
      </c>
    </row>
    <row r="48" spans="1:28" x14ac:dyDescent="0.35">
      <c r="T48">
        <f>+T46+T47</f>
        <v>4139</v>
      </c>
    </row>
  </sheetData>
  <mergeCells count="16">
    <mergeCell ref="A27:A35"/>
    <mergeCell ref="B27:B35"/>
    <mergeCell ref="S40:AA40"/>
    <mergeCell ref="W2:AA2"/>
    <mergeCell ref="A4:A10"/>
    <mergeCell ref="B4:B10"/>
    <mergeCell ref="A12:A20"/>
    <mergeCell ref="B12:B20"/>
    <mergeCell ref="A22:A25"/>
    <mergeCell ref="B22:B25"/>
    <mergeCell ref="P2:U2"/>
    <mergeCell ref="A1:F1"/>
    <mergeCell ref="A2:G2"/>
    <mergeCell ref="H2:J2"/>
    <mergeCell ref="K2:M2"/>
    <mergeCell ref="N2:O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CC119-8875-43CF-A207-CC9A6EF0663B}">
  <dimension ref="A1:AB48"/>
  <sheetViews>
    <sheetView workbookViewId="0">
      <pane xSplit="7" ySplit="3" topLeftCell="O40" activePane="bottomRight" state="frozen"/>
      <selection pane="topRight" activeCell="H1" sqref="H1"/>
      <selection pane="bottomLeft" activeCell="A4" sqref="A4"/>
      <selection pane="bottomRight" activeCell="V54" sqref="V54"/>
    </sheetView>
  </sheetViews>
  <sheetFormatPr defaultRowHeight="14.5" x14ac:dyDescent="0.35"/>
  <cols>
    <col min="1" max="1" width="11" customWidth="1"/>
    <col min="2" max="2" width="7.81640625" customWidth="1"/>
    <col min="3" max="3" width="20" customWidth="1"/>
    <col min="4" max="4" width="9.1796875" customWidth="1"/>
    <col min="5" max="5" width="9.26953125" customWidth="1"/>
    <col min="6" max="6" width="10" customWidth="1"/>
    <col min="7" max="7" width="8.1796875" customWidth="1"/>
    <col min="8" max="8" width="12.54296875" customWidth="1"/>
    <col min="9" max="9" width="12.453125" customWidth="1"/>
    <col min="10" max="10" width="11" customWidth="1"/>
    <col min="11" max="11" width="9.453125" customWidth="1"/>
    <col min="12" max="12" width="11" customWidth="1"/>
    <col min="13" max="13" width="13.54296875" customWidth="1"/>
    <col min="14" max="14" width="14.81640625" customWidth="1"/>
    <col min="15" max="15" width="16" customWidth="1"/>
    <col min="16" max="16" width="11.26953125" customWidth="1"/>
    <col min="17" max="18" width="9.54296875" customWidth="1"/>
    <col min="19" max="20" width="10.81640625" customWidth="1"/>
    <col min="21" max="21" width="12.7265625" customWidth="1"/>
    <col min="22" max="22" width="10" customWidth="1"/>
    <col min="23" max="23" width="11.453125" customWidth="1"/>
    <col min="24" max="24" width="11" customWidth="1"/>
    <col min="25" max="25" width="13.453125" customWidth="1"/>
    <col min="26" max="26" width="10.26953125" customWidth="1"/>
    <col min="27" max="27" width="13.7265625" customWidth="1"/>
  </cols>
  <sheetData>
    <row r="1" spans="1:28" ht="22.5" customHeight="1" thickBot="1" x14ac:dyDescent="0.4">
      <c r="A1" s="308" t="s">
        <v>36</v>
      </c>
      <c r="B1" s="309"/>
      <c r="C1" s="309"/>
      <c r="D1" s="309"/>
      <c r="E1" s="309"/>
      <c r="F1" s="310"/>
    </row>
    <row r="2" spans="1:28" ht="22.5" customHeight="1" thickBot="1" x14ac:dyDescent="0.4">
      <c r="A2" s="311" t="s">
        <v>199</v>
      </c>
      <c r="B2" s="312"/>
      <c r="C2" s="312"/>
      <c r="D2" s="312"/>
      <c r="E2" s="312"/>
      <c r="F2" s="312"/>
      <c r="G2" s="313"/>
      <c r="H2" s="314" t="s">
        <v>22</v>
      </c>
      <c r="I2" s="315"/>
      <c r="J2" s="316"/>
      <c r="K2" s="317" t="s">
        <v>23</v>
      </c>
      <c r="L2" s="318"/>
      <c r="M2" s="319"/>
      <c r="N2" s="320" t="s">
        <v>24</v>
      </c>
      <c r="O2" s="321"/>
      <c r="P2" s="305" t="s">
        <v>25</v>
      </c>
      <c r="Q2" s="306"/>
      <c r="R2" s="306"/>
      <c r="S2" s="306"/>
      <c r="T2" s="306"/>
      <c r="U2" s="307"/>
      <c r="W2" s="325" t="s">
        <v>43</v>
      </c>
      <c r="X2" s="326"/>
      <c r="Y2" s="326"/>
      <c r="Z2" s="326"/>
      <c r="AA2" s="327"/>
    </row>
    <row r="3" spans="1:28" ht="58.5" thickBot="1" x14ac:dyDescent="0.4">
      <c r="A3" s="39" t="s">
        <v>6</v>
      </c>
      <c r="B3" s="38" t="s">
        <v>7</v>
      </c>
      <c r="C3" s="38" t="s">
        <v>0</v>
      </c>
      <c r="D3" s="37" t="s">
        <v>15</v>
      </c>
      <c r="E3" s="38" t="s">
        <v>1</v>
      </c>
      <c r="F3" s="36" t="s">
        <v>27</v>
      </c>
      <c r="G3" s="37" t="s">
        <v>19</v>
      </c>
      <c r="H3" s="25" t="s">
        <v>4</v>
      </c>
      <c r="I3" s="89" t="s">
        <v>44</v>
      </c>
      <c r="J3" s="26" t="s">
        <v>29</v>
      </c>
      <c r="K3" s="88" t="s">
        <v>3</v>
      </c>
      <c r="L3" s="1" t="s">
        <v>28</v>
      </c>
      <c r="M3" s="87" t="s">
        <v>5</v>
      </c>
      <c r="N3" s="25" t="s">
        <v>20</v>
      </c>
      <c r="O3" s="26" t="s">
        <v>21</v>
      </c>
      <c r="P3" s="24" t="s">
        <v>8</v>
      </c>
      <c r="Q3" s="86" t="s">
        <v>9</v>
      </c>
      <c r="R3" s="2" t="s">
        <v>10</v>
      </c>
      <c r="S3" s="1" t="s">
        <v>26</v>
      </c>
      <c r="T3" s="1" t="s">
        <v>11</v>
      </c>
      <c r="U3" s="1" t="s">
        <v>30</v>
      </c>
      <c r="W3" s="43" t="s">
        <v>2</v>
      </c>
      <c r="X3" s="60" t="s">
        <v>3</v>
      </c>
      <c r="Y3" s="60" t="s">
        <v>28</v>
      </c>
      <c r="Z3" s="60" t="s">
        <v>5</v>
      </c>
      <c r="AA3" s="61" t="s">
        <v>26</v>
      </c>
    </row>
    <row r="4" spans="1:28" ht="20.25" customHeight="1" x14ac:dyDescent="0.35">
      <c r="A4" s="301" t="s">
        <v>37</v>
      </c>
      <c r="B4" s="303">
        <v>693</v>
      </c>
      <c r="C4" s="34" t="s">
        <v>55</v>
      </c>
      <c r="D4" s="4">
        <v>2</v>
      </c>
      <c r="E4" s="30" t="s">
        <v>16</v>
      </c>
      <c r="F4" s="47">
        <v>2</v>
      </c>
      <c r="G4" s="5">
        <v>0.05</v>
      </c>
      <c r="H4" s="71">
        <f>+F4*B4</f>
        <v>1386</v>
      </c>
      <c r="I4" s="67">
        <v>1390</v>
      </c>
      <c r="J4" s="64">
        <f>I4-H4</f>
        <v>4</v>
      </c>
      <c r="K4" s="75">
        <f>693*2</f>
        <v>1386</v>
      </c>
      <c r="L4" s="127">
        <f>+I4-K4</f>
        <v>4</v>
      </c>
      <c r="M4" s="78">
        <v>30</v>
      </c>
      <c r="N4" s="128">
        <f>+K4-M4</f>
        <v>1356</v>
      </c>
      <c r="O4" s="64">
        <f>+N4/B4</f>
        <v>1.9567099567099566</v>
      </c>
      <c r="P4" s="18">
        <f>+L4+M4</f>
        <v>34</v>
      </c>
      <c r="Q4" s="81">
        <v>0</v>
      </c>
      <c r="R4" s="3">
        <f t="shared" ref="R4:R10" si="0">+P4-Q4</f>
        <v>34</v>
      </c>
      <c r="S4" s="3">
        <f t="shared" ref="S4:S10" si="1">+R4*G4</f>
        <v>1.7000000000000002</v>
      </c>
      <c r="T4" s="3">
        <f t="shared" ref="T4:T10" si="2">+R4*D4</f>
        <v>68</v>
      </c>
      <c r="U4" s="6">
        <f>+R4/I4</f>
        <v>2.4460431654676259E-2</v>
      </c>
      <c r="W4" s="102">
        <f>+I4*G4</f>
        <v>69.5</v>
      </c>
      <c r="X4" s="103">
        <f>+K4*G4</f>
        <v>69.3</v>
      </c>
      <c r="Y4" s="103">
        <f>+L4*G4</f>
        <v>0.2</v>
      </c>
      <c r="Z4" s="103">
        <f>+M4*G4</f>
        <v>1.5</v>
      </c>
      <c r="AA4" s="104">
        <f>+R4*G4</f>
        <v>1.7000000000000002</v>
      </c>
    </row>
    <row r="5" spans="1:28" ht="20.25" customHeight="1" x14ac:dyDescent="0.35">
      <c r="A5" s="302"/>
      <c r="B5" s="304"/>
      <c r="C5" s="35" t="s">
        <v>198</v>
      </c>
      <c r="D5" s="10">
        <v>4</v>
      </c>
      <c r="E5" s="31" t="s">
        <v>16</v>
      </c>
      <c r="F5" s="48">
        <v>2</v>
      </c>
      <c r="G5" s="11">
        <v>0.05</v>
      </c>
      <c r="H5" s="70">
        <f>+F5*B4</f>
        <v>1386</v>
      </c>
      <c r="I5" s="68">
        <v>1395</v>
      </c>
      <c r="J5" s="13">
        <f t="shared" ref="J5:J10" si="3">I5-H5</f>
        <v>9</v>
      </c>
      <c r="K5" s="76">
        <v>1386</v>
      </c>
      <c r="L5" s="9">
        <f t="shared" ref="L5:L10" si="4">+I5-K5</f>
        <v>9</v>
      </c>
      <c r="M5" s="79">
        <v>50</v>
      </c>
      <c r="N5" s="23">
        <f t="shared" ref="N5:N10" si="5">+K5-M5</f>
        <v>1336</v>
      </c>
      <c r="O5" s="65">
        <f>+N5/B4</f>
        <v>1.9278499278499279</v>
      </c>
      <c r="P5" s="19">
        <f>+L5+M5</f>
        <v>59</v>
      </c>
      <c r="Q5" s="82">
        <v>0</v>
      </c>
      <c r="R5" s="9">
        <f t="shared" si="0"/>
        <v>59</v>
      </c>
      <c r="S5" s="9">
        <f>+R5*G5</f>
        <v>2.95</v>
      </c>
      <c r="T5" s="9">
        <f t="shared" si="2"/>
        <v>236</v>
      </c>
      <c r="U5" s="12">
        <f t="shared" ref="U5:U9" si="6">+R5/I5</f>
        <v>4.2293906810035843E-2</v>
      </c>
      <c r="W5" s="102">
        <f t="shared" ref="W5:W35" si="7">+I5*G5</f>
        <v>69.75</v>
      </c>
      <c r="X5" s="103">
        <f t="shared" ref="X5:X35" si="8">+K5*G5</f>
        <v>69.3</v>
      </c>
      <c r="Y5" s="103">
        <f t="shared" ref="Y5:Y35" si="9">+L5*G5</f>
        <v>0.45</v>
      </c>
      <c r="Z5" s="103">
        <f t="shared" ref="Z5:Z35" si="10">+M5*G5</f>
        <v>2.5</v>
      </c>
      <c r="AA5" s="104">
        <f t="shared" ref="AA5:AA35" si="11">+R5*G5</f>
        <v>2.95</v>
      </c>
    </row>
    <row r="6" spans="1:28" ht="20.25" customHeight="1" x14ac:dyDescent="0.35">
      <c r="A6" s="302"/>
      <c r="B6" s="304"/>
      <c r="C6" s="35" t="s">
        <v>205</v>
      </c>
      <c r="D6" s="10">
        <v>40</v>
      </c>
      <c r="E6" s="31" t="s">
        <v>17</v>
      </c>
      <c r="F6" s="49">
        <v>0.15</v>
      </c>
      <c r="G6" s="11">
        <v>1</v>
      </c>
      <c r="H6" s="72">
        <f>+F6*B4</f>
        <v>103.95</v>
      </c>
      <c r="I6" s="68">
        <v>105</v>
      </c>
      <c r="J6" s="13">
        <f t="shared" si="3"/>
        <v>1.0499999999999972</v>
      </c>
      <c r="K6" s="76">
        <v>104</v>
      </c>
      <c r="L6" s="9">
        <f t="shared" si="4"/>
        <v>1</v>
      </c>
      <c r="M6" s="79">
        <v>5</v>
      </c>
      <c r="N6" s="33">
        <f t="shared" si="5"/>
        <v>99</v>
      </c>
      <c r="O6" s="42">
        <f>+N6/B4</f>
        <v>0.14285714285714285</v>
      </c>
      <c r="P6" s="19">
        <f>+L6+M6</f>
        <v>6</v>
      </c>
      <c r="Q6" s="82">
        <v>0</v>
      </c>
      <c r="R6" s="9">
        <f t="shared" si="0"/>
        <v>6</v>
      </c>
      <c r="S6" s="9">
        <f t="shared" si="1"/>
        <v>6</v>
      </c>
      <c r="T6" s="9">
        <f t="shared" si="2"/>
        <v>240</v>
      </c>
      <c r="U6" s="12">
        <f t="shared" si="6"/>
        <v>5.7142857142857141E-2</v>
      </c>
      <c r="W6" s="102">
        <f t="shared" si="7"/>
        <v>105</v>
      </c>
      <c r="X6" s="103">
        <f t="shared" si="8"/>
        <v>104</v>
      </c>
      <c r="Y6" s="103">
        <f t="shared" si="9"/>
        <v>1</v>
      </c>
      <c r="Z6" s="103">
        <f t="shared" si="10"/>
        <v>5</v>
      </c>
      <c r="AA6" s="104">
        <f t="shared" si="11"/>
        <v>6</v>
      </c>
    </row>
    <row r="7" spans="1:28" ht="20.25" customHeight="1" x14ac:dyDescent="0.35">
      <c r="A7" s="302"/>
      <c r="B7" s="304"/>
      <c r="C7" s="35" t="s">
        <v>12</v>
      </c>
      <c r="D7" s="10">
        <v>45</v>
      </c>
      <c r="E7" s="31" t="s">
        <v>17</v>
      </c>
      <c r="F7" s="49">
        <v>0.1</v>
      </c>
      <c r="G7" s="11">
        <v>1</v>
      </c>
      <c r="H7" s="72">
        <f>+F7*B4</f>
        <v>69.3</v>
      </c>
      <c r="I7" s="68">
        <v>70</v>
      </c>
      <c r="J7" s="13">
        <f t="shared" si="3"/>
        <v>0.70000000000000284</v>
      </c>
      <c r="K7" s="76">
        <v>69.3</v>
      </c>
      <c r="L7" s="9">
        <f t="shared" si="4"/>
        <v>0.70000000000000284</v>
      </c>
      <c r="M7" s="79">
        <v>6</v>
      </c>
      <c r="N7" s="23">
        <f t="shared" si="5"/>
        <v>63.3</v>
      </c>
      <c r="O7" s="42">
        <f>+N7/B4</f>
        <v>9.1341991341991335E-2</v>
      </c>
      <c r="P7" s="19">
        <f t="shared" ref="P7:P10" si="12">+L7+M7</f>
        <v>6.7000000000000028</v>
      </c>
      <c r="Q7" s="82">
        <v>0</v>
      </c>
      <c r="R7" s="9">
        <f t="shared" si="0"/>
        <v>6.7000000000000028</v>
      </c>
      <c r="S7" s="9">
        <f t="shared" si="1"/>
        <v>6.7000000000000028</v>
      </c>
      <c r="T7" s="9">
        <f t="shared" si="2"/>
        <v>301.50000000000011</v>
      </c>
      <c r="U7" s="12">
        <f t="shared" si="6"/>
        <v>9.5714285714285752E-2</v>
      </c>
      <c r="W7" s="102">
        <f t="shared" si="7"/>
        <v>70</v>
      </c>
      <c r="X7" s="103">
        <f t="shared" si="8"/>
        <v>69.3</v>
      </c>
      <c r="Y7" s="103">
        <f t="shared" si="9"/>
        <v>0.70000000000000284</v>
      </c>
      <c r="Z7" s="103">
        <f t="shared" si="10"/>
        <v>6</v>
      </c>
      <c r="AA7" s="104">
        <f t="shared" si="11"/>
        <v>6.7000000000000028</v>
      </c>
    </row>
    <row r="8" spans="1:28" ht="20.25" customHeight="1" x14ac:dyDescent="0.35">
      <c r="A8" s="302"/>
      <c r="B8" s="304"/>
      <c r="C8" s="35" t="s">
        <v>13</v>
      </c>
      <c r="D8" s="10">
        <v>52</v>
      </c>
      <c r="E8" s="31" t="s">
        <v>17</v>
      </c>
      <c r="F8" s="49">
        <v>0.1</v>
      </c>
      <c r="G8" s="11">
        <v>1</v>
      </c>
      <c r="H8" s="72">
        <f>+F8*B4</f>
        <v>69.3</v>
      </c>
      <c r="I8" s="68">
        <v>71</v>
      </c>
      <c r="J8" s="13">
        <f t="shared" si="3"/>
        <v>1.7000000000000028</v>
      </c>
      <c r="K8" s="76">
        <v>69.3</v>
      </c>
      <c r="L8" s="9">
        <f>+I8-K8</f>
        <v>1.7000000000000028</v>
      </c>
      <c r="M8" s="79">
        <v>8</v>
      </c>
      <c r="N8" s="33">
        <f t="shared" si="5"/>
        <v>61.3</v>
      </c>
      <c r="O8" s="42">
        <f>+N8/B4</f>
        <v>8.8455988455988455E-2</v>
      </c>
      <c r="P8" s="19">
        <f t="shared" si="12"/>
        <v>9.7000000000000028</v>
      </c>
      <c r="Q8" s="82">
        <v>0</v>
      </c>
      <c r="R8" s="9">
        <f t="shared" si="0"/>
        <v>9.7000000000000028</v>
      </c>
      <c r="S8" s="9">
        <f t="shared" si="1"/>
        <v>9.7000000000000028</v>
      </c>
      <c r="T8" s="9">
        <f t="shared" si="2"/>
        <v>504.40000000000015</v>
      </c>
      <c r="U8" s="12">
        <f t="shared" si="6"/>
        <v>0.13661971830985919</v>
      </c>
      <c r="W8" s="102">
        <f t="shared" si="7"/>
        <v>71</v>
      </c>
      <c r="X8" s="103">
        <f t="shared" si="8"/>
        <v>69.3</v>
      </c>
      <c r="Y8" s="103">
        <f t="shared" si="9"/>
        <v>1.7000000000000028</v>
      </c>
      <c r="Z8" s="103">
        <f t="shared" si="10"/>
        <v>8</v>
      </c>
      <c r="AA8" s="104">
        <f t="shared" si="11"/>
        <v>9.7000000000000028</v>
      </c>
    </row>
    <row r="9" spans="1:28" ht="20.25" customHeight="1" x14ac:dyDescent="0.35">
      <c r="A9" s="302"/>
      <c r="B9" s="304"/>
      <c r="C9" s="35" t="s">
        <v>169</v>
      </c>
      <c r="D9" s="10">
        <v>90</v>
      </c>
      <c r="E9" s="31" t="s">
        <v>17</v>
      </c>
      <c r="F9" s="49">
        <v>0.05</v>
      </c>
      <c r="G9" s="11">
        <v>1</v>
      </c>
      <c r="H9" s="73">
        <f>+F9*B4</f>
        <v>34.65</v>
      </c>
      <c r="I9" s="68">
        <v>35</v>
      </c>
      <c r="J9" s="13">
        <f t="shared" si="3"/>
        <v>0.35000000000000142</v>
      </c>
      <c r="K9" s="76">
        <v>34.700000000000003</v>
      </c>
      <c r="L9" s="54">
        <f>+I9-K9</f>
        <v>0.29999999999999716</v>
      </c>
      <c r="M9" s="79">
        <v>3</v>
      </c>
      <c r="N9" s="23">
        <f t="shared" si="5"/>
        <v>31.700000000000003</v>
      </c>
      <c r="O9" s="42">
        <f>+N9/B4</f>
        <v>4.5743145743145745E-2</v>
      </c>
      <c r="P9" s="19">
        <f t="shared" si="12"/>
        <v>3.2999999999999972</v>
      </c>
      <c r="Q9" s="82">
        <v>0</v>
      </c>
      <c r="R9" s="9">
        <f t="shared" si="0"/>
        <v>3.2999999999999972</v>
      </c>
      <c r="S9" s="9">
        <f t="shared" si="1"/>
        <v>3.2999999999999972</v>
      </c>
      <c r="T9" s="9">
        <f t="shared" si="2"/>
        <v>296.99999999999977</v>
      </c>
      <c r="U9" s="12">
        <f t="shared" si="6"/>
        <v>9.4285714285714209E-2</v>
      </c>
      <c r="W9" s="102">
        <f t="shared" si="7"/>
        <v>35</v>
      </c>
      <c r="X9" s="103">
        <f t="shared" si="8"/>
        <v>34.700000000000003</v>
      </c>
      <c r="Y9" s="103">
        <f t="shared" si="9"/>
        <v>0.29999999999999716</v>
      </c>
      <c r="Z9" s="103">
        <f t="shared" si="10"/>
        <v>3</v>
      </c>
      <c r="AA9" s="104">
        <f t="shared" si="11"/>
        <v>3.2999999999999972</v>
      </c>
    </row>
    <row r="10" spans="1:28" ht="20.25" customHeight="1" x14ac:dyDescent="0.35">
      <c r="A10" s="302"/>
      <c r="B10" s="304"/>
      <c r="C10" s="35" t="s">
        <v>14</v>
      </c>
      <c r="D10" s="10">
        <v>60</v>
      </c>
      <c r="E10" s="31" t="s">
        <v>18</v>
      </c>
      <c r="F10" s="49">
        <v>0.1</v>
      </c>
      <c r="G10" s="11">
        <v>1</v>
      </c>
      <c r="H10" s="72">
        <f>+F10*B4</f>
        <v>69.3</v>
      </c>
      <c r="I10" s="68">
        <v>70</v>
      </c>
      <c r="J10" s="13">
        <f t="shared" si="3"/>
        <v>0.70000000000000284</v>
      </c>
      <c r="K10" s="76">
        <v>69.3</v>
      </c>
      <c r="L10" s="9">
        <f t="shared" si="4"/>
        <v>0.70000000000000284</v>
      </c>
      <c r="M10" s="79">
        <v>5</v>
      </c>
      <c r="N10" s="33">
        <f t="shared" si="5"/>
        <v>64.3</v>
      </c>
      <c r="O10" s="42">
        <f>+N10/B4</f>
        <v>9.2784992784992776E-2</v>
      </c>
      <c r="P10" s="19">
        <f t="shared" si="12"/>
        <v>5.7000000000000028</v>
      </c>
      <c r="Q10" s="82">
        <v>0</v>
      </c>
      <c r="R10" s="9">
        <f t="shared" si="0"/>
        <v>5.7000000000000028</v>
      </c>
      <c r="S10" s="9">
        <f t="shared" si="1"/>
        <v>5.7000000000000028</v>
      </c>
      <c r="T10" s="9">
        <f t="shared" si="2"/>
        <v>342.00000000000017</v>
      </c>
      <c r="U10" s="12">
        <f>+R10/I10</f>
        <v>8.1428571428571475E-2</v>
      </c>
      <c r="W10" s="115">
        <f t="shared" si="7"/>
        <v>70</v>
      </c>
      <c r="X10" s="116">
        <f t="shared" si="8"/>
        <v>69.3</v>
      </c>
      <c r="Y10" s="116">
        <f t="shared" si="9"/>
        <v>0.70000000000000284</v>
      </c>
      <c r="Z10" s="116">
        <f t="shared" si="10"/>
        <v>5</v>
      </c>
      <c r="AA10" s="117">
        <f t="shared" si="11"/>
        <v>5.7000000000000028</v>
      </c>
    </row>
    <row r="11" spans="1:28" ht="20.25" customHeight="1" thickBot="1" x14ac:dyDescent="0.4">
      <c r="A11" s="27"/>
      <c r="B11" s="51"/>
      <c r="C11" s="50"/>
      <c r="D11" s="15"/>
      <c r="E11" s="15"/>
      <c r="F11" s="15"/>
      <c r="G11" s="15"/>
      <c r="H11" s="74"/>
      <c r="I11" s="69"/>
      <c r="J11" s="16"/>
      <c r="K11" s="77"/>
      <c r="L11" s="15"/>
      <c r="M11" s="80"/>
      <c r="N11" s="14"/>
      <c r="O11" s="16"/>
      <c r="P11" s="20"/>
      <c r="Q11" s="83"/>
      <c r="R11" s="15"/>
      <c r="S11" s="84">
        <f>SUM(S4:S10)</f>
        <v>36.050000000000004</v>
      </c>
      <c r="T11" s="56">
        <f>SUM(T4:T10)</f>
        <v>1988.9000000000003</v>
      </c>
      <c r="U11" s="16"/>
      <c r="W11" s="118">
        <f>SUM(W4:W10)</f>
        <v>490.25</v>
      </c>
      <c r="X11" s="109">
        <f t="shared" ref="X11:AA11" si="13">SUM(X4:X10)</f>
        <v>485.2</v>
      </c>
      <c r="Y11" s="109">
        <f t="shared" si="13"/>
        <v>5.050000000000006</v>
      </c>
      <c r="Z11" s="110">
        <f t="shared" si="13"/>
        <v>31</v>
      </c>
      <c r="AA11" s="114">
        <f t="shared" si="13"/>
        <v>36.050000000000004</v>
      </c>
      <c r="AB11" s="94"/>
    </row>
    <row r="12" spans="1:28" ht="20.25" customHeight="1" x14ac:dyDescent="0.35">
      <c r="A12" s="292" t="s">
        <v>38</v>
      </c>
      <c r="B12" s="295">
        <v>775</v>
      </c>
      <c r="C12" s="34" t="s">
        <v>31</v>
      </c>
      <c r="D12" s="4">
        <v>20</v>
      </c>
      <c r="E12" s="30" t="s">
        <v>17</v>
      </c>
      <c r="F12" s="52">
        <v>0.4</v>
      </c>
      <c r="G12" s="5">
        <v>1</v>
      </c>
      <c r="H12" s="71">
        <f>+F12*B12</f>
        <v>310</v>
      </c>
      <c r="I12" s="67">
        <v>320</v>
      </c>
      <c r="J12" s="64">
        <f>I12-H12</f>
        <v>10</v>
      </c>
      <c r="K12" s="75">
        <f>775*0.4</f>
        <v>310</v>
      </c>
      <c r="L12" s="3">
        <f>+I12-K12</f>
        <v>10</v>
      </c>
      <c r="M12" s="78">
        <v>30</v>
      </c>
      <c r="N12" s="21">
        <f>+K12-M12</f>
        <v>280</v>
      </c>
      <c r="O12" s="41">
        <f>+N12/B12</f>
        <v>0.36129032258064514</v>
      </c>
      <c r="P12" s="18">
        <f>+L12+M12</f>
        <v>40</v>
      </c>
      <c r="Q12" s="81">
        <v>40</v>
      </c>
      <c r="R12" s="3">
        <f>+P12-Q12</f>
        <v>0</v>
      </c>
      <c r="S12" s="3">
        <f>+R12*G12</f>
        <v>0</v>
      </c>
      <c r="T12" s="3">
        <f t="shared" ref="T12:T20" si="14">+R12*D12</f>
        <v>0</v>
      </c>
      <c r="U12" s="6">
        <f>+R12/I12</f>
        <v>0</v>
      </c>
      <c r="W12" s="111">
        <f>+I12*G12</f>
        <v>320</v>
      </c>
      <c r="X12" s="112">
        <f t="shared" si="8"/>
        <v>310</v>
      </c>
      <c r="Y12" s="112">
        <f t="shared" si="9"/>
        <v>10</v>
      </c>
      <c r="Z12" s="112">
        <f t="shared" si="10"/>
        <v>30</v>
      </c>
      <c r="AA12" s="113">
        <f t="shared" si="11"/>
        <v>0</v>
      </c>
    </row>
    <row r="13" spans="1:28" ht="20.25" customHeight="1" x14ac:dyDescent="0.35">
      <c r="A13" s="293"/>
      <c r="B13" s="296"/>
      <c r="C13" s="35" t="s">
        <v>200</v>
      </c>
      <c r="D13" s="10">
        <v>65</v>
      </c>
      <c r="E13" s="31" t="s">
        <v>17</v>
      </c>
      <c r="F13" s="49">
        <v>0.1</v>
      </c>
      <c r="G13" s="11">
        <v>1</v>
      </c>
      <c r="H13" s="70">
        <f>+F13*B12</f>
        <v>77.5</v>
      </c>
      <c r="I13" s="68">
        <v>77.5</v>
      </c>
      <c r="J13" s="65">
        <f>+I13-H13</f>
        <v>0</v>
      </c>
      <c r="K13" s="76">
        <v>77.5</v>
      </c>
      <c r="L13" s="9">
        <f>+I13-K13</f>
        <v>0</v>
      </c>
      <c r="M13" s="79">
        <v>4.5</v>
      </c>
      <c r="N13" s="23">
        <f>+K13-M13</f>
        <v>73</v>
      </c>
      <c r="O13" s="42">
        <f>+N13/B12</f>
        <v>9.4193548387096773E-2</v>
      </c>
      <c r="P13" s="19">
        <f>+L13+M13</f>
        <v>4.5</v>
      </c>
      <c r="Q13" s="82">
        <v>0</v>
      </c>
      <c r="R13" s="9">
        <f t="shared" ref="R13:R20" si="15">+P13-Q13</f>
        <v>4.5</v>
      </c>
      <c r="S13" s="9">
        <f>+R13*G13</f>
        <v>4.5</v>
      </c>
      <c r="T13" s="9">
        <f t="shared" si="14"/>
        <v>292.5</v>
      </c>
      <c r="U13" s="12">
        <f>+R13/I13</f>
        <v>5.8064516129032261E-2</v>
      </c>
      <c r="W13" s="102">
        <f>+I13*G13</f>
        <v>77.5</v>
      </c>
      <c r="X13" s="103">
        <f t="shared" si="8"/>
        <v>77.5</v>
      </c>
      <c r="Y13" s="103">
        <f t="shared" si="9"/>
        <v>0</v>
      </c>
      <c r="Z13" s="103">
        <f>+M13*G13</f>
        <v>4.5</v>
      </c>
      <c r="AA13" s="104">
        <f t="shared" si="11"/>
        <v>4.5</v>
      </c>
    </row>
    <row r="14" spans="1:28" ht="20.25" customHeight="1" x14ac:dyDescent="0.35">
      <c r="A14" s="293"/>
      <c r="B14" s="296"/>
      <c r="C14" s="35" t="s">
        <v>201</v>
      </c>
      <c r="D14" s="10">
        <v>130</v>
      </c>
      <c r="E14" s="31" t="s">
        <v>17</v>
      </c>
      <c r="F14" s="49">
        <v>0.08</v>
      </c>
      <c r="G14" s="11">
        <v>1</v>
      </c>
      <c r="H14" s="72">
        <f>+F14*B12</f>
        <v>62</v>
      </c>
      <c r="I14" s="68">
        <v>52</v>
      </c>
      <c r="J14" s="13">
        <f t="shared" ref="J14:J20" si="16">I14-H14</f>
        <v>-10</v>
      </c>
      <c r="K14" s="76">
        <v>51</v>
      </c>
      <c r="L14" s="9">
        <f t="shared" ref="L14:L20" si="17">+I14-K14</f>
        <v>1</v>
      </c>
      <c r="M14" s="79">
        <v>5</v>
      </c>
      <c r="N14" s="33">
        <f>+K14-M14</f>
        <v>46</v>
      </c>
      <c r="O14" s="42">
        <f>+N14/B12</f>
        <v>5.9354838709677421E-2</v>
      </c>
      <c r="P14" s="19">
        <f>+L14+M14</f>
        <v>6</v>
      </c>
      <c r="Q14" s="82">
        <v>0</v>
      </c>
      <c r="R14" s="9">
        <f t="shared" si="15"/>
        <v>6</v>
      </c>
      <c r="S14" s="9">
        <f t="shared" ref="S14:S20" si="18">+R14*G14</f>
        <v>6</v>
      </c>
      <c r="T14" s="9">
        <f t="shared" si="14"/>
        <v>780</v>
      </c>
      <c r="U14" s="12">
        <f t="shared" ref="U14:U20" si="19">+R14/I14</f>
        <v>0.11538461538461539</v>
      </c>
      <c r="W14" s="102">
        <f t="shared" si="7"/>
        <v>52</v>
      </c>
      <c r="X14" s="103">
        <f t="shared" si="8"/>
        <v>51</v>
      </c>
      <c r="Y14" s="103">
        <f t="shared" si="9"/>
        <v>1</v>
      </c>
      <c r="Z14" s="103">
        <f>+M14*G14</f>
        <v>5</v>
      </c>
      <c r="AA14" s="104">
        <f t="shared" si="11"/>
        <v>6</v>
      </c>
    </row>
    <row r="15" spans="1:28" ht="20.25" customHeight="1" x14ac:dyDescent="0.35">
      <c r="A15" s="293"/>
      <c r="B15" s="296"/>
      <c r="C15" s="35" t="s">
        <v>108</v>
      </c>
      <c r="D15" s="10">
        <v>55</v>
      </c>
      <c r="E15" s="31" t="s">
        <v>17</v>
      </c>
      <c r="F15" s="49">
        <v>0.1</v>
      </c>
      <c r="G15" s="11">
        <v>1</v>
      </c>
      <c r="H15" s="72">
        <f>+F15*B12</f>
        <v>77.5</v>
      </c>
      <c r="I15" s="68">
        <v>80</v>
      </c>
      <c r="J15" s="13">
        <f t="shared" si="16"/>
        <v>2.5</v>
      </c>
      <c r="K15" s="76">
        <v>77.5</v>
      </c>
      <c r="L15" s="9">
        <f t="shared" si="17"/>
        <v>2.5</v>
      </c>
      <c r="M15" s="79">
        <v>6</v>
      </c>
      <c r="N15" s="23">
        <f t="shared" ref="N15:N20" si="20">+K15-M15</f>
        <v>71.5</v>
      </c>
      <c r="O15" s="42">
        <f>+N15/B12</f>
        <v>9.2258064516129029E-2</v>
      </c>
      <c r="P15" s="19">
        <f t="shared" ref="P15:P20" si="21">+L15+M15</f>
        <v>8.5</v>
      </c>
      <c r="Q15" s="82">
        <v>0</v>
      </c>
      <c r="R15" s="9">
        <f t="shared" si="15"/>
        <v>8.5</v>
      </c>
      <c r="S15" s="9">
        <f t="shared" si="18"/>
        <v>8.5</v>
      </c>
      <c r="T15" s="9">
        <f t="shared" si="14"/>
        <v>467.5</v>
      </c>
      <c r="U15" s="12">
        <f t="shared" si="19"/>
        <v>0.10625</v>
      </c>
      <c r="W15" s="102">
        <f t="shared" si="7"/>
        <v>80</v>
      </c>
      <c r="X15" s="103">
        <f t="shared" si="8"/>
        <v>77.5</v>
      </c>
      <c r="Y15" s="103">
        <f t="shared" si="9"/>
        <v>2.5</v>
      </c>
      <c r="Z15" s="103">
        <f t="shared" si="10"/>
        <v>6</v>
      </c>
      <c r="AA15" s="104">
        <f t="shared" si="11"/>
        <v>8.5</v>
      </c>
    </row>
    <row r="16" spans="1:28" ht="20.25" customHeight="1" x14ac:dyDescent="0.35">
      <c r="A16" s="293"/>
      <c r="B16" s="296"/>
      <c r="C16" s="35" t="s">
        <v>32</v>
      </c>
      <c r="D16" s="10">
        <v>48</v>
      </c>
      <c r="E16" s="31" t="s">
        <v>18</v>
      </c>
      <c r="F16" s="49">
        <v>0.08</v>
      </c>
      <c r="G16" s="11">
        <v>1</v>
      </c>
      <c r="H16" s="72">
        <f>+F16*B12</f>
        <v>62</v>
      </c>
      <c r="I16" s="68">
        <v>65</v>
      </c>
      <c r="J16" s="13">
        <f t="shared" si="16"/>
        <v>3</v>
      </c>
      <c r="K16" s="76">
        <v>62</v>
      </c>
      <c r="L16" s="9">
        <f t="shared" si="17"/>
        <v>3</v>
      </c>
      <c r="M16" s="79">
        <v>6</v>
      </c>
      <c r="N16" s="33">
        <f t="shared" si="20"/>
        <v>56</v>
      </c>
      <c r="O16" s="42">
        <f>+N16/B12</f>
        <v>7.2258064516129039E-2</v>
      </c>
      <c r="P16" s="19">
        <f t="shared" si="21"/>
        <v>9</v>
      </c>
      <c r="Q16" s="82">
        <v>0</v>
      </c>
      <c r="R16" s="9">
        <f t="shared" si="15"/>
        <v>9</v>
      </c>
      <c r="S16" s="9">
        <f t="shared" si="18"/>
        <v>9</v>
      </c>
      <c r="T16" s="9">
        <f t="shared" si="14"/>
        <v>432</v>
      </c>
      <c r="U16" s="12">
        <f t="shared" si="19"/>
        <v>0.13846153846153847</v>
      </c>
      <c r="W16" s="102">
        <f t="shared" si="7"/>
        <v>65</v>
      </c>
      <c r="X16" s="103">
        <f t="shared" si="8"/>
        <v>62</v>
      </c>
      <c r="Y16" s="103">
        <f t="shared" si="9"/>
        <v>3</v>
      </c>
      <c r="Z16" s="103">
        <f t="shared" si="10"/>
        <v>6</v>
      </c>
      <c r="AA16" s="104">
        <f t="shared" si="11"/>
        <v>9</v>
      </c>
    </row>
    <row r="17" spans="1:28" ht="20.25" customHeight="1" x14ac:dyDescent="0.35">
      <c r="A17" s="293"/>
      <c r="B17" s="296"/>
      <c r="C17" s="35" t="s">
        <v>155</v>
      </c>
      <c r="D17" s="10">
        <v>35</v>
      </c>
      <c r="E17" s="31" t="s">
        <v>18</v>
      </c>
      <c r="F17" s="49">
        <v>0.06</v>
      </c>
      <c r="G17" s="11">
        <v>1</v>
      </c>
      <c r="H17" s="73">
        <f>+F17*B12</f>
        <v>46.5</v>
      </c>
      <c r="I17" s="68">
        <v>64</v>
      </c>
      <c r="J17" s="66">
        <f t="shared" si="16"/>
        <v>17.5</v>
      </c>
      <c r="K17" s="76">
        <v>62</v>
      </c>
      <c r="L17" s="9">
        <f t="shared" si="17"/>
        <v>2</v>
      </c>
      <c r="M17" s="79">
        <v>4</v>
      </c>
      <c r="N17" s="23">
        <f t="shared" si="20"/>
        <v>58</v>
      </c>
      <c r="O17" s="42">
        <f>+N17/B12</f>
        <v>7.483870967741936E-2</v>
      </c>
      <c r="P17" s="19">
        <f t="shared" si="21"/>
        <v>6</v>
      </c>
      <c r="Q17" s="82">
        <v>0</v>
      </c>
      <c r="R17" s="9">
        <f t="shared" si="15"/>
        <v>6</v>
      </c>
      <c r="S17" s="9">
        <f t="shared" si="18"/>
        <v>6</v>
      </c>
      <c r="T17" s="9">
        <f t="shared" si="14"/>
        <v>210</v>
      </c>
      <c r="U17" s="12">
        <f t="shared" si="19"/>
        <v>9.375E-2</v>
      </c>
      <c r="W17" s="102">
        <f t="shared" si="7"/>
        <v>64</v>
      </c>
      <c r="X17" s="103">
        <f t="shared" si="8"/>
        <v>62</v>
      </c>
      <c r="Y17" s="103">
        <f t="shared" si="9"/>
        <v>2</v>
      </c>
      <c r="Z17" s="103">
        <f t="shared" si="10"/>
        <v>4</v>
      </c>
      <c r="AA17" s="104">
        <f t="shared" si="11"/>
        <v>6</v>
      </c>
    </row>
    <row r="18" spans="1:28" ht="20.25" customHeight="1" x14ac:dyDescent="0.35">
      <c r="A18" s="293"/>
      <c r="B18" s="296"/>
      <c r="C18" s="35" t="s">
        <v>33</v>
      </c>
      <c r="D18" s="10">
        <v>50</v>
      </c>
      <c r="E18" s="31" t="s">
        <v>17</v>
      </c>
      <c r="F18" s="49">
        <v>0.03</v>
      </c>
      <c r="G18" s="11">
        <v>1</v>
      </c>
      <c r="H18" s="72">
        <f>+F18*B12</f>
        <v>23.25</v>
      </c>
      <c r="I18" s="68">
        <v>24</v>
      </c>
      <c r="J18" s="13">
        <f t="shared" si="16"/>
        <v>0.75</v>
      </c>
      <c r="K18" s="76">
        <v>23.3</v>
      </c>
      <c r="L18" s="9">
        <f t="shared" si="17"/>
        <v>0.69999999999999929</v>
      </c>
      <c r="M18" s="79">
        <v>3</v>
      </c>
      <c r="N18" s="23">
        <f t="shared" si="20"/>
        <v>20.3</v>
      </c>
      <c r="O18" s="42">
        <f>+N18/B12</f>
        <v>2.6193548387096775E-2</v>
      </c>
      <c r="P18" s="19">
        <f t="shared" si="21"/>
        <v>3.6999999999999993</v>
      </c>
      <c r="Q18" s="82">
        <v>0</v>
      </c>
      <c r="R18" s="9">
        <f t="shared" si="15"/>
        <v>3.6999999999999993</v>
      </c>
      <c r="S18" s="9">
        <f t="shared" si="18"/>
        <v>3.6999999999999993</v>
      </c>
      <c r="T18" s="9">
        <f t="shared" si="14"/>
        <v>184.99999999999997</v>
      </c>
      <c r="U18" s="12">
        <f t="shared" si="19"/>
        <v>0.15416666666666665</v>
      </c>
      <c r="W18" s="102">
        <f t="shared" si="7"/>
        <v>24</v>
      </c>
      <c r="X18" s="103">
        <f t="shared" si="8"/>
        <v>23.3</v>
      </c>
      <c r="Y18" s="103">
        <f t="shared" si="9"/>
        <v>0.69999999999999929</v>
      </c>
      <c r="Z18" s="103">
        <f t="shared" si="10"/>
        <v>3</v>
      </c>
      <c r="AA18" s="104">
        <f t="shared" si="11"/>
        <v>3.6999999999999993</v>
      </c>
    </row>
    <row r="19" spans="1:28" ht="20.25" customHeight="1" x14ac:dyDescent="0.35">
      <c r="A19" s="293"/>
      <c r="B19" s="296"/>
      <c r="C19" s="35" t="s">
        <v>34</v>
      </c>
      <c r="D19" s="31">
        <v>70</v>
      </c>
      <c r="E19" s="31" t="s">
        <v>17</v>
      </c>
      <c r="F19" s="11">
        <v>0.1</v>
      </c>
      <c r="G19" s="11">
        <v>1</v>
      </c>
      <c r="H19" s="72">
        <f>+F19*B12</f>
        <v>77.5</v>
      </c>
      <c r="I19" s="68">
        <v>77.5</v>
      </c>
      <c r="J19" s="13">
        <f t="shared" si="16"/>
        <v>0</v>
      </c>
      <c r="K19" s="76">
        <v>77.5</v>
      </c>
      <c r="L19" s="9">
        <f t="shared" si="17"/>
        <v>0</v>
      </c>
      <c r="M19" s="79">
        <v>0</v>
      </c>
      <c r="N19" s="23">
        <f t="shared" si="20"/>
        <v>77.5</v>
      </c>
      <c r="O19" s="42">
        <f>+N19/B12</f>
        <v>0.1</v>
      </c>
      <c r="P19" s="19">
        <f t="shared" si="21"/>
        <v>0</v>
      </c>
      <c r="Q19" s="82">
        <v>0</v>
      </c>
      <c r="R19" s="9">
        <f t="shared" si="15"/>
        <v>0</v>
      </c>
      <c r="S19" s="9">
        <f t="shared" si="18"/>
        <v>0</v>
      </c>
      <c r="T19" s="9">
        <f t="shared" si="14"/>
        <v>0</v>
      </c>
      <c r="U19" s="12">
        <f t="shared" si="19"/>
        <v>0</v>
      </c>
      <c r="W19" s="102">
        <f t="shared" si="7"/>
        <v>77.5</v>
      </c>
      <c r="X19" s="103">
        <f t="shared" si="8"/>
        <v>77.5</v>
      </c>
      <c r="Y19" s="103">
        <f t="shared" si="9"/>
        <v>0</v>
      </c>
      <c r="Z19" s="103">
        <f t="shared" si="10"/>
        <v>0</v>
      </c>
      <c r="AA19" s="104">
        <f t="shared" si="11"/>
        <v>0</v>
      </c>
    </row>
    <row r="20" spans="1:28" ht="20.25" customHeight="1" x14ac:dyDescent="0.35">
      <c r="A20" s="294"/>
      <c r="B20" s="297"/>
      <c r="C20" s="40" t="s">
        <v>35</v>
      </c>
      <c r="D20" s="44">
        <v>2</v>
      </c>
      <c r="E20" s="44" t="s">
        <v>16</v>
      </c>
      <c r="F20" s="53">
        <v>2</v>
      </c>
      <c r="G20" s="45">
        <v>0.04</v>
      </c>
      <c r="H20" s="72">
        <f>+F20*B12</f>
        <v>1550</v>
      </c>
      <c r="I20" s="68">
        <v>1560</v>
      </c>
      <c r="J20" s="13">
        <f t="shared" si="16"/>
        <v>10</v>
      </c>
      <c r="K20" s="76">
        <f>775*2</f>
        <v>1550</v>
      </c>
      <c r="L20" s="9">
        <f t="shared" si="17"/>
        <v>10</v>
      </c>
      <c r="M20" s="79">
        <v>35</v>
      </c>
      <c r="N20" s="33">
        <f t="shared" si="20"/>
        <v>1515</v>
      </c>
      <c r="O20" s="42">
        <f>+N20/B12</f>
        <v>1.9548387096774194</v>
      </c>
      <c r="P20" s="19">
        <f t="shared" si="21"/>
        <v>45</v>
      </c>
      <c r="Q20" s="82">
        <v>0</v>
      </c>
      <c r="R20" s="9">
        <f t="shared" si="15"/>
        <v>45</v>
      </c>
      <c r="S20" s="9">
        <f t="shared" si="18"/>
        <v>1.8</v>
      </c>
      <c r="T20" s="9">
        <f t="shared" si="14"/>
        <v>90</v>
      </c>
      <c r="U20" s="12">
        <f t="shared" si="19"/>
        <v>2.8846153846153848E-2</v>
      </c>
      <c r="W20" s="115">
        <f t="shared" si="7"/>
        <v>62.4</v>
      </c>
      <c r="X20" s="116">
        <f t="shared" si="8"/>
        <v>62</v>
      </c>
      <c r="Y20" s="116">
        <f t="shared" si="9"/>
        <v>0.4</v>
      </c>
      <c r="Z20" s="116">
        <f t="shared" si="10"/>
        <v>1.4000000000000001</v>
      </c>
      <c r="AA20" s="117">
        <f t="shared" si="11"/>
        <v>1.8</v>
      </c>
    </row>
    <row r="21" spans="1:28" ht="20.25" customHeight="1" thickBot="1" x14ac:dyDescent="0.4">
      <c r="A21" s="27"/>
      <c r="B21" s="28"/>
      <c r="C21" s="29"/>
      <c r="D21" s="15"/>
      <c r="E21" s="15"/>
      <c r="F21" s="15"/>
      <c r="G21" s="15"/>
      <c r="H21" s="74"/>
      <c r="I21" s="69"/>
      <c r="J21" s="16"/>
      <c r="K21" s="77"/>
      <c r="L21" s="15"/>
      <c r="M21" s="80"/>
      <c r="N21" s="14"/>
      <c r="O21" s="16"/>
      <c r="P21" s="20"/>
      <c r="Q21" s="83"/>
      <c r="R21" s="15"/>
      <c r="S21" s="56">
        <f>SUM(S12:S20)</f>
        <v>39.5</v>
      </c>
      <c r="T21" s="56">
        <f>SUM(T12:T20)</f>
        <v>2457</v>
      </c>
      <c r="U21" s="16"/>
      <c r="W21" s="118">
        <f>SUM(W12:W20)</f>
        <v>822.4</v>
      </c>
      <c r="X21" s="110">
        <f t="shared" ref="X21:AA21" si="22">SUM(X12:X20)</f>
        <v>802.8</v>
      </c>
      <c r="Y21" s="114">
        <f t="shared" si="22"/>
        <v>19.599999999999998</v>
      </c>
      <c r="Z21" s="109">
        <f t="shared" si="22"/>
        <v>59.9</v>
      </c>
      <c r="AA21" s="109">
        <f t="shared" si="22"/>
        <v>39.5</v>
      </c>
      <c r="AB21" s="94"/>
    </row>
    <row r="22" spans="1:28" ht="20.25" customHeight="1" x14ac:dyDescent="0.35">
      <c r="A22" s="292" t="s">
        <v>39</v>
      </c>
      <c r="B22" s="295">
        <v>670</v>
      </c>
      <c r="C22" s="34" t="s">
        <v>202</v>
      </c>
      <c r="D22" s="4">
        <v>2.5</v>
      </c>
      <c r="E22" s="4" t="s">
        <v>58</v>
      </c>
      <c r="F22" s="135">
        <v>2</v>
      </c>
      <c r="G22" s="5">
        <v>0.05</v>
      </c>
      <c r="H22" s="71">
        <f>+F22*B22</f>
        <v>1340</v>
      </c>
      <c r="I22" s="67">
        <v>1340</v>
      </c>
      <c r="J22" s="22">
        <f>I22-H22</f>
        <v>0</v>
      </c>
      <c r="K22" s="75">
        <v>1340</v>
      </c>
      <c r="L22" s="3">
        <f>+I22-K22</f>
        <v>0</v>
      </c>
      <c r="M22" s="78">
        <v>15</v>
      </c>
      <c r="N22" s="21">
        <f>+K22-M22</f>
        <v>1325</v>
      </c>
      <c r="O22" s="41">
        <f>+N22/B22</f>
        <v>1.9776119402985075</v>
      </c>
      <c r="P22" s="18">
        <f>+L22+M22</f>
        <v>15</v>
      </c>
      <c r="Q22" s="81">
        <v>0</v>
      </c>
      <c r="R22" s="3">
        <f>+P22-Q22</f>
        <v>15</v>
      </c>
      <c r="S22" s="3">
        <f>+R22*G22</f>
        <v>0.75</v>
      </c>
      <c r="T22" s="3">
        <f>+R22*D22</f>
        <v>37.5</v>
      </c>
      <c r="U22" s="6">
        <f>+R22/I22</f>
        <v>1.1194029850746268E-2</v>
      </c>
      <c r="W22" s="111">
        <f t="shared" si="7"/>
        <v>67</v>
      </c>
      <c r="X22" s="112">
        <f t="shared" si="8"/>
        <v>67</v>
      </c>
      <c r="Y22" s="112">
        <f t="shared" si="9"/>
        <v>0</v>
      </c>
      <c r="Z22" s="112">
        <f>+M22*G22</f>
        <v>0.75</v>
      </c>
      <c r="AA22" s="113">
        <f t="shared" si="11"/>
        <v>0.75</v>
      </c>
    </row>
    <row r="23" spans="1:28" ht="20.25" customHeight="1" x14ac:dyDescent="0.35">
      <c r="A23" s="293"/>
      <c r="B23" s="296"/>
      <c r="C23" s="35" t="s">
        <v>203</v>
      </c>
      <c r="D23" s="10">
        <v>45</v>
      </c>
      <c r="E23" s="10" t="s">
        <v>186</v>
      </c>
      <c r="F23" s="49">
        <v>1</v>
      </c>
      <c r="G23" s="11">
        <v>0.01</v>
      </c>
      <c r="H23" s="70">
        <f>+F23*B22</f>
        <v>670</v>
      </c>
      <c r="I23" s="68">
        <v>670</v>
      </c>
      <c r="J23" s="13">
        <f>I23-H23</f>
        <v>0</v>
      </c>
      <c r="K23" s="76">
        <v>670</v>
      </c>
      <c r="L23" s="9">
        <f t="shared" ref="L23:L25" si="23">+I23-K23</f>
        <v>0</v>
      </c>
      <c r="M23" s="79">
        <v>0</v>
      </c>
      <c r="N23" s="23">
        <f>+K23-M23</f>
        <v>670</v>
      </c>
      <c r="O23" s="42">
        <f>+N23/B22</f>
        <v>1</v>
      </c>
      <c r="P23" s="19">
        <f>+L23+M23</f>
        <v>0</v>
      </c>
      <c r="Q23" s="82">
        <v>0</v>
      </c>
      <c r="R23" s="9">
        <f t="shared" ref="R23:R25" si="24">+P23-Q23</f>
        <v>0</v>
      </c>
      <c r="S23" s="9">
        <f>+R23*G23</f>
        <v>0</v>
      </c>
      <c r="T23" s="9">
        <f>+R23*D23</f>
        <v>0</v>
      </c>
      <c r="U23" s="12">
        <f t="shared" ref="U23:U25" si="25">+R23/I23</f>
        <v>0</v>
      </c>
      <c r="W23" s="102">
        <f t="shared" si="7"/>
        <v>6.7</v>
      </c>
      <c r="X23" s="103">
        <f t="shared" si="8"/>
        <v>6.7</v>
      </c>
      <c r="Y23" s="103">
        <f t="shared" si="9"/>
        <v>0</v>
      </c>
      <c r="Z23" s="103">
        <f>+M23*G23</f>
        <v>0</v>
      </c>
      <c r="AA23" s="104">
        <f t="shared" si="11"/>
        <v>0</v>
      </c>
    </row>
    <row r="24" spans="1:28" ht="20.25" customHeight="1" x14ac:dyDescent="0.35">
      <c r="A24" s="293"/>
      <c r="B24" s="296"/>
      <c r="C24" s="35" t="s">
        <v>204</v>
      </c>
      <c r="D24" s="10">
        <v>6</v>
      </c>
      <c r="E24" s="10" t="s">
        <v>16</v>
      </c>
      <c r="F24" s="126">
        <v>1</v>
      </c>
      <c r="G24" s="11">
        <v>0.05</v>
      </c>
      <c r="H24" s="72">
        <f>+F24*B22</f>
        <v>670</v>
      </c>
      <c r="I24" s="68">
        <v>670</v>
      </c>
      <c r="J24" s="13">
        <f>I24-H24</f>
        <v>0</v>
      </c>
      <c r="K24" s="76">
        <v>670</v>
      </c>
      <c r="L24" s="9">
        <f t="shared" si="23"/>
        <v>0</v>
      </c>
      <c r="M24" s="79">
        <v>0</v>
      </c>
      <c r="N24" s="33">
        <f t="shared" ref="N24:N25" si="26">+K24-M24</f>
        <v>670</v>
      </c>
      <c r="O24" s="42">
        <f>+N24/B22</f>
        <v>1</v>
      </c>
      <c r="P24" s="19">
        <f>+L24+M24</f>
        <v>0</v>
      </c>
      <c r="Q24" s="82">
        <v>0</v>
      </c>
      <c r="R24" s="9">
        <f t="shared" si="24"/>
        <v>0</v>
      </c>
      <c r="S24" s="9">
        <f>+R24*G24</f>
        <v>0</v>
      </c>
      <c r="T24" s="9">
        <f>+R24*D24</f>
        <v>0</v>
      </c>
      <c r="U24" s="12">
        <f t="shared" si="25"/>
        <v>0</v>
      </c>
      <c r="W24" s="102">
        <f t="shared" si="7"/>
        <v>33.5</v>
      </c>
      <c r="X24" s="103">
        <f t="shared" si="8"/>
        <v>33.5</v>
      </c>
      <c r="Y24" s="103">
        <f t="shared" si="9"/>
        <v>0</v>
      </c>
      <c r="Z24" s="103">
        <f t="shared" si="10"/>
        <v>0</v>
      </c>
      <c r="AA24" s="104">
        <f t="shared" si="11"/>
        <v>0</v>
      </c>
    </row>
    <row r="25" spans="1:28" ht="20.25" customHeight="1" x14ac:dyDescent="0.35">
      <c r="A25" s="293"/>
      <c r="B25" s="296"/>
      <c r="C25" s="35" t="s">
        <v>14</v>
      </c>
      <c r="D25" s="10">
        <v>60</v>
      </c>
      <c r="E25" s="10" t="s">
        <v>18</v>
      </c>
      <c r="F25" s="49">
        <v>0.1</v>
      </c>
      <c r="G25" s="11">
        <v>1</v>
      </c>
      <c r="H25" s="72">
        <f>+F25*B22</f>
        <v>67</v>
      </c>
      <c r="I25" s="68">
        <v>68</v>
      </c>
      <c r="J25" s="13">
        <f>I25-H25</f>
        <v>1</v>
      </c>
      <c r="K25" s="76">
        <v>67</v>
      </c>
      <c r="L25" s="9">
        <f t="shared" si="23"/>
        <v>1</v>
      </c>
      <c r="M25" s="79">
        <v>4</v>
      </c>
      <c r="N25" s="23">
        <f t="shared" si="26"/>
        <v>63</v>
      </c>
      <c r="O25" s="42">
        <f>+N25/B22</f>
        <v>9.4029850746268656E-2</v>
      </c>
      <c r="P25" s="19">
        <f t="shared" ref="P25" si="27">+L25+M25</f>
        <v>5</v>
      </c>
      <c r="Q25" s="82">
        <v>0</v>
      </c>
      <c r="R25" s="9">
        <f t="shared" si="24"/>
        <v>5</v>
      </c>
      <c r="S25" s="9">
        <f>+R25*G25</f>
        <v>5</v>
      </c>
      <c r="T25" s="9">
        <f>+R25*D25</f>
        <v>300</v>
      </c>
      <c r="U25" s="12">
        <f t="shared" si="25"/>
        <v>7.3529411764705885E-2</v>
      </c>
      <c r="W25" s="105">
        <f t="shared" si="7"/>
        <v>68</v>
      </c>
      <c r="X25" s="106">
        <f t="shared" si="8"/>
        <v>67</v>
      </c>
      <c r="Y25" s="106">
        <f t="shared" si="9"/>
        <v>1</v>
      </c>
      <c r="Z25" s="106">
        <f t="shared" si="10"/>
        <v>4</v>
      </c>
      <c r="AA25" s="107">
        <f t="shared" si="11"/>
        <v>5</v>
      </c>
    </row>
    <row r="26" spans="1:28" ht="21.75" customHeight="1" thickBot="1" x14ac:dyDescent="0.4">
      <c r="A26" s="27"/>
      <c r="B26" s="55"/>
      <c r="C26" s="29"/>
      <c r="D26" s="15"/>
      <c r="E26" s="15"/>
      <c r="F26" s="15"/>
      <c r="G26" s="15"/>
      <c r="H26" s="74"/>
      <c r="I26" s="69"/>
      <c r="J26" s="16"/>
      <c r="K26" s="77"/>
      <c r="L26" s="15"/>
      <c r="M26" s="80"/>
      <c r="N26" s="14"/>
      <c r="O26" s="16"/>
      <c r="P26" s="20"/>
      <c r="Q26" s="83"/>
      <c r="R26" s="15"/>
      <c r="S26" s="56">
        <f>SUM(S22:S25)</f>
        <v>5.75</v>
      </c>
      <c r="T26" s="56">
        <f>SUM(T22:T25)</f>
        <v>337.5</v>
      </c>
      <c r="U26" s="16"/>
      <c r="W26" s="123">
        <f>SUM(W22:W25)</f>
        <v>175.2</v>
      </c>
      <c r="X26" s="124">
        <f t="shared" ref="X26:AA26" si="28">SUM(X22:X25)</f>
        <v>174.2</v>
      </c>
      <c r="Y26" s="124">
        <f t="shared" si="28"/>
        <v>1</v>
      </c>
      <c r="Z26" s="124">
        <f t="shared" si="28"/>
        <v>4.75</v>
      </c>
      <c r="AA26" s="125">
        <f t="shared" si="28"/>
        <v>5.75</v>
      </c>
    </row>
    <row r="27" spans="1:28" ht="20.25" customHeight="1" x14ac:dyDescent="0.35">
      <c r="A27" s="292" t="s">
        <v>40</v>
      </c>
      <c r="B27" s="295">
        <v>300</v>
      </c>
      <c r="C27" s="34" t="s">
        <v>31</v>
      </c>
      <c r="D27" s="4">
        <v>20</v>
      </c>
      <c r="E27" s="30" t="s">
        <v>17</v>
      </c>
      <c r="F27" s="52">
        <v>0.35</v>
      </c>
      <c r="G27" s="5">
        <v>1</v>
      </c>
      <c r="H27" s="71">
        <f>+F27*B27</f>
        <v>105</v>
      </c>
      <c r="I27" s="67">
        <v>125</v>
      </c>
      <c r="J27" s="22">
        <f t="shared" ref="J27:J35" si="29">I27-H27</f>
        <v>20</v>
      </c>
      <c r="K27" s="75">
        <f>300*0.4</f>
        <v>120</v>
      </c>
      <c r="L27" s="3">
        <f>+I27-K27</f>
        <v>5</v>
      </c>
      <c r="M27" s="78">
        <v>10</v>
      </c>
      <c r="N27" s="21">
        <f>+K27-M27</f>
        <v>110</v>
      </c>
      <c r="O27" s="41">
        <f>+N27/B27</f>
        <v>0.36666666666666664</v>
      </c>
      <c r="P27" s="18">
        <f>+L27+M27</f>
        <v>15</v>
      </c>
      <c r="Q27" s="81">
        <v>10</v>
      </c>
      <c r="R27" s="3">
        <v>5</v>
      </c>
      <c r="S27" s="3">
        <f t="shared" ref="S27:S35" si="30">+R27*G27</f>
        <v>5</v>
      </c>
      <c r="T27" s="3">
        <f t="shared" ref="T27:T35" si="31">+R27*D27</f>
        <v>100</v>
      </c>
      <c r="U27" s="6">
        <f>+R27/I27</f>
        <v>0.04</v>
      </c>
      <c r="W27" s="111">
        <f t="shared" si="7"/>
        <v>125</v>
      </c>
      <c r="X27" s="112">
        <f t="shared" si="8"/>
        <v>120</v>
      </c>
      <c r="Y27" s="112">
        <f t="shared" si="9"/>
        <v>5</v>
      </c>
      <c r="Z27" s="112">
        <f t="shared" si="10"/>
        <v>10</v>
      </c>
      <c r="AA27" s="113">
        <f t="shared" si="11"/>
        <v>5</v>
      </c>
    </row>
    <row r="28" spans="1:28" ht="20.25" customHeight="1" x14ac:dyDescent="0.35">
      <c r="A28" s="293"/>
      <c r="B28" s="296"/>
      <c r="C28" s="35" t="s">
        <v>206</v>
      </c>
      <c r="D28" s="10">
        <v>65</v>
      </c>
      <c r="E28" s="31" t="s">
        <v>17</v>
      </c>
      <c r="F28" s="49">
        <v>0.1</v>
      </c>
      <c r="G28" s="11">
        <v>1</v>
      </c>
      <c r="H28" s="70">
        <f>+F28*B27</f>
        <v>30</v>
      </c>
      <c r="I28" s="68">
        <v>32</v>
      </c>
      <c r="J28" s="13">
        <f t="shared" si="29"/>
        <v>2</v>
      </c>
      <c r="K28" s="76">
        <v>30</v>
      </c>
      <c r="L28" s="9">
        <f t="shared" ref="L28:L35" si="32">+I28-K28</f>
        <v>2</v>
      </c>
      <c r="M28" s="79">
        <v>2</v>
      </c>
      <c r="N28" s="23">
        <f t="shared" ref="N28:N35" si="33">+K28-M28</f>
        <v>28</v>
      </c>
      <c r="O28" s="42">
        <f>+N28/B27</f>
        <v>9.3333333333333338E-2</v>
      </c>
      <c r="P28" s="19">
        <f>+L28+M28</f>
        <v>4</v>
      </c>
      <c r="Q28" s="82">
        <v>0</v>
      </c>
      <c r="R28" s="9">
        <f t="shared" ref="R28:R35" si="34">+P28-Q28</f>
        <v>4</v>
      </c>
      <c r="S28" s="9">
        <f t="shared" si="30"/>
        <v>4</v>
      </c>
      <c r="T28" s="9">
        <f t="shared" si="31"/>
        <v>260</v>
      </c>
      <c r="U28" s="12">
        <f t="shared" ref="U28:U35" si="35">+R28/I28</f>
        <v>0.125</v>
      </c>
      <c r="W28" s="102">
        <f t="shared" si="7"/>
        <v>32</v>
      </c>
      <c r="X28" s="103">
        <f t="shared" si="8"/>
        <v>30</v>
      </c>
      <c r="Y28" s="103">
        <f t="shared" si="9"/>
        <v>2</v>
      </c>
      <c r="Z28" s="103">
        <f t="shared" si="10"/>
        <v>2</v>
      </c>
      <c r="AA28" s="104">
        <f t="shared" si="11"/>
        <v>4</v>
      </c>
    </row>
    <row r="29" spans="1:28" ht="20.25" customHeight="1" x14ac:dyDescent="0.35">
      <c r="A29" s="293"/>
      <c r="B29" s="296"/>
      <c r="C29" s="35" t="s">
        <v>207</v>
      </c>
      <c r="D29" s="10">
        <v>130</v>
      </c>
      <c r="E29" s="31" t="s">
        <v>17</v>
      </c>
      <c r="F29" s="49">
        <v>0.08</v>
      </c>
      <c r="G29" s="11">
        <v>1</v>
      </c>
      <c r="H29" s="72">
        <f>+F29*B27</f>
        <v>24</v>
      </c>
      <c r="I29" s="68">
        <v>25</v>
      </c>
      <c r="J29" s="13">
        <f t="shared" si="29"/>
        <v>1</v>
      </c>
      <c r="K29" s="76">
        <v>24</v>
      </c>
      <c r="L29" s="9">
        <f t="shared" si="32"/>
        <v>1</v>
      </c>
      <c r="M29" s="79">
        <v>2.5</v>
      </c>
      <c r="N29" s="33">
        <f t="shared" si="33"/>
        <v>21.5</v>
      </c>
      <c r="O29" s="42">
        <f>+N29/B27</f>
        <v>7.166666666666667E-2</v>
      </c>
      <c r="P29" s="19">
        <f>+L29+M29</f>
        <v>3.5</v>
      </c>
      <c r="Q29" s="82">
        <v>0</v>
      </c>
      <c r="R29" s="9">
        <f t="shared" si="34"/>
        <v>3.5</v>
      </c>
      <c r="S29" s="9">
        <f t="shared" si="30"/>
        <v>3.5</v>
      </c>
      <c r="T29" s="9">
        <f t="shared" si="31"/>
        <v>455</v>
      </c>
      <c r="U29" s="12">
        <f t="shared" si="35"/>
        <v>0.14000000000000001</v>
      </c>
      <c r="W29" s="102">
        <f t="shared" si="7"/>
        <v>25</v>
      </c>
      <c r="X29" s="103">
        <f t="shared" si="8"/>
        <v>24</v>
      </c>
      <c r="Y29" s="103">
        <f t="shared" si="9"/>
        <v>1</v>
      </c>
      <c r="Z29" s="103">
        <f t="shared" si="10"/>
        <v>2.5</v>
      </c>
      <c r="AA29" s="104">
        <f t="shared" si="11"/>
        <v>3.5</v>
      </c>
    </row>
    <row r="30" spans="1:28" ht="20.25" customHeight="1" x14ac:dyDescent="0.35">
      <c r="A30" s="293"/>
      <c r="B30" s="296"/>
      <c r="C30" s="35" t="s">
        <v>73</v>
      </c>
      <c r="D30" s="10">
        <v>55</v>
      </c>
      <c r="E30" s="31" t="s">
        <v>17</v>
      </c>
      <c r="F30" s="49">
        <v>0.1</v>
      </c>
      <c r="G30" s="11">
        <v>1</v>
      </c>
      <c r="H30" s="72">
        <f>+F30*B27</f>
        <v>30</v>
      </c>
      <c r="I30" s="68">
        <v>30</v>
      </c>
      <c r="J30" s="13">
        <f t="shared" si="29"/>
        <v>0</v>
      </c>
      <c r="K30" s="76">
        <v>30</v>
      </c>
      <c r="L30" s="9">
        <f t="shared" si="32"/>
        <v>0</v>
      </c>
      <c r="M30" s="79">
        <v>2</v>
      </c>
      <c r="N30" s="23">
        <f t="shared" si="33"/>
        <v>28</v>
      </c>
      <c r="O30" s="42">
        <f>+N30/B27</f>
        <v>9.3333333333333338E-2</v>
      </c>
      <c r="P30" s="19">
        <f t="shared" ref="P30:P35" si="36">+L30+M30</f>
        <v>2</v>
      </c>
      <c r="Q30" s="82">
        <v>0</v>
      </c>
      <c r="R30" s="9">
        <f t="shared" si="34"/>
        <v>2</v>
      </c>
      <c r="S30" s="9">
        <f t="shared" si="30"/>
        <v>2</v>
      </c>
      <c r="T30" s="9">
        <f t="shared" si="31"/>
        <v>110</v>
      </c>
      <c r="U30" s="12">
        <f t="shared" si="35"/>
        <v>6.6666666666666666E-2</v>
      </c>
      <c r="W30" s="102">
        <f t="shared" si="7"/>
        <v>30</v>
      </c>
      <c r="X30" s="103">
        <f t="shared" si="8"/>
        <v>30</v>
      </c>
      <c r="Y30" s="103">
        <f t="shared" si="9"/>
        <v>0</v>
      </c>
      <c r="Z30" s="103">
        <f t="shared" si="10"/>
        <v>2</v>
      </c>
      <c r="AA30" s="104">
        <f t="shared" si="11"/>
        <v>2</v>
      </c>
    </row>
    <row r="31" spans="1:28" ht="20.25" customHeight="1" x14ac:dyDescent="0.35">
      <c r="A31" s="293"/>
      <c r="B31" s="296"/>
      <c r="C31" s="35" t="s">
        <v>32</v>
      </c>
      <c r="D31" s="10">
        <v>48</v>
      </c>
      <c r="E31" s="31" t="s">
        <v>18</v>
      </c>
      <c r="F31" s="49">
        <v>0.08</v>
      </c>
      <c r="G31" s="11">
        <v>1</v>
      </c>
      <c r="H31" s="72">
        <f>+F31*B27</f>
        <v>24</v>
      </c>
      <c r="I31" s="68">
        <v>25</v>
      </c>
      <c r="J31" s="13">
        <f t="shared" si="29"/>
        <v>1</v>
      </c>
      <c r="K31" s="76">
        <v>24</v>
      </c>
      <c r="L31" s="9">
        <f t="shared" si="32"/>
        <v>1</v>
      </c>
      <c r="M31" s="79">
        <v>2.5</v>
      </c>
      <c r="N31" s="33">
        <f t="shared" si="33"/>
        <v>21.5</v>
      </c>
      <c r="O31" s="42">
        <f>+N31/B27</f>
        <v>7.166666666666667E-2</v>
      </c>
      <c r="P31" s="19">
        <f t="shared" si="36"/>
        <v>3.5</v>
      </c>
      <c r="Q31" s="82">
        <v>0</v>
      </c>
      <c r="R31" s="9">
        <f t="shared" si="34"/>
        <v>3.5</v>
      </c>
      <c r="S31" s="9">
        <f t="shared" si="30"/>
        <v>3.5</v>
      </c>
      <c r="T31" s="9">
        <f t="shared" si="31"/>
        <v>168</v>
      </c>
      <c r="U31" s="12">
        <f t="shared" si="35"/>
        <v>0.14000000000000001</v>
      </c>
      <c r="W31" s="102">
        <f t="shared" si="7"/>
        <v>25</v>
      </c>
      <c r="X31" s="103">
        <f t="shared" si="8"/>
        <v>24</v>
      </c>
      <c r="Y31" s="103">
        <f t="shared" si="9"/>
        <v>1</v>
      </c>
      <c r="Z31" s="103">
        <f t="shared" si="10"/>
        <v>2.5</v>
      </c>
      <c r="AA31" s="104">
        <f t="shared" si="11"/>
        <v>3.5</v>
      </c>
    </row>
    <row r="32" spans="1:28" ht="20.25" customHeight="1" x14ac:dyDescent="0.35">
      <c r="A32" s="293"/>
      <c r="B32" s="296"/>
      <c r="C32" s="35" t="s">
        <v>54</v>
      </c>
      <c r="D32" s="10">
        <v>35</v>
      </c>
      <c r="E32" s="31" t="s">
        <v>18</v>
      </c>
      <c r="F32" s="49">
        <v>0.08</v>
      </c>
      <c r="G32" s="11">
        <v>1</v>
      </c>
      <c r="H32" s="73">
        <f>+F32*B27</f>
        <v>24</v>
      </c>
      <c r="I32" s="68">
        <v>25</v>
      </c>
      <c r="J32" s="13">
        <f t="shared" si="29"/>
        <v>1</v>
      </c>
      <c r="K32" s="76">
        <v>24</v>
      </c>
      <c r="L32" s="9">
        <f t="shared" si="32"/>
        <v>1</v>
      </c>
      <c r="M32" s="79">
        <v>2</v>
      </c>
      <c r="N32" s="23">
        <f t="shared" si="33"/>
        <v>22</v>
      </c>
      <c r="O32" s="42">
        <f>+N32/B27</f>
        <v>7.3333333333333334E-2</v>
      </c>
      <c r="P32" s="19">
        <f t="shared" si="36"/>
        <v>3</v>
      </c>
      <c r="Q32" s="82">
        <v>0</v>
      </c>
      <c r="R32" s="9">
        <f t="shared" si="34"/>
        <v>3</v>
      </c>
      <c r="S32" s="9">
        <f t="shared" si="30"/>
        <v>3</v>
      </c>
      <c r="T32" s="9">
        <f t="shared" si="31"/>
        <v>105</v>
      </c>
      <c r="U32" s="12">
        <f t="shared" si="35"/>
        <v>0.12</v>
      </c>
      <c r="W32" s="102">
        <f t="shared" si="7"/>
        <v>25</v>
      </c>
      <c r="X32" s="103">
        <f t="shared" si="8"/>
        <v>24</v>
      </c>
      <c r="Y32" s="103">
        <f t="shared" si="9"/>
        <v>1</v>
      </c>
      <c r="Z32" s="103">
        <f t="shared" si="10"/>
        <v>2</v>
      </c>
      <c r="AA32" s="104">
        <f t="shared" si="11"/>
        <v>3</v>
      </c>
    </row>
    <row r="33" spans="1:28" ht="20.25" customHeight="1" x14ac:dyDescent="0.35">
      <c r="A33" s="293"/>
      <c r="B33" s="296"/>
      <c r="C33" s="35" t="s">
        <v>33</v>
      </c>
      <c r="D33" s="10">
        <v>50</v>
      </c>
      <c r="E33" s="31" t="s">
        <v>17</v>
      </c>
      <c r="F33" s="49">
        <v>0.03</v>
      </c>
      <c r="G33" s="11">
        <v>1</v>
      </c>
      <c r="H33" s="72">
        <f>+F33*B27</f>
        <v>9</v>
      </c>
      <c r="I33" s="68">
        <v>10</v>
      </c>
      <c r="J33" s="13">
        <f t="shared" si="29"/>
        <v>1</v>
      </c>
      <c r="K33" s="76">
        <v>9</v>
      </c>
      <c r="L33" s="9">
        <f t="shared" si="32"/>
        <v>1</v>
      </c>
      <c r="M33" s="79">
        <v>1.5</v>
      </c>
      <c r="N33" s="23">
        <f t="shared" si="33"/>
        <v>7.5</v>
      </c>
      <c r="O33" s="42">
        <f>+N33/B27</f>
        <v>2.5000000000000001E-2</v>
      </c>
      <c r="P33" s="19">
        <f t="shared" si="36"/>
        <v>2.5</v>
      </c>
      <c r="Q33" s="82">
        <v>0</v>
      </c>
      <c r="R33" s="9">
        <f t="shared" si="34"/>
        <v>2.5</v>
      </c>
      <c r="S33" s="9">
        <f t="shared" si="30"/>
        <v>2.5</v>
      </c>
      <c r="T33" s="9">
        <f t="shared" si="31"/>
        <v>125</v>
      </c>
      <c r="U33" s="12">
        <f t="shared" si="35"/>
        <v>0.25</v>
      </c>
      <c r="W33" s="102">
        <f t="shared" si="7"/>
        <v>10</v>
      </c>
      <c r="X33" s="103">
        <f t="shared" si="8"/>
        <v>9</v>
      </c>
      <c r="Y33" s="103">
        <f t="shared" si="9"/>
        <v>1</v>
      </c>
      <c r="Z33" s="103">
        <f t="shared" si="10"/>
        <v>1.5</v>
      </c>
      <c r="AA33" s="104">
        <f t="shared" si="11"/>
        <v>2.5</v>
      </c>
    </row>
    <row r="34" spans="1:28" ht="20.25" customHeight="1" x14ac:dyDescent="0.35">
      <c r="A34" s="293"/>
      <c r="B34" s="296"/>
      <c r="C34" s="35" t="s">
        <v>34</v>
      </c>
      <c r="D34" s="31">
        <v>70</v>
      </c>
      <c r="E34" s="31" t="s">
        <v>17</v>
      </c>
      <c r="F34" s="11">
        <v>0.1</v>
      </c>
      <c r="G34" s="11">
        <v>1</v>
      </c>
      <c r="H34" s="72">
        <f>+F34*B27</f>
        <v>30</v>
      </c>
      <c r="I34" s="68">
        <v>30</v>
      </c>
      <c r="J34" s="13">
        <f t="shared" si="29"/>
        <v>0</v>
      </c>
      <c r="K34" s="76">
        <v>30</v>
      </c>
      <c r="L34" s="9">
        <f t="shared" si="32"/>
        <v>0</v>
      </c>
      <c r="M34" s="79">
        <v>0</v>
      </c>
      <c r="N34" s="23">
        <f t="shared" si="33"/>
        <v>30</v>
      </c>
      <c r="O34" s="42">
        <f>+N34/B27</f>
        <v>0.1</v>
      </c>
      <c r="P34" s="19">
        <f t="shared" si="36"/>
        <v>0</v>
      </c>
      <c r="Q34" s="82">
        <v>0</v>
      </c>
      <c r="R34" s="9">
        <f t="shared" si="34"/>
        <v>0</v>
      </c>
      <c r="S34" s="9">
        <f t="shared" si="30"/>
        <v>0</v>
      </c>
      <c r="T34" s="9">
        <f t="shared" si="31"/>
        <v>0</v>
      </c>
      <c r="U34" s="12">
        <f t="shared" si="35"/>
        <v>0</v>
      </c>
      <c r="W34" s="102">
        <f t="shared" si="7"/>
        <v>30</v>
      </c>
      <c r="X34" s="103">
        <f t="shared" si="8"/>
        <v>30</v>
      </c>
      <c r="Y34" s="103">
        <f t="shared" si="9"/>
        <v>0</v>
      </c>
      <c r="Z34" s="103">
        <f t="shared" si="10"/>
        <v>0</v>
      </c>
      <c r="AA34" s="104">
        <f t="shared" si="11"/>
        <v>0</v>
      </c>
    </row>
    <row r="35" spans="1:28" ht="20.25" customHeight="1" x14ac:dyDescent="0.35">
      <c r="A35" s="294"/>
      <c r="B35" s="297"/>
      <c r="C35" s="40" t="s">
        <v>35</v>
      </c>
      <c r="D35" s="44">
        <v>2</v>
      </c>
      <c r="E35" s="44" t="s">
        <v>16</v>
      </c>
      <c r="F35" s="53">
        <v>2</v>
      </c>
      <c r="G35" s="45">
        <v>0.04</v>
      </c>
      <c r="H35" s="72">
        <f>+F35*B27</f>
        <v>600</v>
      </c>
      <c r="I35" s="68">
        <v>610</v>
      </c>
      <c r="J35" s="13">
        <f t="shared" si="29"/>
        <v>10</v>
      </c>
      <c r="K35" s="76">
        <v>600</v>
      </c>
      <c r="L35" s="9">
        <f t="shared" si="32"/>
        <v>10</v>
      </c>
      <c r="M35" s="79">
        <v>15</v>
      </c>
      <c r="N35" s="33">
        <f t="shared" si="33"/>
        <v>585</v>
      </c>
      <c r="O35" s="42">
        <f>+N35/B27</f>
        <v>1.95</v>
      </c>
      <c r="P35" s="19">
        <f t="shared" si="36"/>
        <v>25</v>
      </c>
      <c r="Q35" s="82">
        <v>0</v>
      </c>
      <c r="R35" s="9">
        <f t="shared" si="34"/>
        <v>25</v>
      </c>
      <c r="S35" s="9">
        <f t="shared" si="30"/>
        <v>1</v>
      </c>
      <c r="T35" s="9">
        <f t="shared" si="31"/>
        <v>50</v>
      </c>
      <c r="U35" s="12">
        <f t="shared" si="35"/>
        <v>4.0983606557377046E-2</v>
      </c>
      <c r="W35" s="105">
        <f t="shared" si="7"/>
        <v>24.400000000000002</v>
      </c>
      <c r="X35" s="106">
        <f t="shared" si="8"/>
        <v>24</v>
      </c>
      <c r="Y35" s="106">
        <f t="shared" si="9"/>
        <v>0.4</v>
      </c>
      <c r="Z35" s="106">
        <f t="shared" si="10"/>
        <v>0.6</v>
      </c>
      <c r="AA35" s="107">
        <f t="shared" si="11"/>
        <v>1</v>
      </c>
    </row>
    <row r="36" spans="1:28" ht="23.25" customHeight="1" thickBot="1" x14ac:dyDescent="0.4">
      <c r="A36" s="27"/>
      <c r="B36" s="57"/>
      <c r="C36" s="29"/>
      <c r="D36" s="15"/>
      <c r="E36" s="15"/>
      <c r="F36" s="15"/>
      <c r="G36" s="15"/>
      <c r="H36" s="14"/>
      <c r="I36" s="15"/>
      <c r="J36" s="16"/>
      <c r="K36" s="14"/>
      <c r="L36" s="15"/>
      <c r="M36" s="16"/>
      <c r="N36" s="14"/>
      <c r="O36" s="16"/>
      <c r="P36" s="20"/>
      <c r="Q36" s="15"/>
      <c r="R36" s="15"/>
      <c r="S36" s="56">
        <f>SUM(S27:S35)</f>
        <v>24.5</v>
      </c>
      <c r="T36" s="56">
        <f>SUM(T27:T35)</f>
        <v>1373</v>
      </c>
      <c r="U36" s="16"/>
      <c r="W36" s="122">
        <f>SUM(W27:W35)</f>
        <v>326.39999999999998</v>
      </c>
      <c r="X36" s="109">
        <f t="shared" ref="X36:AA36" si="37">SUM(X27:X35)</f>
        <v>315</v>
      </c>
      <c r="Y36" s="109">
        <f t="shared" si="37"/>
        <v>11.4</v>
      </c>
      <c r="Z36" s="110">
        <f t="shared" si="37"/>
        <v>23.1</v>
      </c>
      <c r="AA36" s="114">
        <f t="shared" si="37"/>
        <v>24.5</v>
      </c>
      <c r="AB36" s="94"/>
    </row>
    <row r="37" spans="1:28" ht="31.5" customHeight="1" thickBot="1" x14ac:dyDescent="0.4">
      <c r="A37" s="58" t="s">
        <v>42</v>
      </c>
      <c r="B37" s="32">
        <f>+B4+B12+B22+B27</f>
        <v>2438</v>
      </c>
      <c r="C37" s="29"/>
      <c r="D37" s="15"/>
      <c r="E37" s="15"/>
      <c r="F37" s="15"/>
      <c r="G37" s="15"/>
      <c r="H37" s="14"/>
      <c r="I37" s="15"/>
      <c r="J37" s="16"/>
      <c r="K37" s="14"/>
      <c r="L37" s="15"/>
      <c r="M37" s="16"/>
      <c r="N37" s="14"/>
      <c r="O37" s="16"/>
      <c r="P37" s="20"/>
      <c r="Q37" s="15"/>
      <c r="R37" s="17"/>
      <c r="S37" s="85">
        <f>+S36+S26+S21+S11</f>
        <v>105.80000000000001</v>
      </c>
      <c r="T37" s="85">
        <f>+T36+T26+T21+T11</f>
        <v>6156.4000000000005</v>
      </c>
      <c r="U37" s="62"/>
      <c r="W37" s="108">
        <f>+W11+W21+W26+W36</f>
        <v>1814.25</v>
      </c>
      <c r="X37" s="119">
        <f t="shared" ref="X37:AA37" si="38">+X11+X21+X26+X36</f>
        <v>1777.2</v>
      </c>
      <c r="Y37" s="119">
        <f t="shared" si="38"/>
        <v>37.050000000000004</v>
      </c>
      <c r="Z37" s="121">
        <f t="shared" si="38"/>
        <v>118.75</v>
      </c>
      <c r="AA37" s="120">
        <f t="shared" si="38"/>
        <v>105.80000000000001</v>
      </c>
      <c r="AB37" s="94"/>
    </row>
    <row r="38" spans="1:28" x14ac:dyDescent="0.35">
      <c r="B38" s="59"/>
      <c r="Y38" s="63"/>
    </row>
    <row r="39" spans="1:28" ht="15" thickBot="1" x14ac:dyDescent="0.4">
      <c r="W39" s="63"/>
      <c r="X39" s="63"/>
      <c r="Y39" s="63"/>
      <c r="Z39" s="63"/>
      <c r="AA39" s="63"/>
    </row>
    <row r="40" spans="1:28" ht="18" customHeight="1" x14ac:dyDescent="0.35">
      <c r="A40" s="271"/>
      <c r="B40" s="271"/>
      <c r="C40" s="271"/>
      <c r="D40" s="271"/>
      <c r="E40" s="271"/>
      <c r="F40" s="271"/>
      <c r="S40" s="341" t="s">
        <v>191</v>
      </c>
      <c r="T40" s="342"/>
      <c r="U40" s="342"/>
      <c r="V40" s="342"/>
      <c r="W40" s="342"/>
      <c r="X40" s="342"/>
      <c r="Y40" s="342"/>
      <c r="Z40" s="342"/>
      <c r="AA40" s="343"/>
    </row>
    <row r="41" spans="1:28" ht="36.75" customHeight="1" x14ac:dyDescent="0.35">
      <c r="A41" s="255"/>
      <c r="B41" s="255"/>
      <c r="C41" s="255"/>
      <c r="D41" s="260"/>
      <c r="E41" s="260"/>
      <c r="F41" s="261"/>
      <c r="O41" s="255"/>
      <c r="P41" s="255"/>
      <c r="S41" s="7" t="s">
        <v>6</v>
      </c>
      <c r="T41" s="8" t="s">
        <v>7</v>
      </c>
      <c r="U41" s="60" t="s">
        <v>162</v>
      </c>
      <c r="V41" s="60" t="s">
        <v>3</v>
      </c>
      <c r="W41" s="60" t="s">
        <v>28</v>
      </c>
      <c r="X41" s="60" t="s">
        <v>163</v>
      </c>
      <c r="Y41" s="60" t="s">
        <v>164</v>
      </c>
      <c r="Z41" s="258" t="s">
        <v>165</v>
      </c>
      <c r="AA41" s="61" t="s">
        <v>166</v>
      </c>
    </row>
    <row r="42" spans="1:28" ht="29.25" customHeight="1" x14ac:dyDescent="0.35">
      <c r="A42" s="262"/>
      <c r="B42" s="263"/>
      <c r="C42" s="264"/>
      <c r="D42" s="264"/>
      <c r="E42" s="265"/>
      <c r="F42" s="266"/>
      <c r="O42" s="256"/>
      <c r="P42" s="256"/>
      <c r="S42" s="91" t="s">
        <v>47</v>
      </c>
      <c r="T42" s="35">
        <f>+B4</f>
        <v>693</v>
      </c>
      <c r="U42" s="254">
        <f>+W11</f>
        <v>490.25</v>
      </c>
      <c r="V42" s="254">
        <f t="shared" ref="V42:Y42" si="39">+X11</f>
        <v>485.2</v>
      </c>
      <c r="W42" s="254">
        <f t="shared" si="39"/>
        <v>5.050000000000006</v>
      </c>
      <c r="X42" s="254">
        <f t="shared" si="39"/>
        <v>31</v>
      </c>
      <c r="Y42" s="254">
        <f t="shared" si="39"/>
        <v>36.050000000000004</v>
      </c>
      <c r="Z42" s="95">
        <f>+Y42/T42</f>
        <v>5.2020202020202029E-2</v>
      </c>
      <c r="AA42" s="253">
        <f>+Y42/U42</f>
        <v>7.3533911269760333E-2</v>
      </c>
    </row>
    <row r="43" spans="1:28" ht="29.25" customHeight="1" x14ac:dyDescent="0.35">
      <c r="A43" s="262"/>
      <c r="B43" s="263"/>
      <c r="C43" s="263"/>
      <c r="D43" s="264"/>
      <c r="E43" s="265"/>
      <c r="F43" s="266"/>
      <c r="O43" s="256"/>
      <c r="P43" s="256"/>
      <c r="Q43" s="133"/>
      <c r="R43" s="134"/>
      <c r="S43" s="91" t="s">
        <v>48</v>
      </c>
      <c r="T43" s="35">
        <f>+B12</f>
        <v>775</v>
      </c>
      <c r="U43" s="254">
        <f>+W21</f>
        <v>822.4</v>
      </c>
      <c r="V43" s="254">
        <f t="shared" ref="V43:Y43" si="40">+X21</f>
        <v>802.8</v>
      </c>
      <c r="W43" s="254">
        <f t="shared" si="40"/>
        <v>19.599999999999998</v>
      </c>
      <c r="X43" s="254">
        <f t="shared" si="40"/>
        <v>59.9</v>
      </c>
      <c r="Y43" s="254">
        <f t="shared" si="40"/>
        <v>39.5</v>
      </c>
      <c r="Z43" s="95">
        <f t="shared" ref="Z43:Z45" si="41">+Y43/T43</f>
        <v>5.0967741935483868E-2</v>
      </c>
      <c r="AA43" s="253">
        <f t="shared" ref="AA43:AA45" si="42">+Y43/U43</f>
        <v>4.8030155642023349E-2</v>
      </c>
    </row>
    <row r="44" spans="1:28" ht="29.25" customHeight="1" x14ac:dyDescent="0.35">
      <c r="A44" s="262"/>
      <c r="B44" s="263"/>
      <c r="C44" s="263"/>
      <c r="D44" s="264"/>
      <c r="E44" s="265"/>
      <c r="F44" s="266"/>
      <c r="O44" s="256"/>
      <c r="P44" s="256"/>
      <c r="S44" s="91" t="s">
        <v>49</v>
      </c>
      <c r="T44" s="35">
        <f>+B22</f>
        <v>670</v>
      </c>
      <c r="U44" s="254">
        <f>+W26</f>
        <v>175.2</v>
      </c>
      <c r="V44" s="254">
        <f t="shared" ref="V44:Y44" si="43">+X26</f>
        <v>174.2</v>
      </c>
      <c r="W44" s="254">
        <f t="shared" si="43"/>
        <v>1</v>
      </c>
      <c r="X44" s="254">
        <f t="shared" si="43"/>
        <v>4.75</v>
      </c>
      <c r="Y44" s="254">
        <f t="shared" si="43"/>
        <v>5.75</v>
      </c>
      <c r="Z44" s="95">
        <f t="shared" si="41"/>
        <v>8.5820895522388061E-3</v>
      </c>
      <c r="AA44" s="253">
        <f t="shared" si="42"/>
        <v>3.2819634703196349E-2</v>
      </c>
    </row>
    <row r="45" spans="1:28" ht="29.25" customHeight="1" x14ac:dyDescent="0.35">
      <c r="A45" s="262"/>
      <c r="B45" s="263"/>
      <c r="C45" s="264"/>
      <c r="D45" s="264"/>
      <c r="E45" s="265"/>
      <c r="F45" s="266"/>
      <c r="O45" s="256"/>
      <c r="P45" s="256"/>
      <c r="S45" s="91" t="s">
        <v>50</v>
      </c>
      <c r="T45" s="35">
        <f>+B27</f>
        <v>300</v>
      </c>
      <c r="U45" s="254">
        <f>+W36</f>
        <v>326.39999999999998</v>
      </c>
      <c r="V45" s="254">
        <f t="shared" ref="V45:Y45" si="44">+X36</f>
        <v>315</v>
      </c>
      <c r="W45" s="254">
        <f t="shared" si="44"/>
        <v>11.4</v>
      </c>
      <c r="X45" s="254">
        <f t="shared" si="44"/>
        <v>23.1</v>
      </c>
      <c r="Y45" s="254">
        <f t="shared" si="44"/>
        <v>24.5</v>
      </c>
      <c r="Z45" s="95">
        <f t="shared" si="41"/>
        <v>8.1666666666666665E-2</v>
      </c>
      <c r="AA45" s="253">
        <f t="shared" si="42"/>
        <v>7.5061274509803932E-2</v>
      </c>
    </row>
    <row r="46" spans="1:28" ht="29.25" customHeight="1" thickBot="1" x14ac:dyDescent="0.4">
      <c r="A46" s="267"/>
      <c r="B46" s="268"/>
      <c r="C46" s="268"/>
      <c r="D46" s="269"/>
      <c r="E46" s="270"/>
      <c r="F46" s="266"/>
      <c r="G46" s="259"/>
      <c r="O46" s="257"/>
      <c r="P46" s="257"/>
      <c r="S46" s="93" t="s">
        <v>51</v>
      </c>
      <c r="T46" s="96">
        <f>SUM(T42:T45)</f>
        <v>2438</v>
      </c>
      <c r="U46" s="272">
        <f>SUM(U42:U45)</f>
        <v>1814.25</v>
      </c>
      <c r="V46" s="272">
        <f t="shared" ref="V46:Y46" si="45">SUM(V42:V45)</f>
        <v>1777.2</v>
      </c>
      <c r="W46" s="272">
        <f t="shared" si="45"/>
        <v>37.050000000000004</v>
      </c>
      <c r="X46" s="272">
        <f t="shared" si="45"/>
        <v>118.75</v>
      </c>
      <c r="Y46" s="272">
        <f t="shared" si="45"/>
        <v>105.80000000000001</v>
      </c>
      <c r="Z46" s="273">
        <f>+Y46/T46</f>
        <v>4.3396226415094344E-2</v>
      </c>
      <c r="AA46" s="274">
        <f>+Y46/U46</f>
        <v>5.8316108584814667E-2</v>
      </c>
    </row>
    <row r="47" spans="1:28" x14ac:dyDescent="0.35">
      <c r="T47">
        <v>410</v>
      </c>
    </row>
    <row r="48" spans="1:28" x14ac:dyDescent="0.35">
      <c r="T48">
        <f>+T46+T47</f>
        <v>2848</v>
      </c>
    </row>
  </sheetData>
  <mergeCells count="16">
    <mergeCell ref="A1:F1"/>
    <mergeCell ref="A2:G2"/>
    <mergeCell ref="H2:J2"/>
    <mergeCell ref="K2:M2"/>
    <mergeCell ref="N2:O2"/>
    <mergeCell ref="A27:A35"/>
    <mergeCell ref="B27:B35"/>
    <mergeCell ref="S40:AA40"/>
    <mergeCell ref="W2:AA2"/>
    <mergeCell ref="A4:A10"/>
    <mergeCell ref="B4:B10"/>
    <mergeCell ref="A12:A20"/>
    <mergeCell ref="B12:B20"/>
    <mergeCell ref="A22:A25"/>
    <mergeCell ref="B22:B25"/>
    <mergeCell ref="P2:U2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B7EF2-9421-4C32-A7F4-A2395137502B}">
  <dimension ref="A1:AB48"/>
  <sheetViews>
    <sheetView workbookViewId="0">
      <pane xSplit="7" ySplit="3" topLeftCell="L26" activePane="bottomRight" state="frozen"/>
      <selection pane="topRight" activeCell="H1" sqref="H1"/>
      <selection pane="bottomLeft" activeCell="A4" sqref="A4"/>
      <selection pane="bottomRight" activeCell="N5" sqref="N5"/>
    </sheetView>
  </sheetViews>
  <sheetFormatPr defaultRowHeight="14.5" x14ac:dyDescent="0.35"/>
  <cols>
    <col min="1" max="1" width="11" customWidth="1"/>
    <col min="2" max="2" width="7.81640625" customWidth="1"/>
    <col min="3" max="3" width="20" customWidth="1"/>
    <col min="4" max="4" width="9.1796875" customWidth="1"/>
    <col min="5" max="5" width="9.26953125" customWidth="1"/>
    <col min="6" max="6" width="10" customWidth="1"/>
    <col min="7" max="7" width="8.1796875" customWidth="1"/>
    <col min="8" max="8" width="12.54296875" customWidth="1"/>
    <col min="9" max="9" width="12.453125" customWidth="1"/>
    <col min="10" max="10" width="11" customWidth="1"/>
    <col min="11" max="11" width="9.453125" customWidth="1"/>
    <col min="12" max="12" width="11" customWidth="1"/>
    <col min="13" max="13" width="13.54296875" customWidth="1"/>
    <col min="14" max="14" width="14.81640625" customWidth="1"/>
    <col min="15" max="15" width="16" customWidth="1"/>
    <col min="16" max="16" width="11.26953125" customWidth="1"/>
    <col min="17" max="18" width="9.54296875" customWidth="1"/>
    <col min="19" max="20" width="10.81640625" customWidth="1"/>
    <col min="21" max="21" width="12.7265625" customWidth="1"/>
    <col min="22" max="22" width="10" customWidth="1"/>
    <col min="23" max="23" width="11.453125" customWidth="1"/>
    <col min="24" max="24" width="11" customWidth="1"/>
    <col min="25" max="25" width="13.453125" customWidth="1"/>
    <col min="26" max="26" width="10.26953125" customWidth="1"/>
    <col min="27" max="27" width="13.7265625" customWidth="1"/>
  </cols>
  <sheetData>
    <row r="1" spans="1:28" ht="22.5" customHeight="1" thickBot="1" x14ac:dyDescent="0.4">
      <c r="A1" s="308" t="s">
        <v>36</v>
      </c>
      <c r="B1" s="309"/>
      <c r="C1" s="309"/>
      <c r="D1" s="309"/>
      <c r="E1" s="309"/>
      <c r="F1" s="310"/>
    </row>
    <row r="2" spans="1:28" ht="22.5" customHeight="1" thickBot="1" x14ac:dyDescent="0.4">
      <c r="A2" s="311" t="s">
        <v>208</v>
      </c>
      <c r="B2" s="312"/>
      <c r="C2" s="312"/>
      <c r="D2" s="312"/>
      <c r="E2" s="312"/>
      <c r="F2" s="312"/>
      <c r="G2" s="313"/>
      <c r="H2" s="314" t="s">
        <v>22</v>
      </c>
      <c r="I2" s="315"/>
      <c r="J2" s="316"/>
      <c r="K2" s="317" t="s">
        <v>23</v>
      </c>
      <c r="L2" s="318"/>
      <c r="M2" s="319"/>
      <c r="N2" s="320" t="s">
        <v>24</v>
      </c>
      <c r="O2" s="321"/>
      <c r="P2" s="305" t="s">
        <v>25</v>
      </c>
      <c r="Q2" s="306"/>
      <c r="R2" s="306"/>
      <c r="S2" s="306"/>
      <c r="T2" s="306"/>
      <c r="U2" s="307"/>
      <c r="W2" s="325" t="s">
        <v>43</v>
      </c>
      <c r="X2" s="326"/>
      <c r="Y2" s="326"/>
      <c r="Z2" s="326"/>
      <c r="AA2" s="327"/>
    </row>
    <row r="3" spans="1:28" ht="58.5" thickBot="1" x14ac:dyDescent="0.4">
      <c r="A3" s="39" t="s">
        <v>6</v>
      </c>
      <c r="B3" s="38" t="s">
        <v>7</v>
      </c>
      <c r="C3" s="38" t="s">
        <v>0</v>
      </c>
      <c r="D3" s="37" t="s">
        <v>15</v>
      </c>
      <c r="E3" s="38" t="s">
        <v>1</v>
      </c>
      <c r="F3" s="36" t="s">
        <v>27</v>
      </c>
      <c r="G3" s="37" t="s">
        <v>19</v>
      </c>
      <c r="H3" s="25" t="s">
        <v>4</v>
      </c>
      <c r="I3" s="89" t="s">
        <v>44</v>
      </c>
      <c r="J3" s="26" t="s">
        <v>29</v>
      </c>
      <c r="K3" s="88" t="s">
        <v>3</v>
      </c>
      <c r="L3" s="1" t="s">
        <v>28</v>
      </c>
      <c r="M3" s="87" t="s">
        <v>5</v>
      </c>
      <c r="N3" s="25" t="s">
        <v>20</v>
      </c>
      <c r="O3" s="26" t="s">
        <v>21</v>
      </c>
      <c r="P3" s="24" t="s">
        <v>8</v>
      </c>
      <c r="Q3" s="86" t="s">
        <v>9</v>
      </c>
      <c r="R3" s="2" t="s">
        <v>10</v>
      </c>
      <c r="S3" s="1" t="s">
        <v>26</v>
      </c>
      <c r="T3" s="1" t="s">
        <v>11</v>
      </c>
      <c r="U3" s="1" t="s">
        <v>30</v>
      </c>
      <c r="W3" s="43" t="s">
        <v>2</v>
      </c>
      <c r="X3" s="60" t="s">
        <v>3</v>
      </c>
      <c r="Y3" s="60" t="s">
        <v>28</v>
      </c>
      <c r="Z3" s="60" t="s">
        <v>5</v>
      </c>
      <c r="AA3" s="61" t="s">
        <v>26</v>
      </c>
    </row>
    <row r="4" spans="1:28" ht="20.25" customHeight="1" x14ac:dyDescent="0.35">
      <c r="A4" s="301" t="s">
        <v>37</v>
      </c>
      <c r="B4" s="303">
        <v>1939</v>
      </c>
      <c r="C4" s="34" t="s">
        <v>55</v>
      </c>
      <c r="D4" s="4">
        <v>2</v>
      </c>
      <c r="E4" s="30" t="s">
        <v>16</v>
      </c>
      <c r="F4" s="47">
        <v>2</v>
      </c>
      <c r="G4" s="5">
        <v>0.05</v>
      </c>
      <c r="H4" s="71">
        <f>+F4*B4</f>
        <v>3878</v>
      </c>
      <c r="I4" s="67">
        <v>3890</v>
      </c>
      <c r="J4" s="64">
        <f>I4-H4</f>
        <v>12</v>
      </c>
      <c r="K4" s="75">
        <f>1939*2</f>
        <v>3878</v>
      </c>
      <c r="L4" s="127">
        <f>+I4-K4</f>
        <v>12</v>
      </c>
      <c r="M4" s="78">
        <v>60</v>
      </c>
      <c r="N4" s="128">
        <f>+K4-M4</f>
        <v>3818</v>
      </c>
      <c r="O4" s="64">
        <f>+N4/B4</f>
        <v>1.9690562145435793</v>
      </c>
      <c r="P4" s="18">
        <f>+L4+M4</f>
        <v>72</v>
      </c>
      <c r="Q4" s="81">
        <v>40</v>
      </c>
      <c r="R4" s="3">
        <f t="shared" ref="R4:R10" si="0">+P4-Q4</f>
        <v>32</v>
      </c>
      <c r="S4" s="3">
        <f t="shared" ref="S4:S10" si="1">+R4*G4</f>
        <v>1.6</v>
      </c>
      <c r="T4" s="3">
        <f t="shared" ref="T4:T10" si="2">+R4*D4</f>
        <v>64</v>
      </c>
      <c r="U4" s="6">
        <f>+R4/I4</f>
        <v>8.2262210796915161E-3</v>
      </c>
      <c r="W4" s="102">
        <f>+I4*G4</f>
        <v>194.5</v>
      </c>
      <c r="X4" s="103">
        <f>+K4*G4</f>
        <v>193.9</v>
      </c>
      <c r="Y4" s="103">
        <f>+L4*G4</f>
        <v>0.60000000000000009</v>
      </c>
      <c r="Z4" s="103">
        <f>+M4*G4</f>
        <v>3</v>
      </c>
      <c r="AA4" s="104">
        <f>+R4*G4</f>
        <v>1.6</v>
      </c>
    </row>
    <row r="5" spans="1:28" ht="20.25" customHeight="1" x14ac:dyDescent="0.35">
      <c r="A5" s="302"/>
      <c r="B5" s="304"/>
      <c r="C5" s="35" t="s">
        <v>148</v>
      </c>
      <c r="D5" s="10">
        <v>4</v>
      </c>
      <c r="E5" s="31" t="s">
        <v>16</v>
      </c>
      <c r="F5" s="48">
        <v>2</v>
      </c>
      <c r="G5" s="11">
        <v>0.05</v>
      </c>
      <c r="H5" s="70">
        <f>+F5*B4</f>
        <v>3878</v>
      </c>
      <c r="I5" s="68">
        <v>3885</v>
      </c>
      <c r="J5" s="13">
        <f t="shared" ref="J5:J10" si="3">I5-H5</f>
        <v>7</v>
      </c>
      <c r="K5" s="76">
        <v>3878</v>
      </c>
      <c r="L5" s="9">
        <f t="shared" ref="L5:L10" si="4">+I5-K5</f>
        <v>7</v>
      </c>
      <c r="M5" s="79">
        <v>25</v>
      </c>
      <c r="N5" s="23">
        <f t="shared" ref="N5:N10" si="5">+K5-M5</f>
        <v>3853</v>
      </c>
      <c r="O5" s="65">
        <f>+N5/B4</f>
        <v>1.9871067560598246</v>
      </c>
      <c r="P5" s="19">
        <f>+L5+M5</f>
        <v>32</v>
      </c>
      <c r="Q5" s="82">
        <v>15</v>
      </c>
      <c r="R5" s="9">
        <f t="shared" si="0"/>
        <v>17</v>
      </c>
      <c r="S5" s="9">
        <f>+R5*G5</f>
        <v>0.85000000000000009</v>
      </c>
      <c r="T5" s="9">
        <f t="shared" si="2"/>
        <v>68</v>
      </c>
      <c r="U5" s="12">
        <f t="shared" ref="U5:U9" si="6">+R5/I5</f>
        <v>4.375804375804376E-3</v>
      </c>
      <c r="W5" s="102">
        <f t="shared" ref="W5:W35" si="7">+I5*G5</f>
        <v>194.25</v>
      </c>
      <c r="X5" s="103">
        <f t="shared" ref="X5:X35" si="8">+K5*G5</f>
        <v>193.9</v>
      </c>
      <c r="Y5" s="103">
        <f t="shared" ref="Y5:Y35" si="9">+L5*G5</f>
        <v>0.35000000000000003</v>
      </c>
      <c r="Z5" s="103">
        <f t="shared" ref="Z5:Z35" si="10">+M5*G5</f>
        <v>1.25</v>
      </c>
      <c r="AA5" s="104">
        <f t="shared" ref="AA5:AA35" si="11">+R5*G5</f>
        <v>0.85000000000000009</v>
      </c>
    </row>
    <row r="6" spans="1:28" ht="20.25" customHeight="1" x14ac:dyDescent="0.35">
      <c r="A6" s="302"/>
      <c r="B6" s="304"/>
      <c r="C6" s="35" t="s">
        <v>101</v>
      </c>
      <c r="D6" s="10">
        <v>40</v>
      </c>
      <c r="E6" s="31" t="s">
        <v>17</v>
      </c>
      <c r="F6" s="49">
        <v>0.15</v>
      </c>
      <c r="G6" s="11">
        <v>1</v>
      </c>
      <c r="H6" s="72">
        <f>+F6*B4</f>
        <v>290.84999999999997</v>
      </c>
      <c r="I6" s="68">
        <v>291</v>
      </c>
      <c r="J6" s="13">
        <f t="shared" si="3"/>
        <v>0.15000000000003411</v>
      </c>
      <c r="K6" s="76">
        <f>1939*0.15</f>
        <v>290.84999999999997</v>
      </c>
      <c r="L6" s="9">
        <f t="shared" si="4"/>
        <v>0.15000000000003411</v>
      </c>
      <c r="M6" s="79">
        <v>8.5</v>
      </c>
      <c r="N6" s="33">
        <f t="shared" si="5"/>
        <v>282.34999999999997</v>
      </c>
      <c r="O6" s="42">
        <f>+N6/B4</f>
        <v>0.14561629706034038</v>
      </c>
      <c r="P6" s="19">
        <f>+L6+M6</f>
        <v>8.6500000000000341</v>
      </c>
      <c r="Q6" s="82">
        <v>0</v>
      </c>
      <c r="R6" s="9">
        <f t="shared" si="0"/>
        <v>8.6500000000000341</v>
      </c>
      <c r="S6" s="9">
        <f t="shared" si="1"/>
        <v>8.6500000000000341</v>
      </c>
      <c r="T6" s="9">
        <f t="shared" si="2"/>
        <v>346.00000000000136</v>
      </c>
      <c r="U6" s="12">
        <f t="shared" si="6"/>
        <v>2.9725085910653037E-2</v>
      </c>
      <c r="W6" s="102">
        <f t="shared" si="7"/>
        <v>291</v>
      </c>
      <c r="X6" s="103">
        <f t="shared" si="8"/>
        <v>290.84999999999997</v>
      </c>
      <c r="Y6" s="103">
        <f t="shared" si="9"/>
        <v>0.15000000000003411</v>
      </c>
      <c r="Z6" s="103">
        <f t="shared" si="10"/>
        <v>8.5</v>
      </c>
      <c r="AA6" s="104">
        <f t="shared" si="11"/>
        <v>8.6500000000000341</v>
      </c>
    </row>
    <row r="7" spans="1:28" ht="20.25" customHeight="1" x14ac:dyDescent="0.35">
      <c r="A7" s="302"/>
      <c r="B7" s="304"/>
      <c r="C7" s="35" t="s">
        <v>12</v>
      </c>
      <c r="D7" s="10">
        <v>45</v>
      </c>
      <c r="E7" s="31" t="s">
        <v>17</v>
      </c>
      <c r="F7" s="49">
        <v>0.1</v>
      </c>
      <c r="G7" s="11">
        <v>1</v>
      </c>
      <c r="H7" s="72">
        <f>+F7*B4</f>
        <v>193.9</v>
      </c>
      <c r="I7" s="68">
        <v>194</v>
      </c>
      <c r="J7" s="13">
        <f t="shared" si="3"/>
        <v>9.9999999999994316E-2</v>
      </c>
      <c r="K7" s="76">
        <v>193.9</v>
      </c>
      <c r="L7" s="9">
        <f t="shared" si="4"/>
        <v>9.9999999999994316E-2</v>
      </c>
      <c r="M7" s="79">
        <v>4</v>
      </c>
      <c r="N7" s="23">
        <f t="shared" si="5"/>
        <v>189.9</v>
      </c>
      <c r="O7" s="42">
        <f>+N7/B4</f>
        <v>9.7937080969571946E-2</v>
      </c>
      <c r="P7" s="19">
        <f t="shared" ref="P7:P10" si="12">+L7+M7</f>
        <v>4.0999999999999943</v>
      </c>
      <c r="Q7" s="82">
        <v>0</v>
      </c>
      <c r="R7" s="9">
        <f t="shared" si="0"/>
        <v>4.0999999999999943</v>
      </c>
      <c r="S7" s="9">
        <f t="shared" si="1"/>
        <v>4.0999999999999943</v>
      </c>
      <c r="T7" s="9">
        <f t="shared" si="2"/>
        <v>184.49999999999974</v>
      </c>
      <c r="U7" s="12">
        <f t="shared" si="6"/>
        <v>2.1134020618556671E-2</v>
      </c>
      <c r="W7" s="102">
        <f t="shared" si="7"/>
        <v>194</v>
      </c>
      <c r="X7" s="103">
        <f t="shared" si="8"/>
        <v>193.9</v>
      </c>
      <c r="Y7" s="103">
        <f t="shared" si="9"/>
        <v>9.9999999999994316E-2</v>
      </c>
      <c r="Z7" s="103">
        <f t="shared" si="10"/>
        <v>4</v>
      </c>
      <c r="AA7" s="104">
        <f t="shared" si="11"/>
        <v>4.0999999999999943</v>
      </c>
    </row>
    <row r="8" spans="1:28" ht="20.25" customHeight="1" x14ac:dyDescent="0.35">
      <c r="A8" s="302"/>
      <c r="B8" s="304"/>
      <c r="C8" s="35" t="s">
        <v>13</v>
      </c>
      <c r="D8" s="10">
        <v>52</v>
      </c>
      <c r="E8" s="31" t="s">
        <v>17</v>
      </c>
      <c r="F8" s="49">
        <v>0.1</v>
      </c>
      <c r="G8" s="11">
        <v>1</v>
      </c>
      <c r="H8" s="72">
        <f>+F8*B4</f>
        <v>193.9</v>
      </c>
      <c r="I8" s="68">
        <v>194</v>
      </c>
      <c r="J8" s="13">
        <f t="shared" si="3"/>
        <v>9.9999999999994316E-2</v>
      </c>
      <c r="K8" s="76">
        <v>193.9</v>
      </c>
      <c r="L8" s="9">
        <f>+I8-K8</f>
        <v>9.9999999999994316E-2</v>
      </c>
      <c r="M8" s="79">
        <v>9</v>
      </c>
      <c r="N8" s="33">
        <f t="shared" si="5"/>
        <v>184.9</v>
      </c>
      <c r="O8" s="42">
        <f>+N8/B4</f>
        <v>9.5358432181536876E-2</v>
      </c>
      <c r="P8" s="19">
        <f t="shared" si="12"/>
        <v>9.0999999999999943</v>
      </c>
      <c r="Q8" s="82">
        <v>0</v>
      </c>
      <c r="R8" s="9">
        <f t="shared" si="0"/>
        <v>9.0999999999999943</v>
      </c>
      <c r="S8" s="9">
        <f t="shared" si="1"/>
        <v>9.0999999999999943</v>
      </c>
      <c r="T8" s="9">
        <f t="shared" si="2"/>
        <v>473.1999999999997</v>
      </c>
      <c r="U8" s="12">
        <f t="shared" si="6"/>
        <v>4.6907216494845333E-2</v>
      </c>
      <c r="W8" s="102">
        <f t="shared" si="7"/>
        <v>194</v>
      </c>
      <c r="X8" s="103">
        <f t="shared" si="8"/>
        <v>193.9</v>
      </c>
      <c r="Y8" s="103">
        <f t="shared" si="9"/>
        <v>9.9999999999994316E-2</v>
      </c>
      <c r="Z8" s="103">
        <f t="shared" si="10"/>
        <v>9</v>
      </c>
      <c r="AA8" s="104">
        <f t="shared" si="11"/>
        <v>9.0999999999999943</v>
      </c>
    </row>
    <row r="9" spans="1:28" ht="20.25" customHeight="1" x14ac:dyDescent="0.35">
      <c r="A9" s="302"/>
      <c r="B9" s="304"/>
      <c r="C9" s="35" t="s">
        <v>152</v>
      </c>
      <c r="D9" s="10">
        <v>90</v>
      </c>
      <c r="E9" s="31" t="s">
        <v>17</v>
      </c>
      <c r="F9" s="49">
        <v>0.05</v>
      </c>
      <c r="G9" s="11">
        <v>1</v>
      </c>
      <c r="H9" s="73">
        <f>+F9*B4</f>
        <v>96.95</v>
      </c>
      <c r="I9" s="68">
        <v>98.5</v>
      </c>
      <c r="J9" s="13">
        <f t="shared" si="3"/>
        <v>1.5499999999999972</v>
      </c>
      <c r="K9" s="76">
        <v>97</v>
      </c>
      <c r="L9" s="54">
        <f>+I9-K9</f>
        <v>1.5</v>
      </c>
      <c r="M9" s="79">
        <v>9.5</v>
      </c>
      <c r="N9" s="23">
        <f t="shared" si="5"/>
        <v>87.5</v>
      </c>
      <c r="O9" s="42">
        <f>+N9/B4</f>
        <v>4.5126353790613721E-2</v>
      </c>
      <c r="P9" s="19">
        <f t="shared" si="12"/>
        <v>11</v>
      </c>
      <c r="Q9" s="82">
        <v>0</v>
      </c>
      <c r="R9" s="9">
        <f t="shared" si="0"/>
        <v>11</v>
      </c>
      <c r="S9" s="9">
        <f t="shared" si="1"/>
        <v>11</v>
      </c>
      <c r="T9" s="9">
        <f t="shared" si="2"/>
        <v>990</v>
      </c>
      <c r="U9" s="12">
        <f t="shared" si="6"/>
        <v>0.1116751269035533</v>
      </c>
      <c r="W9" s="102">
        <f t="shared" si="7"/>
        <v>98.5</v>
      </c>
      <c r="X9" s="103">
        <f t="shared" si="8"/>
        <v>97</v>
      </c>
      <c r="Y9" s="103">
        <f t="shared" si="9"/>
        <v>1.5</v>
      </c>
      <c r="Z9" s="103">
        <f t="shared" si="10"/>
        <v>9.5</v>
      </c>
      <c r="AA9" s="104">
        <f t="shared" si="11"/>
        <v>11</v>
      </c>
    </row>
    <row r="10" spans="1:28" ht="20.25" customHeight="1" x14ac:dyDescent="0.35">
      <c r="A10" s="302"/>
      <c r="B10" s="304"/>
      <c r="C10" s="35" t="s">
        <v>14</v>
      </c>
      <c r="D10" s="10">
        <v>60</v>
      </c>
      <c r="E10" s="31" t="s">
        <v>18</v>
      </c>
      <c r="F10" s="49">
        <v>0.1</v>
      </c>
      <c r="G10" s="11">
        <v>1</v>
      </c>
      <c r="H10" s="72">
        <f>+F10*B4</f>
        <v>193.9</v>
      </c>
      <c r="I10" s="68">
        <v>194</v>
      </c>
      <c r="J10" s="13">
        <f t="shared" si="3"/>
        <v>9.9999999999994316E-2</v>
      </c>
      <c r="K10" s="76">
        <v>193.9</v>
      </c>
      <c r="L10" s="9">
        <f t="shared" si="4"/>
        <v>9.9999999999994316E-2</v>
      </c>
      <c r="M10" s="79">
        <v>5</v>
      </c>
      <c r="N10" s="33">
        <f t="shared" si="5"/>
        <v>188.9</v>
      </c>
      <c r="O10" s="42">
        <f>+N10/B4</f>
        <v>9.7421351211964935E-2</v>
      </c>
      <c r="P10" s="19">
        <f t="shared" si="12"/>
        <v>5.0999999999999943</v>
      </c>
      <c r="Q10" s="82">
        <v>0</v>
      </c>
      <c r="R10" s="9">
        <f t="shared" si="0"/>
        <v>5.0999999999999943</v>
      </c>
      <c r="S10" s="9">
        <f t="shared" si="1"/>
        <v>5.0999999999999943</v>
      </c>
      <c r="T10" s="9">
        <f t="shared" si="2"/>
        <v>305.99999999999966</v>
      </c>
      <c r="U10" s="12">
        <f>+R10/I10</f>
        <v>2.6288659793814402E-2</v>
      </c>
      <c r="W10" s="115">
        <f t="shared" si="7"/>
        <v>194</v>
      </c>
      <c r="X10" s="116">
        <f t="shared" si="8"/>
        <v>193.9</v>
      </c>
      <c r="Y10" s="116">
        <f t="shared" si="9"/>
        <v>9.9999999999994316E-2</v>
      </c>
      <c r="Z10" s="116">
        <f t="shared" si="10"/>
        <v>5</v>
      </c>
      <c r="AA10" s="117">
        <f t="shared" si="11"/>
        <v>5.0999999999999943</v>
      </c>
    </row>
    <row r="11" spans="1:28" ht="20.25" customHeight="1" thickBot="1" x14ac:dyDescent="0.4">
      <c r="A11" s="27"/>
      <c r="B11" s="51"/>
      <c r="C11" s="50"/>
      <c r="D11" s="15"/>
      <c r="E11" s="15"/>
      <c r="F11" s="15"/>
      <c r="G11" s="15"/>
      <c r="H11" s="74"/>
      <c r="I11" s="69"/>
      <c r="J11" s="16"/>
      <c r="K11" s="77"/>
      <c r="L11" s="15"/>
      <c r="M11" s="80"/>
      <c r="N11" s="14"/>
      <c r="O11" s="16"/>
      <c r="P11" s="20"/>
      <c r="Q11" s="83"/>
      <c r="R11" s="15"/>
      <c r="S11" s="84">
        <f>SUM(S4:S10)</f>
        <v>40.40000000000002</v>
      </c>
      <c r="T11" s="56">
        <f>SUM(T4:T10)</f>
        <v>2431.7000000000003</v>
      </c>
      <c r="U11" s="16"/>
      <c r="W11" s="118">
        <f>SUM(W4:W10)</f>
        <v>1360.25</v>
      </c>
      <c r="X11" s="109">
        <f t="shared" ref="X11:AA11" si="13">SUM(X4:X10)</f>
        <v>1357.3500000000001</v>
      </c>
      <c r="Y11" s="109">
        <f t="shared" si="13"/>
        <v>2.9000000000000172</v>
      </c>
      <c r="Z11" s="110">
        <f t="shared" si="13"/>
        <v>40.25</v>
      </c>
      <c r="AA11" s="114">
        <f t="shared" si="13"/>
        <v>40.40000000000002</v>
      </c>
      <c r="AB11" s="94"/>
    </row>
    <row r="12" spans="1:28" ht="20.25" customHeight="1" x14ac:dyDescent="0.35">
      <c r="A12" s="292" t="s">
        <v>38</v>
      </c>
      <c r="B12" s="295">
        <v>1376</v>
      </c>
      <c r="C12" s="34" t="s">
        <v>31</v>
      </c>
      <c r="D12" s="4">
        <v>20</v>
      </c>
      <c r="E12" s="30" t="s">
        <v>17</v>
      </c>
      <c r="F12" s="52">
        <v>0.4</v>
      </c>
      <c r="G12" s="5">
        <v>1</v>
      </c>
      <c r="H12" s="71">
        <f>+F12*B12</f>
        <v>550.4</v>
      </c>
      <c r="I12" s="67">
        <v>560</v>
      </c>
      <c r="J12" s="64">
        <f>I12-H12</f>
        <v>9.6000000000000227</v>
      </c>
      <c r="K12" s="75">
        <v>550.4</v>
      </c>
      <c r="L12" s="3">
        <f>+I12-K12</f>
        <v>9.6000000000000227</v>
      </c>
      <c r="M12" s="78">
        <v>60</v>
      </c>
      <c r="N12" s="21">
        <f>+K12-M12</f>
        <v>490.4</v>
      </c>
      <c r="O12" s="41">
        <f>+N12/B12</f>
        <v>0.3563953488372093</v>
      </c>
      <c r="P12" s="18">
        <f>+L12+M12</f>
        <v>69.600000000000023</v>
      </c>
      <c r="Q12" s="81">
        <v>60</v>
      </c>
      <c r="R12" s="3">
        <f>+P12-Q12</f>
        <v>9.6000000000000227</v>
      </c>
      <c r="S12" s="3">
        <f>+R12*G12</f>
        <v>9.6000000000000227</v>
      </c>
      <c r="T12" s="3">
        <f t="shared" ref="T12:T20" si="14">+R12*D12</f>
        <v>192.00000000000045</v>
      </c>
      <c r="U12" s="6">
        <f>+R12/I12</f>
        <v>1.7142857142857182E-2</v>
      </c>
      <c r="W12" s="111">
        <f>+I12*G12</f>
        <v>560</v>
      </c>
      <c r="X12" s="112">
        <f t="shared" si="8"/>
        <v>550.4</v>
      </c>
      <c r="Y12" s="112">
        <f t="shared" si="9"/>
        <v>9.6000000000000227</v>
      </c>
      <c r="Z12" s="112">
        <f t="shared" si="10"/>
        <v>60</v>
      </c>
      <c r="AA12" s="113">
        <f t="shared" si="11"/>
        <v>9.6000000000000227</v>
      </c>
    </row>
    <row r="13" spans="1:28" ht="20.25" customHeight="1" x14ac:dyDescent="0.35">
      <c r="A13" s="293"/>
      <c r="B13" s="296"/>
      <c r="C13" s="35" t="s">
        <v>209</v>
      </c>
      <c r="D13" s="10">
        <v>65</v>
      </c>
      <c r="E13" s="31" t="s">
        <v>17</v>
      </c>
      <c r="F13" s="49">
        <v>0.08</v>
      </c>
      <c r="G13" s="11">
        <v>1</v>
      </c>
      <c r="H13" s="70">
        <f>+F13*B12</f>
        <v>110.08</v>
      </c>
      <c r="I13" s="68">
        <v>115</v>
      </c>
      <c r="J13" s="65">
        <f>+I13-H13</f>
        <v>4.9200000000000017</v>
      </c>
      <c r="K13" s="76">
        <v>110.1</v>
      </c>
      <c r="L13" s="9">
        <f>+I13-K13</f>
        <v>4.9000000000000057</v>
      </c>
      <c r="M13" s="79">
        <v>3</v>
      </c>
      <c r="N13" s="23">
        <f>+K13-M13</f>
        <v>107.1</v>
      </c>
      <c r="O13" s="42">
        <f>+N13/B12</f>
        <v>7.7834302325581389E-2</v>
      </c>
      <c r="P13" s="19">
        <f>+L13+M13</f>
        <v>7.9000000000000057</v>
      </c>
      <c r="Q13" s="82">
        <v>0</v>
      </c>
      <c r="R13" s="9">
        <f t="shared" ref="R13:R20" si="15">+P13-Q13</f>
        <v>7.9000000000000057</v>
      </c>
      <c r="S13" s="9">
        <f>+R13*G13</f>
        <v>7.9000000000000057</v>
      </c>
      <c r="T13" s="9">
        <f t="shared" si="14"/>
        <v>513.50000000000034</v>
      </c>
      <c r="U13" s="12">
        <f>+R13/I13</f>
        <v>6.8695652173913088E-2</v>
      </c>
      <c r="W13" s="102">
        <f>+I13*G13</f>
        <v>115</v>
      </c>
      <c r="X13" s="103">
        <f t="shared" si="8"/>
        <v>110.1</v>
      </c>
      <c r="Y13" s="103">
        <f t="shared" si="9"/>
        <v>4.9000000000000057</v>
      </c>
      <c r="Z13" s="103">
        <f>+M13*G13</f>
        <v>3</v>
      </c>
      <c r="AA13" s="104">
        <f t="shared" si="11"/>
        <v>7.9000000000000057</v>
      </c>
    </row>
    <row r="14" spans="1:28" ht="20.25" customHeight="1" x14ac:dyDescent="0.35">
      <c r="A14" s="293"/>
      <c r="B14" s="296"/>
      <c r="C14" s="35" t="s">
        <v>210</v>
      </c>
      <c r="D14" s="10">
        <v>130</v>
      </c>
      <c r="E14" s="31" t="s">
        <v>17</v>
      </c>
      <c r="F14" s="49">
        <v>0.05</v>
      </c>
      <c r="G14" s="11">
        <v>1</v>
      </c>
      <c r="H14" s="72">
        <f>+F14*B12</f>
        <v>68.8</v>
      </c>
      <c r="I14" s="68">
        <v>70</v>
      </c>
      <c r="J14" s="65">
        <f>+I14-H14</f>
        <v>1.2000000000000028</v>
      </c>
      <c r="K14" s="76">
        <v>68.8</v>
      </c>
      <c r="L14" s="9">
        <f t="shared" ref="L14:L20" si="16">+I14-K14</f>
        <v>1.2000000000000028</v>
      </c>
      <c r="M14" s="79">
        <v>1.5</v>
      </c>
      <c r="N14" s="33">
        <f>+K14-M14</f>
        <v>67.3</v>
      </c>
      <c r="O14" s="42">
        <f>+N14/B12</f>
        <v>4.8909883720930233E-2</v>
      </c>
      <c r="P14" s="19">
        <f>+L14+M14</f>
        <v>2.7000000000000028</v>
      </c>
      <c r="Q14" s="82">
        <v>0</v>
      </c>
      <c r="R14" s="9">
        <f t="shared" si="15"/>
        <v>2.7000000000000028</v>
      </c>
      <c r="S14" s="9">
        <f t="shared" ref="S14:S20" si="17">+R14*G14</f>
        <v>2.7000000000000028</v>
      </c>
      <c r="T14" s="9">
        <f t="shared" si="14"/>
        <v>351.00000000000034</v>
      </c>
      <c r="U14" s="12">
        <f t="shared" ref="U14:U20" si="18">+R14/I14</f>
        <v>3.8571428571428611E-2</v>
      </c>
      <c r="W14" s="102">
        <f t="shared" si="7"/>
        <v>70</v>
      </c>
      <c r="X14" s="103">
        <f t="shared" si="8"/>
        <v>68.8</v>
      </c>
      <c r="Y14" s="103">
        <f t="shared" si="9"/>
        <v>1.2000000000000028</v>
      </c>
      <c r="Z14" s="103">
        <f>+M14*G14</f>
        <v>1.5</v>
      </c>
      <c r="AA14" s="104">
        <f t="shared" si="11"/>
        <v>2.7000000000000028</v>
      </c>
    </row>
    <row r="15" spans="1:28" ht="20.25" customHeight="1" x14ac:dyDescent="0.35">
      <c r="A15" s="293"/>
      <c r="B15" s="296"/>
      <c r="C15" s="35" t="s">
        <v>171</v>
      </c>
      <c r="D15" s="10">
        <v>55</v>
      </c>
      <c r="E15" s="31" t="s">
        <v>17</v>
      </c>
      <c r="F15" s="49">
        <v>0.08</v>
      </c>
      <c r="G15" s="11">
        <v>1</v>
      </c>
      <c r="H15" s="72">
        <f>+F15*B12</f>
        <v>110.08</v>
      </c>
      <c r="I15" s="68">
        <v>114</v>
      </c>
      <c r="J15" s="13">
        <f t="shared" ref="J15:J20" si="19">I15-H15</f>
        <v>3.9200000000000017</v>
      </c>
      <c r="K15" s="76">
        <v>110.1</v>
      </c>
      <c r="L15" s="9">
        <f t="shared" si="16"/>
        <v>3.9000000000000057</v>
      </c>
      <c r="M15" s="79">
        <v>4</v>
      </c>
      <c r="N15" s="23">
        <f t="shared" ref="N15:N20" si="20">+K15-M15</f>
        <v>106.1</v>
      </c>
      <c r="O15" s="42">
        <f>+N15/B12</f>
        <v>7.7107558139534876E-2</v>
      </c>
      <c r="P15" s="19">
        <f t="shared" ref="P15:P20" si="21">+L15+M15</f>
        <v>7.9000000000000057</v>
      </c>
      <c r="Q15" s="82">
        <v>0</v>
      </c>
      <c r="R15" s="9">
        <f t="shared" si="15"/>
        <v>7.9000000000000057</v>
      </c>
      <c r="S15" s="9">
        <f t="shared" si="17"/>
        <v>7.9000000000000057</v>
      </c>
      <c r="T15" s="9">
        <f t="shared" si="14"/>
        <v>434.50000000000034</v>
      </c>
      <c r="U15" s="12">
        <f t="shared" si="18"/>
        <v>6.9298245614035137E-2</v>
      </c>
      <c r="W15" s="102">
        <f t="shared" si="7"/>
        <v>114</v>
      </c>
      <c r="X15" s="103">
        <f t="shared" si="8"/>
        <v>110.1</v>
      </c>
      <c r="Y15" s="103">
        <f t="shared" si="9"/>
        <v>3.9000000000000057</v>
      </c>
      <c r="Z15" s="103">
        <f t="shared" si="10"/>
        <v>4</v>
      </c>
      <c r="AA15" s="104">
        <f t="shared" si="11"/>
        <v>7.9000000000000057</v>
      </c>
    </row>
    <row r="16" spans="1:28" ht="20.25" customHeight="1" x14ac:dyDescent="0.35">
      <c r="A16" s="293"/>
      <c r="B16" s="296"/>
      <c r="C16" s="35" t="s">
        <v>32</v>
      </c>
      <c r="D16" s="10">
        <v>48</v>
      </c>
      <c r="E16" s="31" t="s">
        <v>18</v>
      </c>
      <c r="F16" s="49">
        <v>0.06</v>
      </c>
      <c r="G16" s="11">
        <v>1</v>
      </c>
      <c r="H16" s="72">
        <f>+F16*B12</f>
        <v>82.56</v>
      </c>
      <c r="I16" s="68">
        <v>84.5</v>
      </c>
      <c r="J16" s="13">
        <f t="shared" si="19"/>
        <v>1.9399999999999977</v>
      </c>
      <c r="K16" s="76">
        <v>82.6</v>
      </c>
      <c r="L16" s="9">
        <f t="shared" si="16"/>
        <v>1.9000000000000057</v>
      </c>
      <c r="M16" s="79">
        <v>4</v>
      </c>
      <c r="N16" s="33">
        <f t="shared" si="20"/>
        <v>78.599999999999994</v>
      </c>
      <c r="O16" s="42">
        <f>+N16/B12</f>
        <v>5.7122093023255813E-2</v>
      </c>
      <c r="P16" s="19">
        <f t="shared" si="21"/>
        <v>5.9000000000000057</v>
      </c>
      <c r="Q16" s="82">
        <v>0</v>
      </c>
      <c r="R16" s="9">
        <f t="shared" si="15"/>
        <v>5.9000000000000057</v>
      </c>
      <c r="S16" s="9">
        <f t="shared" si="17"/>
        <v>5.9000000000000057</v>
      </c>
      <c r="T16" s="9">
        <f t="shared" si="14"/>
        <v>283.20000000000027</v>
      </c>
      <c r="U16" s="12">
        <f t="shared" si="18"/>
        <v>6.982248520710066E-2</v>
      </c>
      <c r="W16" s="102">
        <f t="shared" si="7"/>
        <v>84.5</v>
      </c>
      <c r="X16" s="103">
        <f t="shared" si="8"/>
        <v>82.6</v>
      </c>
      <c r="Y16" s="103">
        <f t="shared" si="9"/>
        <v>1.9000000000000057</v>
      </c>
      <c r="Z16" s="103">
        <f t="shared" si="10"/>
        <v>4</v>
      </c>
      <c r="AA16" s="104">
        <f t="shared" si="11"/>
        <v>5.9000000000000057</v>
      </c>
    </row>
    <row r="17" spans="1:28" ht="20.25" customHeight="1" x14ac:dyDescent="0.35">
      <c r="A17" s="293"/>
      <c r="B17" s="296"/>
      <c r="C17" s="35" t="s">
        <v>155</v>
      </c>
      <c r="D17" s="10">
        <v>35</v>
      </c>
      <c r="E17" s="31" t="s">
        <v>18</v>
      </c>
      <c r="F17" s="49">
        <v>0.06</v>
      </c>
      <c r="G17" s="11">
        <v>1</v>
      </c>
      <c r="H17" s="73">
        <f>+F17*B12</f>
        <v>82.56</v>
      </c>
      <c r="I17" s="68">
        <v>85.5</v>
      </c>
      <c r="J17" s="66">
        <f t="shared" si="19"/>
        <v>2.9399999999999977</v>
      </c>
      <c r="K17" s="76">
        <v>82.6</v>
      </c>
      <c r="L17" s="9">
        <f t="shared" si="16"/>
        <v>2.9000000000000057</v>
      </c>
      <c r="M17" s="79">
        <v>3.5</v>
      </c>
      <c r="N17" s="23">
        <f t="shared" si="20"/>
        <v>79.099999999999994</v>
      </c>
      <c r="O17" s="42">
        <f>+N17/B12</f>
        <v>5.7485465116279062E-2</v>
      </c>
      <c r="P17" s="19">
        <f t="shared" si="21"/>
        <v>6.4000000000000057</v>
      </c>
      <c r="Q17" s="82">
        <v>0</v>
      </c>
      <c r="R17" s="9">
        <f t="shared" si="15"/>
        <v>6.4000000000000057</v>
      </c>
      <c r="S17" s="9">
        <f t="shared" si="17"/>
        <v>6.4000000000000057</v>
      </c>
      <c r="T17" s="9">
        <f t="shared" si="14"/>
        <v>224.0000000000002</v>
      </c>
      <c r="U17" s="12">
        <f t="shared" si="18"/>
        <v>7.4853801169590714E-2</v>
      </c>
      <c r="W17" s="102">
        <f t="shared" si="7"/>
        <v>85.5</v>
      </c>
      <c r="X17" s="103">
        <f t="shared" si="8"/>
        <v>82.6</v>
      </c>
      <c r="Y17" s="103">
        <f t="shared" si="9"/>
        <v>2.9000000000000057</v>
      </c>
      <c r="Z17" s="103">
        <f t="shared" si="10"/>
        <v>3.5</v>
      </c>
      <c r="AA17" s="104">
        <f t="shared" si="11"/>
        <v>6.4000000000000057</v>
      </c>
    </row>
    <row r="18" spans="1:28" ht="20.25" customHeight="1" x14ac:dyDescent="0.35">
      <c r="A18" s="293"/>
      <c r="B18" s="296"/>
      <c r="C18" s="35" t="s">
        <v>33</v>
      </c>
      <c r="D18" s="10">
        <v>50</v>
      </c>
      <c r="E18" s="31" t="s">
        <v>17</v>
      </c>
      <c r="F18" s="49">
        <v>0.03</v>
      </c>
      <c r="G18" s="11">
        <v>1</v>
      </c>
      <c r="H18" s="72">
        <f>+F18*B12</f>
        <v>41.28</v>
      </c>
      <c r="I18" s="68">
        <v>43</v>
      </c>
      <c r="J18" s="13">
        <f t="shared" si="19"/>
        <v>1.7199999999999989</v>
      </c>
      <c r="K18" s="76">
        <v>41.3</v>
      </c>
      <c r="L18" s="9">
        <f t="shared" si="16"/>
        <v>1.7000000000000028</v>
      </c>
      <c r="M18" s="79">
        <v>1.5</v>
      </c>
      <c r="N18" s="23">
        <f t="shared" si="20"/>
        <v>39.799999999999997</v>
      </c>
      <c r="O18" s="42">
        <f>+N18/B12</f>
        <v>2.8924418604651159E-2</v>
      </c>
      <c r="P18" s="19">
        <f t="shared" si="21"/>
        <v>3.2000000000000028</v>
      </c>
      <c r="Q18" s="82">
        <v>0</v>
      </c>
      <c r="R18" s="9">
        <f t="shared" si="15"/>
        <v>3.2000000000000028</v>
      </c>
      <c r="S18" s="9">
        <f t="shared" si="17"/>
        <v>3.2000000000000028</v>
      </c>
      <c r="T18" s="9">
        <f t="shared" si="14"/>
        <v>160.00000000000014</v>
      </c>
      <c r="U18" s="12">
        <f t="shared" si="18"/>
        <v>7.4418604651162859E-2</v>
      </c>
      <c r="W18" s="102">
        <f t="shared" si="7"/>
        <v>43</v>
      </c>
      <c r="X18" s="103">
        <f t="shared" si="8"/>
        <v>41.3</v>
      </c>
      <c r="Y18" s="103">
        <f t="shared" si="9"/>
        <v>1.7000000000000028</v>
      </c>
      <c r="Z18" s="103">
        <f t="shared" si="10"/>
        <v>1.5</v>
      </c>
      <c r="AA18" s="104">
        <f t="shared" si="11"/>
        <v>3.2000000000000028</v>
      </c>
    </row>
    <row r="19" spans="1:28" ht="20.25" customHeight="1" x14ac:dyDescent="0.35">
      <c r="A19" s="293"/>
      <c r="B19" s="296"/>
      <c r="C19" s="35" t="s">
        <v>34</v>
      </c>
      <c r="D19" s="31">
        <v>70</v>
      </c>
      <c r="E19" s="31" t="s">
        <v>17</v>
      </c>
      <c r="F19" s="11">
        <v>0.1</v>
      </c>
      <c r="G19" s="11">
        <v>1</v>
      </c>
      <c r="H19" s="72">
        <f>+F19*B12</f>
        <v>137.6</v>
      </c>
      <c r="I19" s="68">
        <v>137.6</v>
      </c>
      <c r="J19" s="13">
        <f t="shared" si="19"/>
        <v>0</v>
      </c>
      <c r="K19" s="76">
        <v>137.6</v>
      </c>
      <c r="L19" s="9">
        <f t="shared" si="16"/>
        <v>0</v>
      </c>
      <c r="M19" s="79">
        <v>0</v>
      </c>
      <c r="N19" s="23">
        <f t="shared" si="20"/>
        <v>137.6</v>
      </c>
      <c r="O19" s="42">
        <f>+N19/B12</f>
        <v>9.9999999999999992E-2</v>
      </c>
      <c r="P19" s="19">
        <f t="shared" si="21"/>
        <v>0</v>
      </c>
      <c r="Q19" s="82">
        <v>0</v>
      </c>
      <c r="R19" s="9">
        <f t="shared" si="15"/>
        <v>0</v>
      </c>
      <c r="S19" s="9">
        <f t="shared" si="17"/>
        <v>0</v>
      </c>
      <c r="T19" s="9">
        <f t="shared" si="14"/>
        <v>0</v>
      </c>
      <c r="U19" s="12">
        <f t="shared" si="18"/>
        <v>0</v>
      </c>
      <c r="W19" s="102">
        <f t="shared" si="7"/>
        <v>137.6</v>
      </c>
      <c r="X19" s="103">
        <f t="shared" si="8"/>
        <v>137.6</v>
      </c>
      <c r="Y19" s="103">
        <f t="shared" si="9"/>
        <v>0</v>
      </c>
      <c r="Z19" s="103">
        <f t="shared" si="10"/>
        <v>0</v>
      </c>
      <c r="AA19" s="104">
        <f t="shared" si="11"/>
        <v>0</v>
      </c>
    </row>
    <row r="20" spans="1:28" ht="20.25" customHeight="1" x14ac:dyDescent="0.35">
      <c r="A20" s="294"/>
      <c r="B20" s="297"/>
      <c r="C20" s="40" t="s">
        <v>35</v>
      </c>
      <c r="D20" s="44">
        <v>2</v>
      </c>
      <c r="E20" s="44" t="s">
        <v>16</v>
      </c>
      <c r="F20" s="53">
        <v>2</v>
      </c>
      <c r="G20" s="45">
        <v>0.04</v>
      </c>
      <c r="H20" s="72">
        <f>+F20*B12</f>
        <v>2752</v>
      </c>
      <c r="I20" s="68">
        <v>2772</v>
      </c>
      <c r="J20" s="13">
        <f t="shared" si="19"/>
        <v>20</v>
      </c>
      <c r="K20" s="76">
        <v>2752</v>
      </c>
      <c r="L20" s="9">
        <f t="shared" si="16"/>
        <v>20</v>
      </c>
      <c r="M20" s="79">
        <v>25</v>
      </c>
      <c r="N20" s="33">
        <f t="shared" si="20"/>
        <v>2727</v>
      </c>
      <c r="O20" s="42">
        <f>+N20/B12</f>
        <v>1.9818313953488371</v>
      </c>
      <c r="P20" s="19">
        <f t="shared" si="21"/>
        <v>45</v>
      </c>
      <c r="Q20" s="82">
        <v>0</v>
      </c>
      <c r="R20" s="9">
        <f t="shared" si="15"/>
        <v>45</v>
      </c>
      <c r="S20" s="9">
        <f t="shared" si="17"/>
        <v>1.8</v>
      </c>
      <c r="T20" s="9">
        <f t="shared" si="14"/>
        <v>90</v>
      </c>
      <c r="U20" s="12">
        <f t="shared" si="18"/>
        <v>1.6233766233766232E-2</v>
      </c>
      <c r="W20" s="115">
        <f t="shared" si="7"/>
        <v>110.88</v>
      </c>
      <c r="X20" s="116">
        <f t="shared" si="8"/>
        <v>110.08</v>
      </c>
      <c r="Y20" s="116">
        <f t="shared" si="9"/>
        <v>0.8</v>
      </c>
      <c r="Z20" s="116">
        <f t="shared" si="10"/>
        <v>1</v>
      </c>
      <c r="AA20" s="117">
        <f t="shared" si="11"/>
        <v>1.8</v>
      </c>
    </row>
    <row r="21" spans="1:28" ht="20.25" customHeight="1" thickBot="1" x14ac:dyDescent="0.4">
      <c r="A21" s="27"/>
      <c r="B21" s="28"/>
      <c r="C21" s="29"/>
      <c r="D21" s="15"/>
      <c r="E21" s="15"/>
      <c r="F21" s="15"/>
      <c r="G21" s="15"/>
      <c r="H21" s="74"/>
      <c r="I21" s="69"/>
      <c r="J21" s="16"/>
      <c r="K21" s="77"/>
      <c r="L21" s="15"/>
      <c r="M21" s="80"/>
      <c r="N21" s="14"/>
      <c r="O21" s="16"/>
      <c r="P21" s="20"/>
      <c r="Q21" s="83"/>
      <c r="R21" s="15"/>
      <c r="S21" s="56">
        <f>SUM(S12:S20)</f>
        <v>45.400000000000048</v>
      </c>
      <c r="T21" s="56">
        <f>SUM(T12:T20)</f>
        <v>2248.2000000000021</v>
      </c>
      <c r="U21" s="16"/>
      <c r="W21" s="118">
        <f>SUM(W12:W20)</f>
        <v>1320.48</v>
      </c>
      <c r="X21" s="110">
        <f t="shared" ref="X21:AA21" si="22">SUM(X12:X20)</f>
        <v>1293.58</v>
      </c>
      <c r="Y21" s="114">
        <f t="shared" si="22"/>
        <v>26.900000000000052</v>
      </c>
      <c r="Z21" s="109">
        <f t="shared" si="22"/>
        <v>78.5</v>
      </c>
      <c r="AA21" s="109">
        <f t="shared" si="22"/>
        <v>45.400000000000048</v>
      </c>
      <c r="AB21" s="94"/>
    </row>
    <row r="22" spans="1:28" ht="20.25" customHeight="1" x14ac:dyDescent="0.35">
      <c r="A22" s="292" t="s">
        <v>39</v>
      </c>
      <c r="B22" s="295">
        <v>705</v>
      </c>
      <c r="C22" s="34" t="s">
        <v>211</v>
      </c>
      <c r="D22" s="4">
        <v>55</v>
      </c>
      <c r="E22" s="4" t="s">
        <v>186</v>
      </c>
      <c r="F22" s="135">
        <v>0.2</v>
      </c>
      <c r="G22" s="5">
        <v>0.05</v>
      </c>
      <c r="H22" s="71">
        <f>+F22*B22</f>
        <v>141</v>
      </c>
      <c r="I22" s="67">
        <v>141</v>
      </c>
      <c r="J22" s="22">
        <f>I22-H22</f>
        <v>0</v>
      </c>
      <c r="K22" s="75">
        <f>705*0.2</f>
        <v>141</v>
      </c>
      <c r="L22" s="3">
        <f>+I22-K22</f>
        <v>0</v>
      </c>
      <c r="M22" s="78">
        <v>0</v>
      </c>
      <c r="N22" s="21">
        <f>+K22-M22</f>
        <v>141</v>
      </c>
      <c r="O22" s="41">
        <f>+N22/B22</f>
        <v>0.2</v>
      </c>
      <c r="P22" s="18">
        <f>+L22+M22</f>
        <v>0</v>
      </c>
      <c r="Q22" s="81">
        <v>0</v>
      </c>
      <c r="R22" s="3">
        <f>+P22-Q22</f>
        <v>0</v>
      </c>
      <c r="S22" s="3">
        <f>+R22*G22</f>
        <v>0</v>
      </c>
      <c r="T22" s="3">
        <f>+R22*D22</f>
        <v>0</v>
      </c>
      <c r="U22" s="6">
        <f>+R22/I22</f>
        <v>0</v>
      </c>
      <c r="W22" s="111">
        <f t="shared" si="7"/>
        <v>7.0500000000000007</v>
      </c>
      <c r="X22" s="112">
        <f t="shared" si="8"/>
        <v>7.0500000000000007</v>
      </c>
      <c r="Y22" s="112">
        <f t="shared" si="9"/>
        <v>0</v>
      </c>
      <c r="Z22" s="112">
        <f>+M22*G22</f>
        <v>0</v>
      </c>
      <c r="AA22" s="113">
        <f t="shared" si="11"/>
        <v>0</v>
      </c>
    </row>
    <row r="23" spans="1:28" ht="20.25" customHeight="1" x14ac:dyDescent="0.35">
      <c r="A23" s="293"/>
      <c r="B23" s="296"/>
      <c r="C23" s="35" t="s">
        <v>56</v>
      </c>
      <c r="D23" s="10">
        <v>45</v>
      </c>
      <c r="E23" s="10" t="s">
        <v>186</v>
      </c>
      <c r="F23" s="49">
        <v>1</v>
      </c>
      <c r="G23" s="11">
        <v>0.01</v>
      </c>
      <c r="H23" s="70">
        <f>+F23*B22</f>
        <v>705</v>
      </c>
      <c r="I23" s="68">
        <v>73</v>
      </c>
      <c r="J23" s="13">
        <f>I23-H23</f>
        <v>-632</v>
      </c>
      <c r="K23" s="76">
        <v>70.5</v>
      </c>
      <c r="L23" s="9">
        <f t="shared" ref="L23:L25" si="23">+I23-K23</f>
        <v>2.5</v>
      </c>
      <c r="M23" s="79">
        <v>5</v>
      </c>
      <c r="N23" s="23">
        <f>+K23-M23</f>
        <v>65.5</v>
      </c>
      <c r="O23" s="42">
        <f>+N23/B22</f>
        <v>9.2907801418439712E-2</v>
      </c>
      <c r="P23" s="19">
        <f>+L23+M23</f>
        <v>7.5</v>
      </c>
      <c r="Q23" s="82">
        <v>0</v>
      </c>
      <c r="R23" s="9">
        <f t="shared" ref="R23:R25" si="24">+P23-Q23</f>
        <v>7.5</v>
      </c>
      <c r="S23" s="9">
        <f>+R23*G23</f>
        <v>7.4999999999999997E-2</v>
      </c>
      <c r="T23" s="9">
        <f>+R23*D23</f>
        <v>337.5</v>
      </c>
      <c r="U23" s="12">
        <f t="shared" ref="U23:U25" si="25">+R23/I23</f>
        <v>0.10273972602739725</v>
      </c>
      <c r="W23" s="102">
        <f t="shared" si="7"/>
        <v>0.73</v>
      </c>
      <c r="X23" s="103">
        <f t="shared" si="8"/>
        <v>0.70499999999999996</v>
      </c>
      <c r="Y23" s="103">
        <f t="shared" si="9"/>
        <v>2.5000000000000001E-2</v>
      </c>
      <c r="Z23" s="103">
        <f>+M23*G23</f>
        <v>0.05</v>
      </c>
      <c r="AA23" s="104">
        <f t="shared" si="11"/>
        <v>7.4999999999999997E-2</v>
      </c>
    </row>
    <row r="24" spans="1:28" ht="20.25" customHeight="1" x14ac:dyDescent="0.35">
      <c r="A24" s="293"/>
      <c r="B24" s="296"/>
      <c r="C24" s="35" t="s">
        <v>212</v>
      </c>
      <c r="D24" s="10">
        <v>6</v>
      </c>
      <c r="E24" s="10" t="s">
        <v>16</v>
      </c>
      <c r="F24" s="126">
        <v>1</v>
      </c>
      <c r="G24" s="11">
        <v>0.05</v>
      </c>
      <c r="H24" s="72">
        <f>+F24*B22</f>
        <v>705</v>
      </c>
      <c r="I24" s="68">
        <v>705</v>
      </c>
      <c r="J24" s="13">
        <f>I24-H24</f>
        <v>0</v>
      </c>
      <c r="K24" s="76">
        <v>705</v>
      </c>
      <c r="L24" s="9">
        <f t="shared" si="23"/>
        <v>0</v>
      </c>
      <c r="M24" s="79">
        <v>0</v>
      </c>
      <c r="N24" s="33">
        <f t="shared" ref="N24:N25" si="26">+K24-M24</f>
        <v>705</v>
      </c>
      <c r="O24" s="42">
        <f>+N24/B22</f>
        <v>1</v>
      </c>
      <c r="P24" s="19">
        <f>+L24+M24</f>
        <v>0</v>
      </c>
      <c r="Q24" s="82">
        <v>0</v>
      </c>
      <c r="R24" s="9">
        <f t="shared" si="24"/>
        <v>0</v>
      </c>
      <c r="S24" s="9">
        <f>+R24*G24</f>
        <v>0</v>
      </c>
      <c r="T24" s="9">
        <f>+R24*D24</f>
        <v>0</v>
      </c>
      <c r="U24" s="12">
        <f t="shared" si="25"/>
        <v>0</v>
      </c>
      <c r="W24" s="102">
        <f t="shared" si="7"/>
        <v>35.25</v>
      </c>
      <c r="X24" s="103">
        <f t="shared" si="8"/>
        <v>35.25</v>
      </c>
      <c r="Y24" s="103">
        <f t="shared" si="9"/>
        <v>0</v>
      </c>
      <c r="Z24" s="103">
        <f t="shared" si="10"/>
        <v>0</v>
      </c>
      <c r="AA24" s="104">
        <f t="shared" si="11"/>
        <v>0</v>
      </c>
    </row>
    <row r="25" spans="1:28" ht="20.25" customHeight="1" x14ac:dyDescent="0.35">
      <c r="A25" s="293"/>
      <c r="B25" s="296"/>
      <c r="C25" s="35" t="s">
        <v>14</v>
      </c>
      <c r="D25" s="10">
        <v>60</v>
      </c>
      <c r="E25" s="10" t="s">
        <v>18</v>
      </c>
      <c r="F25" s="49">
        <v>0.1</v>
      </c>
      <c r="G25" s="11">
        <v>1</v>
      </c>
      <c r="H25" s="72">
        <f>+F25*B22</f>
        <v>70.5</v>
      </c>
      <c r="I25" s="68">
        <v>70.5</v>
      </c>
      <c r="J25" s="13">
        <f>I25-H25</f>
        <v>0</v>
      </c>
      <c r="K25" s="76">
        <v>70.5</v>
      </c>
      <c r="L25" s="9">
        <f t="shared" si="23"/>
        <v>0</v>
      </c>
      <c r="M25" s="79">
        <v>5</v>
      </c>
      <c r="N25" s="23">
        <f t="shared" si="26"/>
        <v>65.5</v>
      </c>
      <c r="O25" s="42">
        <f>+N25/B22</f>
        <v>9.2907801418439712E-2</v>
      </c>
      <c r="P25" s="19">
        <f t="shared" ref="P25" si="27">+L25+M25</f>
        <v>5</v>
      </c>
      <c r="Q25" s="82">
        <v>0</v>
      </c>
      <c r="R25" s="9">
        <f t="shared" si="24"/>
        <v>5</v>
      </c>
      <c r="S25" s="9">
        <f>+R25*G25</f>
        <v>5</v>
      </c>
      <c r="T25" s="9">
        <f>+R25*D25</f>
        <v>300</v>
      </c>
      <c r="U25" s="12">
        <f t="shared" si="25"/>
        <v>7.0921985815602842E-2</v>
      </c>
      <c r="W25" s="105">
        <f t="shared" si="7"/>
        <v>70.5</v>
      </c>
      <c r="X25" s="106">
        <f t="shared" si="8"/>
        <v>70.5</v>
      </c>
      <c r="Y25" s="106">
        <f t="shared" si="9"/>
        <v>0</v>
      </c>
      <c r="Z25" s="106">
        <f t="shared" si="10"/>
        <v>5</v>
      </c>
      <c r="AA25" s="107">
        <f t="shared" si="11"/>
        <v>5</v>
      </c>
    </row>
    <row r="26" spans="1:28" ht="21.75" customHeight="1" thickBot="1" x14ac:dyDescent="0.4">
      <c r="A26" s="27"/>
      <c r="B26" s="55"/>
      <c r="C26" s="29"/>
      <c r="D26" s="15"/>
      <c r="E26" s="15"/>
      <c r="F26" s="15"/>
      <c r="G26" s="15"/>
      <c r="H26" s="74"/>
      <c r="I26" s="69"/>
      <c r="J26" s="16"/>
      <c r="K26" s="77"/>
      <c r="L26" s="15"/>
      <c r="M26" s="80"/>
      <c r="N26" s="14"/>
      <c r="O26" s="16"/>
      <c r="P26" s="20"/>
      <c r="Q26" s="83"/>
      <c r="R26" s="15"/>
      <c r="S26" s="56">
        <f>SUM(S22:S25)</f>
        <v>5.0750000000000002</v>
      </c>
      <c r="T26" s="56">
        <f>SUM(T22:T25)</f>
        <v>637.5</v>
      </c>
      <c r="U26" s="16"/>
      <c r="W26" s="123">
        <f>SUM(W22:W25)</f>
        <v>113.53</v>
      </c>
      <c r="X26" s="124">
        <f t="shared" ref="X26:AA26" si="28">SUM(X22:X25)</f>
        <v>113.505</v>
      </c>
      <c r="Y26" s="124">
        <f t="shared" si="28"/>
        <v>2.5000000000000001E-2</v>
      </c>
      <c r="Z26" s="124">
        <f t="shared" si="28"/>
        <v>5.05</v>
      </c>
      <c r="AA26" s="125">
        <f t="shared" si="28"/>
        <v>5.0750000000000002</v>
      </c>
    </row>
    <row r="27" spans="1:28" ht="20.25" customHeight="1" x14ac:dyDescent="0.35">
      <c r="A27" s="292" t="s">
        <v>40</v>
      </c>
      <c r="B27" s="295">
        <v>517</v>
      </c>
      <c r="C27" s="34" t="s">
        <v>31</v>
      </c>
      <c r="D27" s="4">
        <v>20</v>
      </c>
      <c r="E27" s="30" t="s">
        <v>17</v>
      </c>
      <c r="F27" s="52">
        <v>0.35</v>
      </c>
      <c r="G27" s="5">
        <v>1</v>
      </c>
      <c r="H27" s="71">
        <f>+F27*B27</f>
        <v>180.95</v>
      </c>
      <c r="I27" s="67">
        <v>191</v>
      </c>
      <c r="J27" s="22">
        <f t="shared" ref="J27:J35" si="29">I27-H27</f>
        <v>10.050000000000011</v>
      </c>
      <c r="K27" s="75">
        <v>181</v>
      </c>
      <c r="L27" s="3">
        <f>+I27-K27</f>
        <v>10</v>
      </c>
      <c r="M27" s="78">
        <v>15</v>
      </c>
      <c r="N27" s="21">
        <f>+K27-M27</f>
        <v>166</v>
      </c>
      <c r="O27" s="41">
        <f>+N27/B27</f>
        <v>0.32108317214700194</v>
      </c>
      <c r="P27" s="18">
        <f>+L27+M27</f>
        <v>25</v>
      </c>
      <c r="Q27" s="81">
        <v>20</v>
      </c>
      <c r="R27" s="3">
        <f>+P27-Q27</f>
        <v>5</v>
      </c>
      <c r="S27" s="3">
        <f t="shared" ref="S27:S35" si="30">+R27*G27</f>
        <v>5</v>
      </c>
      <c r="T27" s="3">
        <f t="shared" ref="T27:T35" si="31">+R27*D27</f>
        <v>100</v>
      </c>
      <c r="U27" s="6">
        <f>+R27/I27</f>
        <v>2.6178010471204188E-2</v>
      </c>
      <c r="W27" s="111">
        <f t="shared" si="7"/>
        <v>191</v>
      </c>
      <c r="X27" s="112">
        <f t="shared" si="8"/>
        <v>181</v>
      </c>
      <c r="Y27" s="112">
        <f t="shared" si="9"/>
        <v>10</v>
      </c>
      <c r="Z27" s="112">
        <f t="shared" si="10"/>
        <v>15</v>
      </c>
      <c r="AA27" s="113">
        <f t="shared" si="11"/>
        <v>5</v>
      </c>
    </row>
    <row r="28" spans="1:28" ht="20.25" customHeight="1" x14ac:dyDescent="0.35">
      <c r="A28" s="293"/>
      <c r="B28" s="296"/>
      <c r="C28" s="35" t="s">
        <v>213</v>
      </c>
      <c r="D28" s="10">
        <v>65</v>
      </c>
      <c r="E28" s="31" t="s">
        <v>17</v>
      </c>
      <c r="F28" s="49">
        <v>0.1</v>
      </c>
      <c r="G28" s="11">
        <v>1</v>
      </c>
      <c r="H28" s="70">
        <f>+F28*B27</f>
        <v>51.7</v>
      </c>
      <c r="I28" s="68">
        <v>55.5</v>
      </c>
      <c r="J28" s="13">
        <f t="shared" si="29"/>
        <v>3.7999999999999972</v>
      </c>
      <c r="K28" s="76">
        <v>51.7</v>
      </c>
      <c r="L28" s="9">
        <f t="shared" ref="L28:L35" si="32">+I28-K28</f>
        <v>3.7999999999999972</v>
      </c>
      <c r="M28" s="79">
        <v>3</v>
      </c>
      <c r="N28" s="23">
        <f t="shared" ref="N28:N35" si="33">+K28-M28</f>
        <v>48.7</v>
      </c>
      <c r="O28" s="42">
        <f>+N28/B27</f>
        <v>9.4197292069632496E-2</v>
      </c>
      <c r="P28" s="19">
        <f>+L28+M28</f>
        <v>6.7999999999999972</v>
      </c>
      <c r="Q28" s="82">
        <v>3</v>
      </c>
      <c r="R28" s="9">
        <f>+P28-Q28</f>
        <v>3.7999999999999972</v>
      </c>
      <c r="S28" s="9">
        <f t="shared" si="30"/>
        <v>3.7999999999999972</v>
      </c>
      <c r="T28" s="9">
        <f t="shared" si="31"/>
        <v>246.99999999999983</v>
      </c>
      <c r="U28" s="12">
        <f t="shared" ref="U28:U35" si="34">+R28/I28</f>
        <v>6.8468468468468421E-2</v>
      </c>
      <c r="W28" s="102">
        <f t="shared" si="7"/>
        <v>55.5</v>
      </c>
      <c r="X28" s="103">
        <f t="shared" si="8"/>
        <v>51.7</v>
      </c>
      <c r="Y28" s="103">
        <f t="shared" si="9"/>
        <v>3.7999999999999972</v>
      </c>
      <c r="Z28" s="103">
        <f t="shared" si="10"/>
        <v>3</v>
      </c>
      <c r="AA28" s="104">
        <f t="shared" si="11"/>
        <v>3.7999999999999972</v>
      </c>
    </row>
    <row r="29" spans="1:28" ht="20.25" customHeight="1" x14ac:dyDescent="0.35">
      <c r="A29" s="293"/>
      <c r="B29" s="296"/>
      <c r="C29" s="35" t="s">
        <v>97</v>
      </c>
      <c r="D29" s="10">
        <v>130</v>
      </c>
      <c r="E29" s="31" t="s">
        <v>17</v>
      </c>
      <c r="F29" s="49">
        <v>0.08</v>
      </c>
      <c r="G29" s="11">
        <v>1</v>
      </c>
      <c r="H29" s="72">
        <f>+F29*B27</f>
        <v>41.36</v>
      </c>
      <c r="I29" s="68">
        <v>43.5</v>
      </c>
      <c r="J29" s="13">
        <f t="shared" si="29"/>
        <v>2.1400000000000006</v>
      </c>
      <c r="K29" s="76">
        <v>41.4</v>
      </c>
      <c r="L29" s="9">
        <f t="shared" si="32"/>
        <v>2.1000000000000014</v>
      </c>
      <c r="M29" s="79">
        <v>2</v>
      </c>
      <c r="N29" s="33">
        <f t="shared" si="33"/>
        <v>39.4</v>
      </c>
      <c r="O29" s="42">
        <f>+N29/B27</f>
        <v>7.6208897485493227E-2</v>
      </c>
      <c r="P29" s="19">
        <f>+L29+M29</f>
        <v>4.1000000000000014</v>
      </c>
      <c r="Q29" s="82">
        <v>2</v>
      </c>
      <c r="R29" s="9">
        <f t="shared" ref="R29:R35" si="35">+P29-Q29</f>
        <v>2.1000000000000014</v>
      </c>
      <c r="S29" s="9">
        <f t="shared" si="30"/>
        <v>2.1000000000000014</v>
      </c>
      <c r="T29" s="9">
        <f t="shared" si="31"/>
        <v>273.00000000000017</v>
      </c>
      <c r="U29" s="12">
        <f t="shared" si="34"/>
        <v>4.8275862068965551E-2</v>
      </c>
      <c r="W29" s="102">
        <f t="shared" si="7"/>
        <v>43.5</v>
      </c>
      <c r="X29" s="103">
        <f t="shared" si="8"/>
        <v>41.4</v>
      </c>
      <c r="Y29" s="103">
        <f t="shared" si="9"/>
        <v>2.1000000000000014</v>
      </c>
      <c r="Z29" s="103">
        <f t="shared" si="10"/>
        <v>2</v>
      </c>
      <c r="AA29" s="104">
        <f t="shared" si="11"/>
        <v>2.1000000000000014</v>
      </c>
    </row>
    <row r="30" spans="1:28" ht="20.25" customHeight="1" x14ac:dyDescent="0.35">
      <c r="A30" s="293"/>
      <c r="B30" s="296"/>
      <c r="C30" s="35" t="s">
        <v>92</v>
      </c>
      <c r="D30" s="10">
        <v>55</v>
      </c>
      <c r="E30" s="31" t="s">
        <v>17</v>
      </c>
      <c r="F30" s="49">
        <v>0.1</v>
      </c>
      <c r="G30" s="11">
        <v>1</v>
      </c>
      <c r="H30" s="72">
        <f>+F30*B27</f>
        <v>51.7</v>
      </c>
      <c r="I30" s="68">
        <v>54.5</v>
      </c>
      <c r="J30" s="13">
        <f t="shared" si="29"/>
        <v>2.7999999999999972</v>
      </c>
      <c r="K30" s="76">
        <v>51.7</v>
      </c>
      <c r="L30" s="9">
        <f t="shared" si="32"/>
        <v>2.7999999999999972</v>
      </c>
      <c r="M30" s="79">
        <v>4.5</v>
      </c>
      <c r="N30" s="23">
        <f t="shared" si="33"/>
        <v>47.2</v>
      </c>
      <c r="O30" s="42">
        <f>+N30/B27</f>
        <v>9.1295938104448748E-2</v>
      </c>
      <c r="P30" s="19">
        <f t="shared" ref="P30:P35" si="36">+L30+M30</f>
        <v>7.2999999999999972</v>
      </c>
      <c r="Q30" s="82">
        <v>2</v>
      </c>
      <c r="R30" s="9">
        <f t="shared" si="35"/>
        <v>5.2999999999999972</v>
      </c>
      <c r="S30" s="9">
        <f t="shared" si="30"/>
        <v>5.2999999999999972</v>
      </c>
      <c r="T30" s="9">
        <f t="shared" si="31"/>
        <v>291.49999999999983</v>
      </c>
      <c r="U30" s="12">
        <f t="shared" si="34"/>
        <v>9.7247706422018299E-2</v>
      </c>
      <c r="W30" s="102">
        <f t="shared" si="7"/>
        <v>54.5</v>
      </c>
      <c r="X30" s="103">
        <f t="shared" si="8"/>
        <v>51.7</v>
      </c>
      <c r="Y30" s="103">
        <f t="shared" si="9"/>
        <v>2.7999999999999972</v>
      </c>
      <c r="Z30" s="103">
        <f t="shared" si="10"/>
        <v>4.5</v>
      </c>
      <c r="AA30" s="104">
        <f t="shared" si="11"/>
        <v>5.2999999999999972</v>
      </c>
    </row>
    <row r="31" spans="1:28" ht="20.25" customHeight="1" x14ac:dyDescent="0.35">
      <c r="A31" s="293"/>
      <c r="B31" s="296"/>
      <c r="C31" s="35" t="s">
        <v>32</v>
      </c>
      <c r="D31" s="10">
        <v>48</v>
      </c>
      <c r="E31" s="31" t="s">
        <v>18</v>
      </c>
      <c r="F31" s="49">
        <v>0.08</v>
      </c>
      <c r="G31" s="11">
        <v>1</v>
      </c>
      <c r="H31" s="72">
        <f>+F31*B27</f>
        <v>41.36</v>
      </c>
      <c r="I31" s="68">
        <v>45</v>
      </c>
      <c r="J31" s="13">
        <f t="shared" si="29"/>
        <v>3.6400000000000006</v>
      </c>
      <c r="K31" s="76">
        <v>41.4</v>
      </c>
      <c r="L31" s="9">
        <f t="shared" si="32"/>
        <v>3.6000000000000014</v>
      </c>
      <c r="M31" s="79">
        <v>3</v>
      </c>
      <c r="N31" s="33">
        <f t="shared" si="33"/>
        <v>38.4</v>
      </c>
      <c r="O31" s="42">
        <f>+N31/B27</f>
        <v>7.4274661508704057E-2</v>
      </c>
      <c r="P31" s="19">
        <f t="shared" si="36"/>
        <v>6.6000000000000014</v>
      </c>
      <c r="Q31" s="82">
        <v>2</v>
      </c>
      <c r="R31" s="9">
        <f t="shared" si="35"/>
        <v>4.6000000000000014</v>
      </c>
      <c r="S31" s="9">
        <f t="shared" si="30"/>
        <v>4.6000000000000014</v>
      </c>
      <c r="T31" s="9">
        <f t="shared" si="31"/>
        <v>220.80000000000007</v>
      </c>
      <c r="U31" s="12">
        <f t="shared" si="34"/>
        <v>0.10222222222222226</v>
      </c>
      <c r="W31" s="102">
        <f t="shared" si="7"/>
        <v>45</v>
      </c>
      <c r="X31" s="103">
        <f t="shared" si="8"/>
        <v>41.4</v>
      </c>
      <c r="Y31" s="103">
        <f t="shared" si="9"/>
        <v>3.6000000000000014</v>
      </c>
      <c r="Z31" s="103">
        <f t="shared" si="10"/>
        <v>3</v>
      </c>
      <c r="AA31" s="104">
        <f t="shared" si="11"/>
        <v>4.6000000000000014</v>
      </c>
    </row>
    <row r="32" spans="1:28" ht="20.25" customHeight="1" x14ac:dyDescent="0.35">
      <c r="A32" s="293"/>
      <c r="B32" s="296"/>
      <c r="C32" s="35" t="s">
        <v>54</v>
      </c>
      <c r="D32" s="10">
        <v>35</v>
      </c>
      <c r="E32" s="31" t="s">
        <v>18</v>
      </c>
      <c r="F32" s="49">
        <v>0.08</v>
      </c>
      <c r="G32" s="11">
        <v>1</v>
      </c>
      <c r="H32" s="73">
        <f>+F32*B27</f>
        <v>41.36</v>
      </c>
      <c r="I32" s="68">
        <v>46</v>
      </c>
      <c r="J32" s="13">
        <f t="shared" si="29"/>
        <v>4.6400000000000006</v>
      </c>
      <c r="K32" s="76">
        <v>41.4</v>
      </c>
      <c r="L32" s="9">
        <f t="shared" si="32"/>
        <v>4.6000000000000014</v>
      </c>
      <c r="M32" s="79">
        <v>3.5</v>
      </c>
      <c r="N32" s="23">
        <f t="shared" si="33"/>
        <v>37.9</v>
      </c>
      <c r="O32" s="42">
        <f>+N32/B27</f>
        <v>7.3307543520309479E-2</v>
      </c>
      <c r="P32" s="19">
        <f t="shared" si="36"/>
        <v>8.1000000000000014</v>
      </c>
      <c r="Q32" s="82">
        <v>2.5</v>
      </c>
      <c r="R32" s="9">
        <f t="shared" si="35"/>
        <v>5.6000000000000014</v>
      </c>
      <c r="S32" s="9">
        <f t="shared" si="30"/>
        <v>5.6000000000000014</v>
      </c>
      <c r="T32" s="9">
        <f t="shared" si="31"/>
        <v>196.00000000000006</v>
      </c>
      <c r="U32" s="12">
        <f t="shared" si="34"/>
        <v>0.12173913043478264</v>
      </c>
      <c r="W32" s="102">
        <f t="shared" si="7"/>
        <v>46</v>
      </c>
      <c r="X32" s="103">
        <f t="shared" si="8"/>
        <v>41.4</v>
      </c>
      <c r="Y32" s="103">
        <f t="shared" si="9"/>
        <v>4.6000000000000014</v>
      </c>
      <c r="Z32" s="103">
        <f t="shared" si="10"/>
        <v>3.5</v>
      </c>
      <c r="AA32" s="104">
        <f t="shared" si="11"/>
        <v>5.6000000000000014</v>
      </c>
    </row>
    <row r="33" spans="1:28" ht="20.25" customHeight="1" x14ac:dyDescent="0.35">
      <c r="A33" s="293"/>
      <c r="B33" s="296"/>
      <c r="C33" s="35" t="s">
        <v>33</v>
      </c>
      <c r="D33" s="10">
        <v>50</v>
      </c>
      <c r="E33" s="31" t="s">
        <v>17</v>
      </c>
      <c r="F33" s="49">
        <v>0.03</v>
      </c>
      <c r="G33" s="11">
        <v>1</v>
      </c>
      <c r="H33" s="72">
        <f>+F33*B27</f>
        <v>15.51</v>
      </c>
      <c r="I33" s="68">
        <v>17</v>
      </c>
      <c r="J33" s="13">
        <f t="shared" si="29"/>
        <v>1.4900000000000002</v>
      </c>
      <c r="K33" s="76">
        <v>15.5</v>
      </c>
      <c r="L33" s="9">
        <f t="shared" si="32"/>
        <v>1.5</v>
      </c>
      <c r="M33" s="79">
        <v>1</v>
      </c>
      <c r="N33" s="23">
        <f t="shared" si="33"/>
        <v>14.5</v>
      </c>
      <c r="O33" s="42">
        <f>+N33/B27</f>
        <v>2.8046421663442941E-2</v>
      </c>
      <c r="P33" s="19">
        <f t="shared" si="36"/>
        <v>2.5</v>
      </c>
      <c r="Q33" s="82">
        <v>0</v>
      </c>
      <c r="R33" s="9">
        <f t="shared" si="35"/>
        <v>2.5</v>
      </c>
      <c r="S33" s="9">
        <f t="shared" si="30"/>
        <v>2.5</v>
      </c>
      <c r="T33" s="9">
        <f t="shared" si="31"/>
        <v>125</v>
      </c>
      <c r="U33" s="12">
        <f t="shared" si="34"/>
        <v>0.14705882352941177</v>
      </c>
      <c r="W33" s="102">
        <f t="shared" si="7"/>
        <v>17</v>
      </c>
      <c r="X33" s="103">
        <f t="shared" si="8"/>
        <v>15.5</v>
      </c>
      <c r="Y33" s="103">
        <f t="shared" si="9"/>
        <v>1.5</v>
      </c>
      <c r="Z33" s="103">
        <f t="shared" si="10"/>
        <v>1</v>
      </c>
      <c r="AA33" s="104">
        <f t="shared" si="11"/>
        <v>2.5</v>
      </c>
    </row>
    <row r="34" spans="1:28" ht="20.25" customHeight="1" x14ac:dyDescent="0.35">
      <c r="A34" s="293"/>
      <c r="B34" s="296"/>
      <c r="C34" s="35" t="s">
        <v>34</v>
      </c>
      <c r="D34" s="31">
        <v>70</v>
      </c>
      <c r="E34" s="31" t="s">
        <v>17</v>
      </c>
      <c r="F34" s="11">
        <v>0.1</v>
      </c>
      <c r="G34" s="11">
        <v>1</v>
      </c>
      <c r="H34" s="72">
        <f>+F34*B27</f>
        <v>51.7</v>
      </c>
      <c r="I34" s="68">
        <v>51.7</v>
      </c>
      <c r="J34" s="13">
        <f t="shared" si="29"/>
        <v>0</v>
      </c>
      <c r="K34" s="76">
        <v>51.7</v>
      </c>
      <c r="L34" s="9">
        <f t="shared" si="32"/>
        <v>0</v>
      </c>
      <c r="M34" s="79">
        <v>0</v>
      </c>
      <c r="N34" s="23">
        <f t="shared" si="33"/>
        <v>51.7</v>
      </c>
      <c r="O34" s="42">
        <f>+N34/B27</f>
        <v>0.1</v>
      </c>
      <c r="P34" s="19">
        <f t="shared" si="36"/>
        <v>0</v>
      </c>
      <c r="Q34" s="82">
        <v>0</v>
      </c>
      <c r="R34" s="9">
        <f t="shared" si="35"/>
        <v>0</v>
      </c>
      <c r="S34" s="9">
        <f t="shared" si="30"/>
        <v>0</v>
      </c>
      <c r="T34" s="9">
        <f t="shared" si="31"/>
        <v>0</v>
      </c>
      <c r="U34" s="12">
        <f t="shared" si="34"/>
        <v>0</v>
      </c>
      <c r="W34" s="102">
        <f t="shared" si="7"/>
        <v>51.7</v>
      </c>
      <c r="X34" s="103">
        <f t="shared" si="8"/>
        <v>51.7</v>
      </c>
      <c r="Y34" s="103">
        <f t="shared" si="9"/>
        <v>0</v>
      </c>
      <c r="Z34" s="103">
        <f t="shared" si="10"/>
        <v>0</v>
      </c>
      <c r="AA34" s="104">
        <f t="shared" si="11"/>
        <v>0</v>
      </c>
    </row>
    <row r="35" spans="1:28" ht="20.25" customHeight="1" x14ac:dyDescent="0.35">
      <c r="A35" s="294"/>
      <c r="B35" s="297"/>
      <c r="C35" s="40" t="s">
        <v>35</v>
      </c>
      <c r="D35" s="44">
        <v>2</v>
      </c>
      <c r="E35" s="44" t="s">
        <v>16</v>
      </c>
      <c r="F35" s="53">
        <v>2</v>
      </c>
      <c r="G35" s="45">
        <v>0.04</v>
      </c>
      <c r="H35" s="72">
        <f>+F35*B27</f>
        <v>1034</v>
      </c>
      <c r="I35" s="68">
        <v>1048</v>
      </c>
      <c r="J35" s="13">
        <f t="shared" si="29"/>
        <v>14</v>
      </c>
      <c r="K35" s="76">
        <v>1034</v>
      </c>
      <c r="L35" s="9">
        <f t="shared" si="32"/>
        <v>14</v>
      </c>
      <c r="M35" s="79">
        <v>20</v>
      </c>
      <c r="N35" s="33">
        <f t="shared" si="33"/>
        <v>1014</v>
      </c>
      <c r="O35" s="42">
        <f>+N35/B27</f>
        <v>1.9613152804642167</v>
      </c>
      <c r="P35" s="19">
        <f t="shared" si="36"/>
        <v>34</v>
      </c>
      <c r="Q35" s="82">
        <v>0</v>
      </c>
      <c r="R35" s="9">
        <f t="shared" si="35"/>
        <v>34</v>
      </c>
      <c r="S35" s="9">
        <f t="shared" si="30"/>
        <v>1.36</v>
      </c>
      <c r="T35" s="9">
        <f t="shared" si="31"/>
        <v>68</v>
      </c>
      <c r="U35" s="12">
        <f t="shared" si="34"/>
        <v>3.2442748091603052E-2</v>
      </c>
      <c r="W35" s="105">
        <f t="shared" si="7"/>
        <v>41.92</v>
      </c>
      <c r="X35" s="106">
        <f t="shared" si="8"/>
        <v>41.36</v>
      </c>
      <c r="Y35" s="106">
        <f t="shared" si="9"/>
        <v>0.56000000000000005</v>
      </c>
      <c r="Z35" s="106">
        <f t="shared" si="10"/>
        <v>0.8</v>
      </c>
      <c r="AA35" s="107">
        <f t="shared" si="11"/>
        <v>1.36</v>
      </c>
    </row>
    <row r="36" spans="1:28" ht="23.25" customHeight="1" thickBot="1" x14ac:dyDescent="0.4">
      <c r="A36" s="27"/>
      <c r="B36" s="57"/>
      <c r="C36" s="29"/>
      <c r="D36" s="15"/>
      <c r="E36" s="15"/>
      <c r="F36" s="15"/>
      <c r="G36" s="15"/>
      <c r="H36" s="14"/>
      <c r="I36" s="15"/>
      <c r="J36" s="16"/>
      <c r="K36" s="14"/>
      <c r="L36" s="15"/>
      <c r="M36" s="16"/>
      <c r="N36" s="14"/>
      <c r="O36" s="16"/>
      <c r="P36" s="20"/>
      <c r="Q36" s="15"/>
      <c r="R36" s="15"/>
      <c r="S36" s="56">
        <f>SUM(S27:S35)</f>
        <v>30.259999999999998</v>
      </c>
      <c r="T36" s="56">
        <f>SUM(T27:T35)</f>
        <v>1521.2999999999997</v>
      </c>
      <c r="U36" s="16"/>
      <c r="W36" s="122">
        <f>SUM(W27:W35)</f>
        <v>546.12</v>
      </c>
      <c r="X36" s="109">
        <f t="shared" ref="X36:AA36" si="37">SUM(X27:X35)</f>
        <v>517.15999999999985</v>
      </c>
      <c r="Y36" s="109">
        <f t="shared" si="37"/>
        <v>28.959999999999997</v>
      </c>
      <c r="Z36" s="110">
        <f t="shared" si="37"/>
        <v>32.799999999999997</v>
      </c>
      <c r="AA36" s="114">
        <f t="shared" si="37"/>
        <v>30.259999999999998</v>
      </c>
      <c r="AB36" s="94"/>
    </row>
    <row r="37" spans="1:28" ht="31.5" customHeight="1" thickBot="1" x14ac:dyDescent="0.4">
      <c r="A37" s="58" t="s">
        <v>42</v>
      </c>
      <c r="B37" s="32">
        <f>+B4+B12+B22+B27</f>
        <v>4537</v>
      </c>
      <c r="C37" s="29"/>
      <c r="D37" s="15"/>
      <c r="E37" s="15"/>
      <c r="F37" s="15"/>
      <c r="G37" s="15"/>
      <c r="H37" s="14"/>
      <c r="I37" s="15"/>
      <c r="J37" s="16"/>
      <c r="K37" s="14"/>
      <c r="L37" s="15"/>
      <c r="M37" s="16"/>
      <c r="N37" s="14"/>
      <c r="O37" s="16"/>
      <c r="P37" s="20"/>
      <c r="Q37" s="15"/>
      <c r="R37" s="17"/>
      <c r="S37" s="85">
        <f>+S36+S26+S21+S11</f>
        <v>121.13500000000006</v>
      </c>
      <c r="T37" s="85">
        <f>+T36+T26+T21+T11</f>
        <v>6838.7000000000025</v>
      </c>
      <c r="U37" s="62"/>
      <c r="W37" s="108">
        <f>+W11+W21+W26+W36</f>
        <v>3340.38</v>
      </c>
      <c r="X37" s="119">
        <f t="shared" ref="X37:AA37" si="38">+X11+X21+X26+X36</f>
        <v>3281.5950000000003</v>
      </c>
      <c r="Y37" s="119">
        <f t="shared" si="38"/>
        <v>58.785000000000068</v>
      </c>
      <c r="Z37" s="121">
        <f t="shared" si="38"/>
        <v>156.6</v>
      </c>
      <c r="AA37" s="120">
        <f t="shared" si="38"/>
        <v>121.13500000000008</v>
      </c>
      <c r="AB37" s="94"/>
    </row>
    <row r="38" spans="1:28" x14ac:dyDescent="0.35">
      <c r="B38" s="59"/>
      <c r="Y38" s="63"/>
    </row>
    <row r="39" spans="1:28" ht="15" thickBot="1" x14ac:dyDescent="0.4">
      <c r="W39" s="63"/>
      <c r="X39" s="63"/>
      <c r="Y39" s="63"/>
      <c r="Z39" s="63"/>
      <c r="AA39" s="63"/>
    </row>
    <row r="40" spans="1:28" ht="18" customHeight="1" x14ac:dyDescent="0.35">
      <c r="A40" s="271"/>
      <c r="B40" s="271"/>
      <c r="C40" s="271"/>
      <c r="D40" s="271"/>
      <c r="E40" s="271"/>
      <c r="F40" s="271"/>
      <c r="S40" s="341" t="s">
        <v>214</v>
      </c>
      <c r="T40" s="342"/>
      <c r="U40" s="342"/>
      <c r="V40" s="342"/>
      <c r="W40" s="342"/>
      <c r="X40" s="342"/>
      <c r="Y40" s="342"/>
      <c r="Z40" s="342"/>
      <c r="AA40" s="343"/>
    </row>
    <row r="41" spans="1:28" ht="36.75" customHeight="1" x14ac:dyDescent="0.35">
      <c r="A41" s="255"/>
      <c r="B41" s="255"/>
      <c r="C41" s="255"/>
      <c r="D41" s="260"/>
      <c r="E41" s="260"/>
      <c r="F41" s="261"/>
      <c r="O41" s="255"/>
      <c r="P41" s="255"/>
      <c r="S41" s="7" t="s">
        <v>6</v>
      </c>
      <c r="T41" s="8" t="s">
        <v>7</v>
      </c>
      <c r="U41" s="60" t="s">
        <v>162</v>
      </c>
      <c r="V41" s="60" t="s">
        <v>3</v>
      </c>
      <c r="W41" s="60" t="s">
        <v>28</v>
      </c>
      <c r="X41" s="60" t="s">
        <v>163</v>
      </c>
      <c r="Y41" s="60" t="s">
        <v>164</v>
      </c>
      <c r="Z41" s="258" t="s">
        <v>165</v>
      </c>
      <c r="AA41" s="61" t="s">
        <v>166</v>
      </c>
    </row>
    <row r="42" spans="1:28" ht="29.25" customHeight="1" x14ac:dyDescent="0.35">
      <c r="A42" s="262"/>
      <c r="B42" s="263"/>
      <c r="C42" s="264"/>
      <c r="D42" s="264"/>
      <c r="E42" s="265"/>
      <c r="F42" s="266"/>
      <c r="O42" s="256"/>
      <c r="P42" s="256"/>
      <c r="S42" s="91" t="s">
        <v>47</v>
      </c>
      <c r="T42" s="35">
        <f>+B4</f>
        <v>1939</v>
      </c>
      <c r="U42" s="254">
        <f>+W11</f>
        <v>1360.25</v>
      </c>
      <c r="V42" s="254">
        <f t="shared" ref="V42:Y42" si="39">+X11</f>
        <v>1357.3500000000001</v>
      </c>
      <c r="W42" s="254">
        <f t="shared" si="39"/>
        <v>2.9000000000000172</v>
      </c>
      <c r="X42" s="254">
        <f t="shared" si="39"/>
        <v>40.25</v>
      </c>
      <c r="Y42" s="254">
        <f t="shared" si="39"/>
        <v>40.40000000000002</v>
      </c>
      <c r="Z42" s="95">
        <f>+Y42/T42</f>
        <v>2.0835482207323373E-2</v>
      </c>
      <c r="AA42" s="253">
        <f>+Y42/U42</f>
        <v>2.970042271641244E-2</v>
      </c>
    </row>
    <row r="43" spans="1:28" ht="29.25" customHeight="1" x14ac:dyDescent="0.35">
      <c r="A43" s="262"/>
      <c r="B43" s="263"/>
      <c r="C43" s="263"/>
      <c r="D43" s="264"/>
      <c r="E43" s="265"/>
      <c r="F43" s="266"/>
      <c r="O43" s="256"/>
      <c r="P43" s="256"/>
      <c r="Q43" s="133"/>
      <c r="R43" s="134"/>
      <c r="S43" s="91" t="s">
        <v>48</v>
      </c>
      <c r="T43" s="35">
        <f>+B12</f>
        <v>1376</v>
      </c>
      <c r="U43" s="254">
        <f>+W21</f>
        <v>1320.48</v>
      </c>
      <c r="V43" s="254">
        <f t="shared" ref="V43:Y43" si="40">+X21</f>
        <v>1293.58</v>
      </c>
      <c r="W43" s="254">
        <f t="shared" si="40"/>
        <v>26.900000000000052</v>
      </c>
      <c r="X43" s="254">
        <f t="shared" si="40"/>
        <v>78.5</v>
      </c>
      <c r="Y43" s="254">
        <f t="shared" si="40"/>
        <v>45.400000000000048</v>
      </c>
      <c r="Z43" s="95">
        <f t="shared" ref="Z43:Z45" si="41">+Y43/T43</f>
        <v>3.2994186046511664E-2</v>
      </c>
      <c r="AA43" s="253">
        <f t="shared" ref="AA43:AA45" si="42">+Y43/U43</f>
        <v>3.4381437053192812E-2</v>
      </c>
    </row>
    <row r="44" spans="1:28" ht="29.25" customHeight="1" x14ac:dyDescent="0.35">
      <c r="A44" s="262"/>
      <c r="B44" s="263"/>
      <c r="C44" s="263"/>
      <c r="D44" s="264"/>
      <c r="E44" s="265"/>
      <c r="F44" s="266"/>
      <c r="O44" s="256"/>
      <c r="P44" s="256"/>
      <c r="S44" s="91" t="s">
        <v>49</v>
      </c>
      <c r="T44" s="35">
        <f>+B22</f>
        <v>705</v>
      </c>
      <c r="U44" s="254">
        <f>+W26</f>
        <v>113.53</v>
      </c>
      <c r="V44" s="254">
        <f t="shared" ref="V44:Y44" si="43">+X26</f>
        <v>113.505</v>
      </c>
      <c r="W44" s="254">
        <f t="shared" si="43"/>
        <v>2.5000000000000001E-2</v>
      </c>
      <c r="X44" s="254">
        <f t="shared" si="43"/>
        <v>5.05</v>
      </c>
      <c r="Y44" s="254">
        <f t="shared" si="43"/>
        <v>5.0750000000000002</v>
      </c>
      <c r="Z44" s="95">
        <f t="shared" si="41"/>
        <v>7.1985815602836883E-3</v>
      </c>
      <c r="AA44" s="253">
        <f t="shared" si="42"/>
        <v>4.4701840923104023E-2</v>
      </c>
    </row>
    <row r="45" spans="1:28" ht="29.25" customHeight="1" x14ac:dyDescent="0.35">
      <c r="A45" s="262"/>
      <c r="B45" s="263"/>
      <c r="C45" s="264"/>
      <c r="D45" s="264"/>
      <c r="E45" s="265"/>
      <c r="F45" s="266"/>
      <c r="O45" s="256"/>
      <c r="P45" s="256"/>
      <c r="S45" s="91" t="s">
        <v>50</v>
      </c>
      <c r="T45" s="35">
        <f>+B27</f>
        <v>517</v>
      </c>
      <c r="U45" s="254">
        <f>+W36</f>
        <v>546.12</v>
      </c>
      <c r="V45" s="254">
        <f t="shared" ref="V45:Y45" si="44">+X36</f>
        <v>517.15999999999985</v>
      </c>
      <c r="W45" s="254">
        <f t="shared" si="44"/>
        <v>28.959999999999997</v>
      </c>
      <c r="X45" s="254">
        <f t="shared" si="44"/>
        <v>32.799999999999997</v>
      </c>
      <c r="Y45" s="254">
        <f t="shared" si="44"/>
        <v>30.259999999999998</v>
      </c>
      <c r="Z45" s="95">
        <f t="shared" si="41"/>
        <v>5.8529980657640229E-2</v>
      </c>
      <c r="AA45" s="253">
        <f t="shared" si="42"/>
        <v>5.5409067604189552E-2</v>
      </c>
    </row>
    <row r="46" spans="1:28" ht="29.25" customHeight="1" thickBot="1" x14ac:dyDescent="0.4">
      <c r="A46" s="267"/>
      <c r="B46" s="268"/>
      <c r="C46" s="268"/>
      <c r="D46" s="269"/>
      <c r="E46" s="270"/>
      <c r="F46" s="266"/>
      <c r="G46" s="259"/>
      <c r="O46" s="257"/>
      <c r="P46" s="257"/>
      <c r="S46" s="93" t="s">
        <v>51</v>
      </c>
      <c r="T46" s="96">
        <f>SUM(T42:T45)</f>
        <v>4537</v>
      </c>
      <c r="U46" s="272">
        <f>SUM(U42:U45)</f>
        <v>3340.38</v>
      </c>
      <c r="V46" s="272">
        <f t="shared" ref="V46:Y46" si="45">SUM(V42:V45)</f>
        <v>3281.5950000000003</v>
      </c>
      <c r="W46" s="272">
        <f t="shared" si="45"/>
        <v>58.785000000000068</v>
      </c>
      <c r="X46" s="272">
        <f t="shared" si="45"/>
        <v>156.6</v>
      </c>
      <c r="Y46" s="272">
        <f t="shared" si="45"/>
        <v>121.13500000000008</v>
      </c>
      <c r="Z46" s="273">
        <f>+Y46/T46</f>
        <v>2.6699360811108679E-2</v>
      </c>
      <c r="AA46" s="274">
        <f>+Y46/U46</f>
        <v>3.6263838245948088E-2</v>
      </c>
    </row>
    <row r="47" spans="1:28" x14ac:dyDescent="0.35">
      <c r="T47">
        <v>410</v>
      </c>
    </row>
    <row r="48" spans="1:28" x14ac:dyDescent="0.35">
      <c r="T48">
        <f>+T46+T47</f>
        <v>4947</v>
      </c>
    </row>
  </sheetData>
  <mergeCells count="16">
    <mergeCell ref="A27:A35"/>
    <mergeCell ref="B27:B35"/>
    <mergeCell ref="S40:AA40"/>
    <mergeCell ref="W2:AA2"/>
    <mergeCell ref="A4:A10"/>
    <mergeCell ref="B4:B10"/>
    <mergeCell ref="A12:A20"/>
    <mergeCell ref="B12:B20"/>
    <mergeCell ref="A22:A25"/>
    <mergeCell ref="B22:B25"/>
    <mergeCell ref="P2:U2"/>
    <mergeCell ref="A1:F1"/>
    <mergeCell ref="A2:G2"/>
    <mergeCell ref="H2:J2"/>
    <mergeCell ref="K2:M2"/>
    <mergeCell ref="N2:O2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2AA3F-752E-4D03-B597-D174EFBAAB94}">
  <dimension ref="A1:AB48"/>
  <sheetViews>
    <sheetView workbookViewId="0">
      <pane xSplit="7" ySplit="3" topLeftCell="H17" activePane="bottomRight" state="frozen"/>
      <selection pane="topRight" activeCell="H1" sqref="H1"/>
      <selection pane="bottomLeft" activeCell="A4" sqref="A4"/>
      <selection pane="bottomRight" activeCell="C13" sqref="C13"/>
    </sheetView>
  </sheetViews>
  <sheetFormatPr defaultRowHeight="14.5" x14ac:dyDescent="0.35"/>
  <cols>
    <col min="1" max="1" width="11" customWidth="1"/>
    <col min="2" max="2" width="7.81640625" customWidth="1"/>
    <col min="3" max="3" width="20" customWidth="1"/>
    <col min="4" max="4" width="9.1796875" customWidth="1"/>
    <col min="5" max="5" width="9.26953125" customWidth="1"/>
    <col min="6" max="6" width="10" customWidth="1"/>
    <col min="7" max="7" width="8.1796875" customWidth="1"/>
    <col min="8" max="8" width="12.54296875" customWidth="1"/>
    <col min="9" max="9" width="12.453125" customWidth="1"/>
    <col min="10" max="10" width="11" customWidth="1"/>
    <col min="11" max="11" width="9.453125" customWidth="1"/>
    <col min="12" max="12" width="11" customWidth="1"/>
    <col min="13" max="13" width="13.54296875" customWidth="1"/>
    <col min="14" max="14" width="14.81640625" customWidth="1"/>
    <col min="15" max="15" width="16" customWidth="1"/>
    <col min="16" max="16" width="11.26953125" customWidth="1"/>
    <col min="17" max="18" width="9.54296875" customWidth="1"/>
    <col min="19" max="20" width="10.81640625" customWidth="1"/>
    <col min="21" max="21" width="12.7265625" customWidth="1"/>
    <col min="22" max="22" width="10" customWidth="1"/>
    <col min="23" max="23" width="11.453125" customWidth="1"/>
    <col min="24" max="24" width="11" customWidth="1"/>
    <col min="25" max="25" width="13.453125" customWidth="1"/>
    <col min="26" max="26" width="10.26953125" customWidth="1"/>
    <col min="27" max="27" width="13.7265625" customWidth="1"/>
  </cols>
  <sheetData>
    <row r="1" spans="1:28" ht="22.5" customHeight="1" thickBot="1" x14ac:dyDescent="0.4">
      <c r="A1" s="308" t="s">
        <v>36</v>
      </c>
      <c r="B1" s="309"/>
      <c r="C1" s="309"/>
      <c r="D1" s="309"/>
      <c r="E1" s="309"/>
      <c r="F1" s="310"/>
    </row>
    <row r="2" spans="1:28" ht="22.5" customHeight="1" thickBot="1" x14ac:dyDescent="0.4">
      <c r="A2" s="311" t="s">
        <v>221</v>
      </c>
      <c r="B2" s="312"/>
      <c r="C2" s="312"/>
      <c r="D2" s="312"/>
      <c r="E2" s="312"/>
      <c r="F2" s="312"/>
      <c r="G2" s="313"/>
      <c r="H2" s="314" t="s">
        <v>22</v>
      </c>
      <c r="I2" s="315"/>
      <c r="J2" s="316"/>
      <c r="K2" s="317" t="s">
        <v>23</v>
      </c>
      <c r="L2" s="318"/>
      <c r="M2" s="319"/>
      <c r="N2" s="320" t="s">
        <v>24</v>
      </c>
      <c r="O2" s="321"/>
      <c r="P2" s="305" t="s">
        <v>25</v>
      </c>
      <c r="Q2" s="306"/>
      <c r="R2" s="306"/>
      <c r="S2" s="306"/>
      <c r="T2" s="306"/>
      <c r="U2" s="307"/>
      <c r="W2" s="325" t="s">
        <v>43</v>
      </c>
      <c r="X2" s="326"/>
      <c r="Y2" s="326"/>
      <c r="Z2" s="326"/>
      <c r="AA2" s="327"/>
    </row>
    <row r="3" spans="1:28" ht="58.5" thickBot="1" x14ac:dyDescent="0.4">
      <c r="A3" s="39" t="s">
        <v>6</v>
      </c>
      <c r="B3" s="38" t="s">
        <v>7</v>
      </c>
      <c r="C3" s="38" t="s">
        <v>0</v>
      </c>
      <c r="D3" s="37" t="s">
        <v>15</v>
      </c>
      <c r="E3" s="38" t="s">
        <v>1</v>
      </c>
      <c r="F3" s="36" t="s">
        <v>27</v>
      </c>
      <c r="G3" s="37" t="s">
        <v>19</v>
      </c>
      <c r="H3" s="25" t="s">
        <v>4</v>
      </c>
      <c r="I3" s="89" t="s">
        <v>44</v>
      </c>
      <c r="J3" s="26" t="s">
        <v>29</v>
      </c>
      <c r="K3" s="88" t="s">
        <v>3</v>
      </c>
      <c r="L3" s="1" t="s">
        <v>28</v>
      </c>
      <c r="M3" s="87" t="s">
        <v>5</v>
      </c>
      <c r="N3" s="25" t="s">
        <v>20</v>
      </c>
      <c r="O3" s="26" t="s">
        <v>21</v>
      </c>
      <c r="P3" s="24" t="s">
        <v>8</v>
      </c>
      <c r="Q3" s="86" t="s">
        <v>9</v>
      </c>
      <c r="R3" s="2" t="s">
        <v>10</v>
      </c>
      <c r="S3" s="1" t="s">
        <v>26</v>
      </c>
      <c r="T3" s="1" t="s">
        <v>11</v>
      </c>
      <c r="U3" s="1" t="s">
        <v>30</v>
      </c>
      <c r="W3" s="43" t="s">
        <v>2</v>
      </c>
      <c r="X3" s="60" t="s">
        <v>3</v>
      </c>
      <c r="Y3" s="60" t="s">
        <v>28</v>
      </c>
      <c r="Z3" s="60" t="s">
        <v>5</v>
      </c>
      <c r="AA3" s="61" t="s">
        <v>26</v>
      </c>
    </row>
    <row r="4" spans="1:28" ht="20.25" customHeight="1" x14ac:dyDescent="0.35">
      <c r="A4" s="301" t="s">
        <v>37</v>
      </c>
      <c r="B4" s="303">
        <v>1657</v>
      </c>
      <c r="C4" s="34" t="s">
        <v>55</v>
      </c>
      <c r="D4" s="4">
        <v>2</v>
      </c>
      <c r="E4" s="30" t="s">
        <v>16</v>
      </c>
      <c r="F4" s="47">
        <v>2</v>
      </c>
      <c r="G4" s="5">
        <v>0.05</v>
      </c>
      <c r="H4" s="71">
        <f>+F4*B4</f>
        <v>3314</v>
      </c>
      <c r="I4" s="67">
        <v>3320</v>
      </c>
      <c r="J4" s="64">
        <f>I4-H4</f>
        <v>6</v>
      </c>
      <c r="K4" s="75">
        <v>3314</v>
      </c>
      <c r="L4" s="127">
        <f>+I4-K4</f>
        <v>6</v>
      </c>
      <c r="M4" s="78">
        <v>70</v>
      </c>
      <c r="N4" s="128">
        <f>+K4-M4</f>
        <v>3244</v>
      </c>
      <c r="O4" s="64">
        <f>+N4/B4</f>
        <v>1.9577549788774895</v>
      </c>
      <c r="P4" s="18">
        <f>+L4+M4</f>
        <v>76</v>
      </c>
      <c r="Q4" s="81">
        <v>50</v>
      </c>
      <c r="R4" s="3">
        <f t="shared" ref="R4:R10" si="0">+P4-Q4</f>
        <v>26</v>
      </c>
      <c r="S4" s="3">
        <f t="shared" ref="S4:S10" si="1">+R4*G4</f>
        <v>1.3</v>
      </c>
      <c r="T4" s="3">
        <f t="shared" ref="T4:T10" si="2">+R4*D4</f>
        <v>52</v>
      </c>
      <c r="U4" s="6">
        <f>+R4/I4</f>
        <v>7.8313253012048199E-3</v>
      </c>
      <c r="W4" s="102">
        <f>+I4*G4</f>
        <v>166</v>
      </c>
      <c r="X4" s="103">
        <f>+K4*G4</f>
        <v>165.70000000000002</v>
      </c>
      <c r="Y4" s="103">
        <f>+L4*G4</f>
        <v>0.30000000000000004</v>
      </c>
      <c r="Z4" s="103">
        <f>+M4*G4</f>
        <v>3.5</v>
      </c>
      <c r="AA4" s="104">
        <f>+R4*G4</f>
        <v>1.3</v>
      </c>
    </row>
    <row r="5" spans="1:28" ht="20.25" customHeight="1" x14ac:dyDescent="0.35">
      <c r="A5" s="302"/>
      <c r="B5" s="304"/>
      <c r="C5" s="35" t="s">
        <v>100</v>
      </c>
      <c r="D5" s="10">
        <v>4</v>
      </c>
      <c r="E5" s="31" t="s">
        <v>16</v>
      </c>
      <c r="F5" s="48">
        <v>2</v>
      </c>
      <c r="G5" s="11">
        <v>0.05</v>
      </c>
      <c r="H5" s="70">
        <f>+F5*B4</f>
        <v>3314</v>
      </c>
      <c r="I5" s="68">
        <v>3315</v>
      </c>
      <c r="J5" s="13">
        <f t="shared" ref="J5:J10" si="3">I5-H5</f>
        <v>1</v>
      </c>
      <c r="K5" s="76">
        <v>3314</v>
      </c>
      <c r="L5" s="9">
        <f t="shared" ref="L5:L10" si="4">+I5-K5</f>
        <v>1</v>
      </c>
      <c r="M5" s="79">
        <v>60</v>
      </c>
      <c r="N5" s="23">
        <f t="shared" ref="N5:N10" si="5">+K5-M5</f>
        <v>3254</v>
      </c>
      <c r="O5" s="65">
        <f>+N5/B4</f>
        <v>1.9637899818949909</v>
      </c>
      <c r="P5" s="19">
        <f>+L5+M5</f>
        <v>61</v>
      </c>
      <c r="Q5" s="82">
        <v>0</v>
      </c>
      <c r="R5" s="9">
        <f t="shared" si="0"/>
        <v>61</v>
      </c>
      <c r="S5" s="9">
        <f>+R5*G5</f>
        <v>3.0500000000000003</v>
      </c>
      <c r="T5" s="9">
        <f t="shared" si="2"/>
        <v>244</v>
      </c>
      <c r="U5" s="12">
        <f t="shared" ref="U5:U9" si="6">+R5/I5</f>
        <v>1.8401206636500755E-2</v>
      </c>
      <c r="W5" s="102">
        <f t="shared" ref="W5:W35" si="7">+I5*G5</f>
        <v>165.75</v>
      </c>
      <c r="X5" s="103">
        <f t="shared" ref="X5:X35" si="8">+K5*G5</f>
        <v>165.70000000000002</v>
      </c>
      <c r="Y5" s="103">
        <f t="shared" ref="Y5:Y35" si="9">+L5*G5</f>
        <v>0.05</v>
      </c>
      <c r="Z5" s="103">
        <f t="shared" ref="Z5:Z35" si="10">+M5*G5</f>
        <v>3</v>
      </c>
      <c r="AA5" s="104">
        <f t="shared" ref="AA5:AA35" si="11">+R5*G5</f>
        <v>3.0500000000000003</v>
      </c>
    </row>
    <row r="6" spans="1:28" ht="20.25" customHeight="1" x14ac:dyDescent="0.35">
      <c r="A6" s="302"/>
      <c r="B6" s="304"/>
      <c r="C6" s="35" t="s">
        <v>149</v>
      </c>
      <c r="D6" s="10">
        <v>40</v>
      </c>
      <c r="E6" s="31" t="s">
        <v>17</v>
      </c>
      <c r="F6" s="49">
        <v>0.15</v>
      </c>
      <c r="G6" s="11">
        <v>1</v>
      </c>
      <c r="H6" s="72">
        <f>+F6*B4</f>
        <v>248.54999999999998</v>
      </c>
      <c r="I6" s="68">
        <v>253</v>
      </c>
      <c r="J6" s="13">
        <f t="shared" si="3"/>
        <v>4.4500000000000171</v>
      </c>
      <c r="K6" s="76">
        <f>1657*0.15</f>
        <v>248.54999999999998</v>
      </c>
      <c r="L6" s="9">
        <f t="shared" si="4"/>
        <v>4.4500000000000171</v>
      </c>
      <c r="M6" s="79">
        <v>12</v>
      </c>
      <c r="N6" s="33">
        <f t="shared" si="5"/>
        <v>236.54999999999998</v>
      </c>
      <c r="O6" s="42">
        <f>+N6/B4</f>
        <v>0.14275799637899819</v>
      </c>
      <c r="P6" s="19">
        <f>+L6+M6</f>
        <v>16.450000000000017</v>
      </c>
      <c r="Q6" s="82">
        <v>10</v>
      </c>
      <c r="R6" s="9">
        <f t="shared" si="0"/>
        <v>6.4500000000000171</v>
      </c>
      <c r="S6" s="9">
        <f t="shared" si="1"/>
        <v>6.4500000000000171</v>
      </c>
      <c r="T6" s="9">
        <f t="shared" si="2"/>
        <v>258.00000000000068</v>
      </c>
      <c r="U6" s="12">
        <f t="shared" si="6"/>
        <v>2.5494071146245127E-2</v>
      </c>
      <c r="W6" s="102">
        <f t="shared" si="7"/>
        <v>253</v>
      </c>
      <c r="X6" s="103">
        <f t="shared" si="8"/>
        <v>248.54999999999998</v>
      </c>
      <c r="Y6" s="103">
        <f t="shared" si="9"/>
        <v>4.4500000000000171</v>
      </c>
      <c r="Z6" s="103">
        <f t="shared" si="10"/>
        <v>12</v>
      </c>
      <c r="AA6" s="104">
        <f t="shared" si="11"/>
        <v>6.4500000000000171</v>
      </c>
    </row>
    <row r="7" spans="1:28" ht="20.25" customHeight="1" x14ac:dyDescent="0.35">
      <c r="A7" s="302"/>
      <c r="B7" s="304"/>
      <c r="C7" s="35" t="s">
        <v>12</v>
      </c>
      <c r="D7" s="10">
        <v>45</v>
      </c>
      <c r="E7" s="31" t="s">
        <v>17</v>
      </c>
      <c r="F7" s="49">
        <v>0.1</v>
      </c>
      <c r="G7" s="11">
        <v>1</v>
      </c>
      <c r="H7" s="72">
        <f>+F7*B4</f>
        <v>165.70000000000002</v>
      </c>
      <c r="I7" s="68">
        <v>168</v>
      </c>
      <c r="J7" s="13">
        <f t="shared" si="3"/>
        <v>2.2999999999999829</v>
      </c>
      <c r="K7" s="76">
        <v>165.7</v>
      </c>
      <c r="L7" s="9">
        <f t="shared" si="4"/>
        <v>2.3000000000000114</v>
      </c>
      <c r="M7" s="79">
        <v>10</v>
      </c>
      <c r="N7" s="23">
        <f t="shared" si="5"/>
        <v>155.69999999999999</v>
      </c>
      <c r="O7" s="42">
        <f>+N7/B4</f>
        <v>9.396499698249848E-2</v>
      </c>
      <c r="P7" s="19">
        <f t="shared" ref="P7:P10" si="12">+L7+M7</f>
        <v>12.300000000000011</v>
      </c>
      <c r="Q7" s="82">
        <v>0</v>
      </c>
      <c r="R7" s="9">
        <f t="shared" si="0"/>
        <v>12.300000000000011</v>
      </c>
      <c r="S7" s="9">
        <f t="shared" si="1"/>
        <v>12.300000000000011</v>
      </c>
      <c r="T7" s="9">
        <f t="shared" si="2"/>
        <v>553.50000000000045</v>
      </c>
      <c r="U7" s="12">
        <f t="shared" si="6"/>
        <v>7.3214285714285787E-2</v>
      </c>
      <c r="W7" s="102">
        <f t="shared" si="7"/>
        <v>168</v>
      </c>
      <c r="X7" s="103">
        <f t="shared" si="8"/>
        <v>165.7</v>
      </c>
      <c r="Y7" s="103">
        <f t="shared" si="9"/>
        <v>2.3000000000000114</v>
      </c>
      <c r="Z7" s="103">
        <f t="shared" si="10"/>
        <v>10</v>
      </c>
      <c r="AA7" s="104">
        <f t="shared" si="11"/>
        <v>12.300000000000011</v>
      </c>
    </row>
    <row r="8" spans="1:28" ht="20.25" customHeight="1" x14ac:dyDescent="0.35">
      <c r="A8" s="302"/>
      <c r="B8" s="304"/>
      <c r="C8" s="35" t="s">
        <v>13</v>
      </c>
      <c r="D8" s="10">
        <v>52</v>
      </c>
      <c r="E8" s="31" t="s">
        <v>17</v>
      </c>
      <c r="F8" s="49">
        <v>0.1</v>
      </c>
      <c r="G8" s="11">
        <v>1</v>
      </c>
      <c r="H8" s="72">
        <f>+F8*B4</f>
        <v>165.70000000000002</v>
      </c>
      <c r="I8" s="68">
        <v>169</v>
      </c>
      <c r="J8" s="13">
        <f t="shared" si="3"/>
        <v>3.2999999999999829</v>
      </c>
      <c r="K8" s="76">
        <v>165.7</v>
      </c>
      <c r="L8" s="9">
        <f>+I8-K8</f>
        <v>3.3000000000000114</v>
      </c>
      <c r="M8" s="79">
        <v>9</v>
      </c>
      <c r="N8" s="33">
        <f t="shared" si="5"/>
        <v>156.69999999999999</v>
      </c>
      <c r="O8" s="42">
        <f>+N8/B4</f>
        <v>9.456849728424864E-2</v>
      </c>
      <c r="P8" s="19">
        <f t="shared" si="12"/>
        <v>12.300000000000011</v>
      </c>
      <c r="Q8" s="82">
        <v>0</v>
      </c>
      <c r="R8" s="9">
        <f t="shared" si="0"/>
        <v>12.300000000000011</v>
      </c>
      <c r="S8" s="9">
        <f t="shared" si="1"/>
        <v>12.300000000000011</v>
      </c>
      <c r="T8" s="9">
        <f t="shared" si="2"/>
        <v>639.60000000000059</v>
      </c>
      <c r="U8" s="12">
        <f t="shared" si="6"/>
        <v>7.2781065088757466E-2</v>
      </c>
      <c r="W8" s="102">
        <f t="shared" si="7"/>
        <v>169</v>
      </c>
      <c r="X8" s="103">
        <f t="shared" si="8"/>
        <v>165.7</v>
      </c>
      <c r="Y8" s="103">
        <f t="shared" si="9"/>
        <v>3.3000000000000114</v>
      </c>
      <c r="Z8" s="103">
        <f t="shared" si="10"/>
        <v>9</v>
      </c>
      <c r="AA8" s="104">
        <f t="shared" si="11"/>
        <v>12.300000000000011</v>
      </c>
    </row>
    <row r="9" spans="1:28" ht="20.25" customHeight="1" x14ac:dyDescent="0.35">
      <c r="A9" s="302"/>
      <c r="B9" s="304"/>
      <c r="C9" s="35" t="s">
        <v>169</v>
      </c>
      <c r="D9" s="10">
        <v>90</v>
      </c>
      <c r="E9" s="31" t="s">
        <v>17</v>
      </c>
      <c r="F9" s="49">
        <v>0.05</v>
      </c>
      <c r="G9" s="11">
        <v>1</v>
      </c>
      <c r="H9" s="73">
        <f>+F9*B4</f>
        <v>82.850000000000009</v>
      </c>
      <c r="I9" s="68">
        <v>85</v>
      </c>
      <c r="J9" s="13">
        <f t="shared" si="3"/>
        <v>2.1499999999999915</v>
      </c>
      <c r="K9" s="76">
        <v>83</v>
      </c>
      <c r="L9" s="54">
        <f>+I9-K9</f>
        <v>2</v>
      </c>
      <c r="M9" s="79">
        <v>5.5</v>
      </c>
      <c r="N9" s="23">
        <f t="shared" si="5"/>
        <v>77.5</v>
      </c>
      <c r="O9" s="42">
        <f>+N9/B4</f>
        <v>4.6771273385636691E-2</v>
      </c>
      <c r="P9" s="19">
        <f t="shared" si="12"/>
        <v>7.5</v>
      </c>
      <c r="Q9" s="82">
        <v>5</v>
      </c>
      <c r="R9" s="9">
        <f t="shared" si="0"/>
        <v>2.5</v>
      </c>
      <c r="S9" s="9">
        <f t="shared" si="1"/>
        <v>2.5</v>
      </c>
      <c r="T9" s="9">
        <f t="shared" si="2"/>
        <v>225</v>
      </c>
      <c r="U9" s="12">
        <f t="shared" si="6"/>
        <v>2.9411764705882353E-2</v>
      </c>
      <c r="W9" s="102">
        <f t="shared" si="7"/>
        <v>85</v>
      </c>
      <c r="X9" s="103">
        <f t="shared" si="8"/>
        <v>83</v>
      </c>
      <c r="Y9" s="103">
        <f t="shared" si="9"/>
        <v>2</v>
      </c>
      <c r="Z9" s="103">
        <f t="shared" si="10"/>
        <v>5.5</v>
      </c>
      <c r="AA9" s="104">
        <f t="shared" si="11"/>
        <v>2.5</v>
      </c>
    </row>
    <row r="10" spans="1:28" ht="20.25" customHeight="1" x14ac:dyDescent="0.35">
      <c r="A10" s="302"/>
      <c r="B10" s="304"/>
      <c r="C10" s="35" t="s">
        <v>14</v>
      </c>
      <c r="D10" s="10">
        <v>60</v>
      </c>
      <c r="E10" s="31" t="s">
        <v>18</v>
      </c>
      <c r="F10" s="49">
        <v>0.1</v>
      </c>
      <c r="G10" s="11">
        <v>1</v>
      </c>
      <c r="H10" s="72">
        <f>+F10*B4</f>
        <v>165.70000000000002</v>
      </c>
      <c r="I10" s="68">
        <v>167</v>
      </c>
      <c r="J10" s="13">
        <f t="shared" si="3"/>
        <v>1.2999999999999829</v>
      </c>
      <c r="K10" s="76">
        <v>165.7</v>
      </c>
      <c r="L10" s="9">
        <f t="shared" si="4"/>
        <v>1.3000000000000114</v>
      </c>
      <c r="M10" s="79">
        <v>15</v>
      </c>
      <c r="N10" s="33">
        <f t="shared" si="5"/>
        <v>150.69999999999999</v>
      </c>
      <c r="O10" s="42">
        <f>+N10/B4</f>
        <v>9.0947495473747725E-2</v>
      </c>
      <c r="P10" s="19">
        <f t="shared" si="12"/>
        <v>16.300000000000011</v>
      </c>
      <c r="Q10" s="82">
        <v>0</v>
      </c>
      <c r="R10" s="9">
        <f t="shared" si="0"/>
        <v>16.300000000000011</v>
      </c>
      <c r="S10" s="9">
        <f t="shared" si="1"/>
        <v>16.300000000000011</v>
      </c>
      <c r="T10" s="9">
        <f t="shared" si="2"/>
        <v>978.00000000000068</v>
      </c>
      <c r="U10" s="12">
        <f>+R10/I10</f>
        <v>9.7604790419161744E-2</v>
      </c>
      <c r="W10" s="115">
        <f t="shared" si="7"/>
        <v>167</v>
      </c>
      <c r="X10" s="116">
        <f t="shared" si="8"/>
        <v>165.7</v>
      </c>
      <c r="Y10" s="116">
        <f t="shared" si="9"/>
        <v>1.3000000000000114</v>
      </c>
      <c r="Z10" s="116">
        <f t="shared" si="10"/>
        <v>15</v>
      </c>
      <c r="AA10" s="117">
        <f t="shared" si="11"/>
        <v>16.300000000000011</v>
      </c>
    </row>
    <row r="11" spans="1:28" ht="20.25" customHeight="1" thickBot="1" x14ac:dyDescent="0.4">
      <c r="A11" s="27"/>
      <c r="B11" s="51"/>
      <c r="C11" s="50"/>
      <c r="D11" s="15"/>
      <c r="E11" s="15"/>
      <c r="F11" s="15"/>
      <c r="G11" s="15"/>
      <c r="H11" s="74"/>
      <c r="I11" s="69"/>
      <c r="J11" s="16"/>
      <c r="K11" s="77"/>
      <c r="L11" s="15"/>
      <c r="M11" s="80"/>
      <c r="N11" s="14"/>
      <c r="O11" s="16"/>
      <c r="P11" s="20"/>
      <c r="Q11" s="83"/>
      <c r="R11" s="15"/>
      <c r="S11" s="84">
        <f>SUM(S4:S10)</f>
        <v>54.200000000000053</v>
      </c>
      <c r="T11" s="56">
        <f>SUM(T4:T10)</f>
        <v>2950.1000000000022</v>
      </c>
      <c r="U11" s="16"/>
      <c r="W11" s="118">
        <f>SUM(W4:W10)</f>
        <v>1173.75</v>
      </c>
      <c r="X11" s="109">
        <f t="shared" ref="X11:AA11" si="13">SUM(X4:X10)</f>
        <v>1160.0500000000002</v>
      </c>
      <c r="Y11" s="109">
        <f t="shared" si="13"/>
        <v>13.700000000000051</v>
      </c>
      <c r="Z11" s="110">
        <f t="shared" si="13"/>
        <v>58</v>
      </c>
      <c r="AA11" s="114">
        <f t="shared" si="13"/>
        <v>54.200000000000053</v>
      </c>
      <c r="AB11" s="94"/>
    </row>
    <row r="12" spans="1:28" ht="20.25" customHeight="1" x14ac:dyDescent="0.35">
      <c r="A12" s="292" t="s">
        <v>38</v>
      </c>
      <c r="B12" s="295">
        <v>1695</v>
      </c>
      <c r="C12" s="34" t="s">
        <v>31</v>
      </c>
      <c r="D12" s="4">
        <v>20</v>
      </c>
      <c r="E12" s="30" t="s">
        <v>17</v>
      </c>
      <c r="F12" s="52">
        <v>0.4</v>
      </c>
      <c r="G12" s="5">
        <v>1</v>
      </c>
      <c r="H12" s="71">
        <f>+F12*B12</f>
        <v>678</v>
      </c>
      <c r="I12" s="67">
        <v>698</v>
      </c>
      <c r="J12" s="64">
        <f>I12-H12</f>
        <v>20</v>
      </c>
      <c r="K12" s="75">
        <f>1695*0.4</f>
        <v>678</v>
      </c>
      <c r="L12" s="3">
        <f>+I12-K12</f>
        <v>20</v>
      </c>
      <c r="M12" s="78">
        <v>65</v>
      </c>
      <c r="N12" s="21">
        <f>+K12-M12</f>
        <v>613</v>
      </c>
      <c r="O12" s="41">
        <f>+N12/B12</f>
        <v>0.36165191740412977</v>
      </c>
      <c r="P12" s="18">
        <f>+L12+M12</f>
        <v>85</v>
      </c>
      <c r="Q12" s="81">
        <v>30</v>
      </c>
      <c r="R12" s="3">
        <f>+P12-Q12</f>
        <v>55</v>
      </c>
      <c r="S12" s="3">
        <f>+R12*G12</f>
        <v>55</v>
      </c>
      <c r="T12" s="3">
        <f t="shared" ref="T12:T20" si="14">+R12*D12</f>
        <v>1100</v>
      </c>
      <c r="U12" s="6">
        <f>+R12/I12</f>
        <v>7.8796561604584522E-2</v>
      </c>
      <c r="W12" s="111">
        <f>+I12*G12</f>
        <v>698</v>
      </c>
      <c r="X12" s="112">
        <f t="shared" si="8"/>
        <v>678</v>
      </c>
      <c r="Y12" s="112">
        <f t="shared" si="9"/>
        <v>20</v>
      </c>
      <c r="Z12" s="112">
        <f t="shared" si="10"/>
        <v>65</v>
      </c>
      <c r="AA12" s="113">
        <f t="shared" si="11"/>
        <v>55</v>
      </c>
    </row>
    <row r="13" spans="1:28" ht="20.25" customHeight="1" x14ac:dyDescent="0.35">
      <c r="A13" s="293"/>
      <c r="B13" s="296"/>
      <c r="C13" s="35" t="s">
        <v>215</v>
      </c>
      <c r="D13" s="10">
        <v>65</v>
      </c>
      <c r="E13" s="31" t="s">
        <v>17</v>
      </c>
      <c r="F13" s="49">
        <v>0.08</v>
      </c>
      <c r="G13" s="11">
        <v>1</v>
      </c>
      <c r="H13" s="70">
        <f>+F13*B12</f>
        <v>135.6</v>
      </c>
      <c r="I13" s="68">
        <v>140</v>
      </c>
      <c r="J13" s="65">
        <f>+I13-H13</f>
        <v>4.4000000000000057</v>
      </c>
      <c r="K13" s="76">
        <f>1695*0.08</f>
        <v>135.6</v>
      </c>
      <c r="L13" s="9">
        <f>+I13-K13</f>
        <v>4.4000000000000057</v>
      </c>
      <c r="M13" s="79">
        <v>35</v>
      </c>
      <c r="N13" s="23">
        <f>+K13-M13</f>
        <v>100.6</v>
      </c>
      <c r="O13" s="42">
        <f>+N13/B12</f>
        <v>5.9351032448377576E-2</v>
      </c>
      <c r="P13" s="19">
        <f>+L13+M13</f>
        <v>39.400000000000006</v>
      </c>
      <c r="Q13" s="82">
        <v>0</v>
      </c>
      <c r="R13" s="9">
        <f t="shared" ref="R13:R20" si="15">+P13-Q13</f>
        <v>39.400000000000006</v>
      </c>
      <c r="S13" s="9">
        <f>+R13*G13</f>
        <v>39.400000000000006</v>
      </c>
      <c r="T13" s="9">
        <f t="shared" si="14"/>
        <v>2561.0000000000005</v>
      </c>
      <c r="U13" s="12">
        <f>+R13/I13</f>
        <v>0.28142857142857147</v>
      </c>
      <c r="W13" s="102">
        <f>+I13*G13</f>
        <v>140</v>
      </c>
      <c r="X13" s="103">
        <f t="shared" si="8"/>
        <v>135.6</v>
      </c>
      <c r="Y13" s="103">
        <f t="shared" si="9"/>
        <v>4.4000000000000057</v>
      </c>
      <c r="Z13" s="103">
        <f>+M13*G13</f>
        <v>35</v>
      </c>
      <c r="AA13" s="104">
        <f t="shared" si="11"/>
        <v>39.400000000000006</v>
      </c>
    </row>
    <row r="14" spans="1:28" ht="20.25" customHeight="1" x14ac:dyDescent="0.35">
      <c r="A14" s="293"/>
      <c r="B14" s="296"/>
      <c r="C14" s="35" t="s">
        <v>216</v>
      </c>
      <c r="D14" s="10">
        <v>130</v>
      </c>
      <c r="E14" s="31" t="s">
        <v>17</v>
      </c>
      <c r="F14" s="49">
        <v>0.08</v>
      </c>
      <c r="G14" s="11">
        <v>1</v>
      </c>
      <c r="H14" s="72">
        <f>+F14*B12</f>
        <v>135.6</v>
      </c>
      <c r="I14" s="68">
        <v>136</v>
      </c>
      <c r="J14" s="65">
        <f>+I14-H14</f>
        <v>0.40000000000000568</v>
      </c>
      <c r="K14" s="76">
        <f>1660*0.08</f>
        <v>132.80000000000001</v>
      </c>
      <c r="L14" s="9">
        <f t="shared" ref="L14:L20" si="16">+I14-K14</f>
        <v>3.1999999999999886</v>
      </c>
      <c r="M14" s="79">
        <v>27</v>
      </c>
      <c r="N14" s="33">
        <f>+K14-M14</f>
        <v>105.80000000000001</v>
      </c>
      <c r="O14" s="42">
        <f>+N14/B12</f>
        <v>6.2418879056047205E-2</v>
      </c>
      <c r="P14" s="19">
        <f>+L14+M14</f>
        <v>30.199999999999989</v>
      </c>
      <c r="Q14" s="82">
        <v>0</v>
      </c>
      <c r="R14" s="9">
        <f t="shared" si="15"/>
        <v>30.199999999999989</v>
      </c>
      <c r="S14" s="9">
        <f t="shared" ref="S14:S20" si="17">+R14*G14</f>
        <v>30.199999999999989</v>
      </c>
      <c r="T14" s="9">
        <f t="shared" si="14"/>
        <v>3925.9999999999986</v>
      </c>
      <c r="U14" s="12">
        <f t="shared" ref="U14:U20" si="18">+R14/I14</f>
        <v>0.22205882352941167</v>
      </c>
      <c r="W14" s="102">
        <f t="shared" si="7"/>
        <v>136</v>
      </c>
      <c r="X14" s="103">
        <f t="shared" si="8"/>
        <v>132.80000000000001</v>
      </c>
      <c r="Y14" s="103">
        <f t="shared" si="9"/>
        <v>3.1999999999999886</v>
      </c>
      <c r="Z14" s="103">
        <f>+M14*G14</f>
        <v>27</v>
      </c>
      <c r="AA14" s="104">
        <f t="shared" si="11"/>
        <v>30.199999999999989</v>
      </c>
    </row>
    <row r="15" spans="1:28" ht="20.25" customHeight="1" x14ac:dyDescent="0.35">
      <c r="A15" s="293"/>
      <c r="B15" s="296"/>
      <c r="C15" s="35" t="s">
        <v>217</v>
      </c>
      <c r="D15" s="10">
        <v>55</v>
      </c>
      <c r="E15" s="31" t="s">
        <v>17</v>
      </c>
      <c r="F15" s="49">
        <v>0.08</v>
      </c>
      <c r="G15" s="11">
        <v>1</v>
      </c>
      <c r="H15" s="72">
        <f>+F15*B12</f>
        <v>135.6</v>
      </c>
      <c r="I15" s="68">
        <v>136</v>
      </c>
      <c r="J15" s="13">
        <f t="shared" ref="J15:J20" si="19">I15-H15</f>
        <v>0.40000000000000568</v>
      </c>
      <c r="K15" s="76">
        <f>1695*0.08</f>
        <v>135.6</v>
      </c>
      <c r="L15" s="9">
        <f t="shared" si="16"/>
        <v>0.40000000000000568</v>
      </c>
      <c r="M15" s="79">
        <v>35</v>
      </c>
      <c r="N15" s="23">
        <f t="shared" ref="N15:N20" si="20">+K15-M15</f>
        <v>100.6</v>
      </c>
      <c r="O15" s="42">
        <f>+N15/B12</f>
        <v>5.9351032448377576E-2</v>
      </c>
      <c r="P15" s="19">
        <f t="shared" ref="P15:P20" si="21">+L15+M15</f>
        <v>35.400000000000006</v>
      </c>
      <c r="Q15" s="82">
        <v>0</v>
      </c>
      <c r="R15" s="9">
        <f t="shared" si="15"/>
        <v>35.400000000000006</v>
      </c>
      <c r="S15" s="9">
        <f t="shared" si="17"/>
        <v>35.400000000000006</v>
      </c>
      <c r="T15" s="9">
        <f t="shared" si="14"/>
        <v>1947.0000000000002</v>
      </c>
      <c r="U15" s="12">
        <f t="shared" si="18"/>
        <v>0.26029411764705884</v>
      </c>
      <c r="W15" s="102">
        <f t="shared" si="7"/>
        <v>136</v>
      </c>
      <c r="X15" s="103">
        <f t="shared" si="8"/>
        <v>135.6</v>
      </c>
      <c r="Y15" s="103">
        <f t="shared" si="9"/>
        <v>0.40000000000000568</v>
      </c>
      <c r="Z15" s="103">
        <f t="shared" si="10"/>
        <v>35</v>
      </c>
      <c r="AA15" s="104">
        <f t="shared" si="11"/>
        <v>35.400000000000006</v>
      </c>
    </row>
    <row r="16" spans="1:28" ht="20.25" customHeight="1" x14ac:dyDescent="0.35">
      <c r="A16" s="293"/>
      <c r="B16" s="296"/>
      <c r="C16" s="35" t="s">
        <v>32</v>
      </c>
      <c r="D16" s="10">
        <v>48</v>
      </c>
      <c r="E16" s="31" t="s">
        <v>18</v>
      </c>
      <c r="F16" s="49">
        <v>0.06</v>
      </c>
      <c r="G16" s="11">
        <v>1</v>
      </c>
      <c r="H16" s="72">
        <f>+F16*B12</f>
        <v>101.7</v>
      </c>
      <c r="I16" s="68">
        <v>110</v>
      </c>
      <c r="J16" s="13">
        <f t="shared" si="19"/>
        <v>8.2999999999999972</v>
      </c>
      <c r="K16" s="76">
        <v>132.80000000000001</v>
      </c>
      <c r="L16" s="9">
        <f t="shared" si="16"/>
        <v>-22.800000000000011</v>
      </c>
      <c r="M16" s="79">
        <v>22</v>
      </c>
      <c r="N16" s="33">
        <f t="shared" si="20"/>
        <v>110.80000000000001</v>
      </c>
      <c r="O16" s="42">
        <f>+N16/B12</f>
        <v>6.5368731563421836E-2</v>
      </c>
      <c r="P16" s="19">
        <f t="shared" si="21"/>
        <v>-0.80000000000001137</v>
      </c>
      <c r="Q16" s="82">
        <v>0</v>
      </c>
      <c r="R16" s="9">
        <f t="shared" si="15"/>
        <v>-0.80000000000001137</v>
      </c>
      <c r="S16" s="9">
        <f t="shared" si="17"/>
        <v>-0.80000000000001137</v>
      </c>
      <c r="T16" s="9">
        <f t="shared" si="14"/>
        <v>-38.400000000000546</v>
      </c>
      <c r="U16" s="12">
        <f t="shared" si="18"/>
        <v>-7.2727272727273759E-3</v>
      </c>
      <c r="W16" s="102">
        <f t="shared" si="7"/>
        <v>110</v>
      </c>
      <c r="X16" s="103">
        <f t="shared" si="8"/>
        <v>132.80000000000001</v>
      </c>
      <c r="Y16" s="103">
        <f t="shared" si="9"/>
        <v>-22.800000000000011</v>
      </c>
      <c r="Z16" s="103">
        <f t="shared" si="10"/>
        <v>22</v>
      </c>
      <c r="AA16" s="104">
        <f t="shared" si="11"/>
        <v>-0.80000000000001137</v>
      </c>
    </row>
    <row r="17" spans="1:28" ht="20.25" customHeight="1" x14ac:dyDescent="0.35">
      <c r="A17" s="293"/>
      <c r="B17" s="296"/>
      <c r="C17" s="35" t="s">
        <v>155</v>
      </c>
      <c r="D17" s="10">
        <v>35</v>
      </c>
      <c r="E17" s="31" t="s">
        <v>18</v>
      </c>
      <c r="F17" s="49">
        <v>0.06</v>
      </c>
      <c r="G17" s="11">
        <v>1</v>
      </c>
      <c r="H17" s="73">
        <f>+F17*B12</f>
        <v>101.7</v>
      </c>
      <c r="I17" s="68">
        <v>109</v>
      </c>
      <c r="J17" s="66">
        <f t="shared" si="19"/>
        <v>7.2999999999999972</v>
      </c>
      <c r="K17" s="76">
        <v>132.80000000000001</v>
      </c>
      <c r="L17" s="9">
        <f t="shared" si="16"/>
        <v>-23.800000000000011</v>
      </c>
      <c r="M17" s="79">
        <v>25</v>
      </c>
      <c r="N17" s="23">
        <f t="shared" si="20"/>
        <v>107.80000000000001</v>
      </c>
      <c r="O17" s="42">
        <f>+N17/B12</f>
        <v>6.3598820058997058E-2</v>
      </c>
      <c r="P17" s="19">
        <f t="shared" si="21"/>
        <v>1.1999999999999886</v>
      </c>
      <c r="Q17" s="82">
        <v>0</v>
      </c>
      <c r="R17" s="9">
        <f t="shared" si="15"/>
        <v>1.1999999999999886</v>
      </c>
      <c r="S17" s="9">
        <f t="shared" si="17"/>
        <v>1.1999999999999886</v>
      </c>
      <c r="T17" s="9">
        <f t="shared" si="14"/>
        <v>41.999999999999602</v>
      </c>
      <c r="U17" s="12">
        <f t="shared" si="18"/>
        <v>1.1009174311926502E-2</v>
      </c>
      <c r="W17" s="102">
        <f t="shared" si="7"/>
        <v>109</v>
      </c>
      <c r="X17" s="103">
        <f t="shared" si="8"/>
        <v>132.80000000000001</v>
      </c>
      <c r="Y17" s="103">
        <f t="shared" si="9"/>
        <v>-23.800000000000011</v>
      </c>
      <c r="Z17" s="103">
        <f t="shared" si="10"/>
        <v>25</v>
      </c>
      <c r="AA17" s="104">
        <f t="shared" si="11"/>
        <v>1.1999999999999886</v>
      </c>
    </row>
    <row r="18" spans="1:28" ht="20.25" customHeight="1" x14ac:dyDescent="0.35">
      <c r="A18" s="293"/>
      <c r="B18" s="296"/>
      <c r="C18" s="35" t="s">
        <v>33</v>
      </c>
      <c r="D18" s="10">
        <v>50</v>
      </c>
      <c r="E18" s="31" t="s">
        <v>17</v>
      </c>
      <c r="F18" s="49">
        <v>0.03</v>
      </c>
      <c r="G18" s="11">
        <v>1</v>
      </c>
      <c r="H18" s="72">
        <f>+F18*B12</f>
        <v>50.85</v>
      </c>
      <c r="I18" s="68">
        <v>52</v>
      </c>
      <c r="J18" s="13">
        <f t="shared" si="19"/>
        <v>1.1499999999999986</v>
      </c>
      <c r="K18" s="76">
        <f>1695*0.03</f>
        <v>50.85</v>
      </c>
      <c r="L18" s="9">
        <f t="shared" si="16"/>
        <v>1.1499999999999986</v>
      </c>
      <c r="M18" s="79">
        <v>9.5</v>
      </c>
      <c r="N18" s="23">
        <f t="shared" si="20"/>
        <v>41.35</v>
      </c>
      <c r="O18" s="42">
        <f>+N18/B12</f>
        <v>2.4395280235988203E-2</v>
      </c>
      <c r="P18" s="19">
        <f t="shared" si="21"/>
        <v>10.649999999999999</v>
      </c>
      <c r="Q18" s="82">
        <v>0</v>
      </c>
      <c r="R18" s="9">
        <f t="shared" si="15"/>
        <v>10.649999999999999</v>
      </c>
      <c r="S18" s="9">
        <f t="shared" si="17"/>
        <v>10.649999999999999</v>
      </c>
      <c r="T18" s="9">
        <f t="shared" si="14"/>
        <v>532.49999999999989</v>
      </c>
      <c r="U18" s="12">
        <f t="shared" si="18"/>
        <v>0.20480769230769227</v>
      </c>
      <c r="W18" s="102">
        <f t="shared" si="7"/>
        <v>52</v>
      </c>
      <c r="X18" s="103">
        <f t="shared" si="8"/>
        <v>50.85</v>
      </c>
      <c r="Y18" s="103">
        <f t="shared" si="9"/>
        <v>1.1499999999999986</v>
      </c>
      <c r="Z18" s="103">
        <f t="shared" si="10"/>
        <v>9.5</v>
      </c>
      <c r="AA18" s="104">
        <f t="shared" si="11"/>
        <v>10.649999999999999</v>
      </c>
    </row>
    <row r="19" spans="1:28" ht="20.25" customHeight="1" x14ac:dyDescent="0.35">
      <c r="A19" s="293"/>
      <c r="B19" s="296"/>
      <c r="C19" s="35" t="s">
        <v>34</v>
      </c>
      <c r="D19" s="31">
        <v>70</v>
      </c>
      <c r="E19" s="31" t="s">
        <v>17</v>
      </c>
      <c r="F19" s="11">
        <v>0.1</v>
      </c>
      <c r="G19" s="11">
        <v>1</v>
      </c>
      <c r="H19" s="72">
        <f>+F19*B12</f>
        <v>169.5</v>
      </c>
      <c r="I19" s="68">
        <v>170</v>
      </c>
      <c r="J19" s="13">
        <f t="shared" si="19"/>
        <v>0.5</v>
      </c>
      <c r="K19" s="76">
        <v>169.5</v>
      </c>
      <c r="L19" s="9">
        <f t="shared" si="16"/>
        <v>0.5</v>
      </c>
      <c r="M19" s="79">
        <v>3</v>
      </c>
      <c r="N19" s="23">
        <f t="shared" si="20"/>
        <v>166.5</v>
      </c>
      <c r="O19" s="42">
        <f>+N19/B12</f>
        <v>9.8230088495575227E-2</v>
      </c>
      <c r="P19" s="19">
        <f t="shared" si="21"/>
        <v>3.5</v>
      </c>
      <c r="Q19" s="82">
        <v>0</v>
      </c>
      <c r="R19" s="9">
        <f t="shared" si="15"/>
        <v>3.5</v>
      </c>
      <c r="S19" s="9">
        <f t="shared" si="17"/>
        <v>3.5</v>
      </c>
      <c r="T19" s="9">
        <f t="shared" si="14"/>
        <v>245</v>
      </c>
      <c r="U19" s="12">
        <f t="shared" si="18"/>
        <v>2.0588235294117647E-2</v>
      </c>
      <c r="W19" s="102">
        <f t="shared" si="7"/>
        <v>170</v>
      </c>
      <c r="X19" s="103">
        <f t="shared" si="8"/>
        <v>169.5</v>
      </c>
      <c r="Y19" s="103">
        <f t="shared" si="9"/>
        <v>0.5</v>
      </c>
      <c r="Z19" s="103">
        <f t="shared" si="10"/>
        <v>3</v>
      </c>
      <c r="AA19" s="104">
        <f t="shared" si="11"/>
        <v>3.5</v>
      </c>
    </row>
    <row r="20" spans="1:28" ht="20.25" customHeight="1" x14ac:dyDescent="0.35">
      <c r="A20" s="294"/>
      <c r="B20" s="297"/>
      <c r="C20" s="40" t="s">
        <v>35</v>
      </c>
      <c r="D20" s="44">
        <v>2</v>
      </c>
      <c r="E20" s="44" t="s">
        <v>16</v>
      </c>
      <c r="F20" s="53">
        <v>2</v>
      </c>
      <c r="G20" s="45">
        <v>0.04</v>
      </c>
      <c r="H20" s="72">
        <f>+F20*B12</f>
        <v>3390</v>
      </c>
      <c r="I20" s="68">
        <v>3405</v>
      </c>
      <c r="J20" s="13">
        <f t="shared" si="19"/>
        <v>15</v>
      </c>
      <c r="K20" s="76">
        <f>1695*2</f>
        <v>3390</v>
      </c>
      <c r="L20" s="9">
        <f t="shared" si="16"/>
        <v>15</v>
      </c>
      <c r="M20" s="79">
        <v>140</v>
      </c>
      <c r="N20" s="33">
        <f t="shared" si="20"/>
        <v>3250</v>
      </c>
      <c r="O20" s="42">
        <f>+N20/B12</f>
        <v>1.9174041297935103</v>
      </c>
      <c r="P20" s="19">
        <f t="shared" si="21"/>
        <v>155</v>
      </c>
      <c r="Q20" s="82">
        <v>0</v>
      </c>
      <c r="R20" s="9">
        <f t="shared" si="15"/>
        <v>155</v>
      </c>
      <c r="S20" s="9">
        <f t="shared" si="17"/>
        <v>6.2</v>
      </c>
      <c r="T20" s="9">
        <f t="shared" si="14"/>
        <v>310</v>
      </c>
      <c r="U20" s="12">
        <f t="shared" si="18"/>
        <v>4.552129221732746E-2</v>
      </c>
      <c r="W20" s="115">
        <f t="shared" si="7"/>
        <v>136.19999999999999</v>
      </c>
      <c r="X20" s="116">
        <f t="shared" si="8"/>
        <v>135.6</v>
      </c>
      <c r="Y20" s="116">
        <f t="shared" si="9"/>
        <v>0.6</v>
      </c>
      <c r="Z20" s="116">
        <f t="shared" si="10"/>
        <v>5.6000000000000005</v>
      </c>
      <c r="AA20" s="117">
        <f t="shared" si="11"/>
        <v>6.2</v>
      </c>
    </row>
    <row r="21" spans="1:28" ht="20.25" customHeight="1" thickBot="1" x14ac:dyDescent="0.4">
      <c r="A21" s="27"/>
      <c r="B21" s="28"/>
      <c r="C21" s="29"/>
      <c r="D21" s="15"/>
      <c r="E21" s="15"/>
      <c r="F21" s="15"/>
      <c r="G21" s="15"/>
      <c r="H21" s="74"/>
      <c r="I21" s="69"/>
      <c r="J21" s="16"/>
      <c r="K21" s="77"/>
      <c r="L21" s="15"/>
      <c r="M21" s="80"/>
      <c r="N21" s="14"/>
      <c r="O21" s="16"/>
      <c r="P21" s="20"/>
      <c r="Q21" s="83"/>
      <c r="R21" s="15"/>
      <c r="S21" s="56">
        <f>SUM(S12:S20)</f>
        <v>180.74999999999997</v>
      </c>
      <c r="T21" s="56">
        <f>SUM(T12:T20)</f>
        <v>10625.099999999999</v>
      </c>
      <c r="U21" s="16"/>
      <c r="W21" s="118">
        <f>SUM(W12:W20)</f>
        <v>1687.2</v>
      </c>
      <c r="X21" s="110">
        <f t="shared" ref="X21:AA21" si="22">SUM(X12:X20)</f>
        <v>1703.5499999999997</v>
      </c>
      <c r="Y21" s="114">
        <f t="shared" si="22"/>
        <v>-16.350000000000023</v>
      </c>
      <c r="Z21" s="109">
        <f t="shared" si="22"/>
        <v>227.1</v>
      </c>
      <c r="AA21" s="109">
        <f t="shared" si="22"/>
        <v>180.74999999999997</v>
      </c>
      <c r="AB21" s="94"/>
    </row>
    <row r="22" spans="1:28" ht="20.25" customHeight="1" x14ac:dyDescent="0.35">
      <c r="A22" s="292" t="s">
        <v>39</v>
      </c>
      <c r="B22" s="295">
        <v>1010</v>
      </c>
      <c r="C22" s="34" t="s">
        <v>218</v>
      </c>
      <c r="D22" s="4">
        <v>8</v>
      </c>
      <c r="E22" s="4" t="s">
        <v>186</v>
      </c>
      <c r="F22" s="135">
        <v>2</v>
      </c>
      <c r="G22" s="5">
        <v>0.05</v>
      </c>
      <c r="H22" s="71">
        <f>+F22*B22</f>
        <v>2020</v>
      </c>
      <c r="I22" s="67">
        <v>2020</v>
      </c>
      <c r="J22" s="22">
        <f>I22-H22</f>
        <v>0</v>
      </c>
      <c r="K22" s="75">
        <f>1010*2</f>
        <v>2020</v>
      </c>
      <c r="L22" s="3">
        <f>+I22-K22</f>
        <v>0</v>
      </c>
      <c r="M22" s="78">
        <v>25</v>
      </c>
      <c r="N22" s="21">
        <f>+K22-M22</f>
        <v>1995</v>
      </c>
      <c r="O22" s="41">
        <f>+N22/B22</f>
        <v>1.9752475247524752</v>
      </c>
      <c r="P22" s="18">
        <f>+L22+M22</f>
        <v>25</v>
      </c>
      <c r="Q22" s="81">
        <v>15</v>
      </c>
      <c r="R22" s="3">
        <f>+P22-Q22</f>
        <v>10</v>
      </c>
      <c r="S22" s="3">
        <f>+R22*G22</f>
        <v>0.5</v>
      </c>
      <c r="T22" s="3">
        <f>+R22*D22</f>
        <v>80</v>
      </c>
      <c r="U22" s="6">
        <f>+R22/I22</f>
        <v>4.9504950495049506E-3</v>
      </c>
      <c r="W22" s="111">
        <f t="shared" si="7"/>
        <v>101</v>
      </c>
      <c r="X22" s="112">
        <f t="shared" si="8"/>
        <v>101</v>
      </c>
      <c r="Y22" s="112">
        <f t="shared" si="9"/>
        <v>0</v>
      </c>
      <c r="Z22" s="112">
        <f>+M22*G22</f>
        <v>1.25</v>
      </c>
      <c r="AA22" s="113">
        <f t="shared" si="11"/>
        <v>0.5</v>
      </c>
    </row>
    <row r="23" spans="1:28" ht="20.25" customHeight="1" x14ac:dyDescent="0.35">
      <c r="A23" s="293"/>
      <c r="B23" s="296"/>
      <c r="C23" s="35" t="s">
        <v>219</v>
      </c>
      <c r="D23" s="10">
        <v>6.4000000000000001E-2</v>
      </c>
      <c r="E23" s="10" t="s">
        <v>186</v>
      </c>
      <c r="F23" s="126">
        <v>1</v>
      </c>
      <c r="G23" s="11">
        <v>0.01</v>
      </c>
      <c r="H23" s="70">
        <f>+F23*B22</f>
        <v>1010</v>
      </c>
      <c r="I23" s="68">
        <v>1010</v>
      </c>
      <c r="J23" s="13">
        <f>I23-H23</f>
        <v>0</v>
      </c>
      <c r="K23" s="76">
        <v>1010</v>
      </c>
      <c r="L23" s="9">
        <f t="shared" ref="L23:L25" si="23">+I23-K23</f>
        <v>0</v>
      </c>
      <c r="M23" s="79">
        <v>20</v>
      </c>
      <c r="N23" s="23">
        <f>+K23-M23</f>
        <v>990</v>
      </c>
      <c r="O23" s="42">
        <f>+N23/B22</f>
        <v>0.98019801980198018</v>
      </c>
      <c r="P23" s="19">
        <f>+L23+M23</f>
        <v>20</v>
      </c>
      <c r="Q23" s="82">
        <v>20</v>
      </c>
      <c r="R23" s="9">
        <f t="shared" ref="R23:R25" si="24">+P23-Q23</f>
        <v>0</v>
      </c>
      <c r="S23" s="9">
        <f>+R23*G23</f>
        <v>0</v>
      </c>
      <c r="T23" s="9">
        <f>+R23*D23</f>
        <v>0</v>
      </c>
      <c r="U23" s="12">
        <f t="shared" ref="U23:U25" si="25">+R23/I23</f>
        <v>0</v>
      </c>
      <c r="W23" s="102">
        <f t="shared" si="7"/>
        <v>10.1</v>
      </c>
      <c r="X23" s="103">
        <f t="shared" si="8"/>
        <v>10.1</v>
      </c>
      <c r="Y23" s="103">
        <f t="shared" si="9"/>
        <v>0</v>
      </c>
      <c r="Z23" s="103">
        <f>+M23*G23</f>
        <v>0.2</v>
      </c>
      <c r="AA23" s="104">
        <f t="shared" si="11"/>
        <v>0</v>
      </c>
    </row>
    <row r="24" spans="1:28" ht="20.25" customHeight="1" x14ac:dyDescent="0.35">
      <c r="A24" s="293"/>
      <c r="B24" s="296"/>
      <c r="C24" s="35" t="s">
        <v>220</v>
      </c>
      <c r="D24" s="10">
        <v>6</v>
      </c>
      <c r="E24" s="10" t="s">
        <v>16</v>
      </c>
      <c r="F24" s="126">
        <v>1</v>
      </c>
      <c r="G24" s="11">
        <v>0.05</v>
      </c>
      <c r="H24" s="72">
        <f>+F24*B22</f>
        <v>1010</v>
      </c>
      <c r="I24" s="68">
        <v>1010</v>
      </c>
      <c r="J24" s="13">
        <f>I24-H24</f>
        <v>0</v>
      </c>
      <c r="K24" s="76">
        <v>1010</v>
      </c>
      <c r="L24" s="9">
        <f t="shared" si="23"/>
        <v>0</v>
      </c>
      <c r="M24" s="79">
        <v>15</v>
      </c>
      <c r="N24" s="33">
        <f t="shared" ref="N24:N25" si="26">+K24-M24</f>
        <v>995</v>
      </c>
      <c r="O24" s="42">
        <f>+N24/B22</f>
        <v>0.98514851485148514</v>
      </c>
      <c r="P24" s="19">
        <f>+L24+M24</f>
        <v>15</v>
      </c>
      <c r="Q24" s="82">
        <v>10</v>
      </c>
      <c r="R24" s="9">
        <f t="shared" si="24"/>
        <v>5</v>
      </c>
      <c r="S24" s="9">
        <f>+R24*G24</f>
        <v>0.25</v>
      </c>
      <c r="T24" s="9">
        <f>+R24*D24</f>
        <v>30</v>
      </c>
      <c r="U24" s="12">
        <f t="shared" si="25"/>
        <v>4.9504950495049506E-3</v>
      </c>
      <c r="W24" s="102">
        <f t="shared" si="7"/>
        <v>50.5</v>
      </c>
      <c r="X24" s="103">
        <f t="shared" si="8"/>
        <v>50.5</v>
      </c>
      <c r="Y24" s="103">
        <f t="shared" si="9"/>
        <v>0</v>
      </c>
      <c r="Z24" s="103">
        <f t="shared" si="10"/>
        <v>0.75</v>
      </c>
      <c r="AA24" s="104">
        <f t="shared" si="11"/>
        <v>0.25</v>
      </c>
    </row>
    <row r="25" spans="1:28" ht="20.25" customHeight="1" x14ac:dyDescent="0.35">
      <c r="A25" s="293"/>
      <c r="B25" s="296"/>
      <c r="C25" s="35" t="s">
        <v>14</v>
      </c>
      <c r="D25" s="10">
        <v>60</v>
      </c>
      <c r="E25" s="10" t="s">
        <v>18</v>
      </c>
      <c r="F25" s="49">
        <v>0.1</v>
      </c>
      <c r="G25" s="11">
        <v>1</v>
      </c>
      <c r="H25" s="72">
        <f>+F25*B22</f>
        <v>101</v>
      </c>
      <c r="I25" s="68">
        <v>101</v>
      </c>
      <c r="J25" s="13">
        <f>I25-H25</f>
        <v>0</v>
      </c>
      <c r="K25" s="76">
        <v>101</v>
      </c>
      <c r="L25" s="9">
        <f t="shared" si="23"/>
        <v>0</v>
      </c>
      <c r="M25" s="79">
        <v>8</v>
      </c>
      <c r="N25" s="23">
        <f t="shared" si="26"/>
        <v>93</v>
      </c>
      <c r="O25" s="42">
        <f>+N25/B22</f>
        <v>9.2079207920792078E-2</v>
      </c>
      <c r="P25" s="19">
        <f t="shared" ref="P25" si="27">+L25+M25</f>
        <v>8</v>
      </c>
      <c r="Q25" s="82">
        <v>0</v>
      </c>
      <c r="R25" s="9">
        <f t="shared" si="24"/>
        <v>8</v>
      </c>
      <c r="S25" s="9">
        <f>+R25*G25</f>
        <v>8</v>
      </c>
      <c r="T25" s="9">
        <f>+R25*D25</f>
        <v>480</v>
      </c>
      <c r="U25" s="12">
        <f t="shared" si="25"/>
        <v>7.9207920792079209E-2</v>
      </c>
      <c r="W25" s="105">
        <f t="shared" si="7"/>
        <v>101</v>
      </c>
      <c r="X25" s="106">
        <f t="shared" si="8"/>
        <v>101</v>
      </c>
      <c r="Y25" s="106">
        <f t="shared" si="9"/>
        <v>0</v>
      </c>
      <c r="Z25" s="106">
        <f t="shared" si="10"/>
        <v>8</v>
      </c>
      <c r="AA25" s="107">
        <f t="shared" si="11"/>
        <v>8</v>
      </c>
    </row>
    <row r="26" spans="1:28" ht="21.75" customHeight="1" thickBot="1" x14ac:dyDescent="0.4">
      <c r="A26" s="27"/>
      <c r="B26" s="55"/>
      <c r="C26" s="29"/>
      <c r="D26" s="15"/>
      <c r="E26" s="15"/>
      <c r="F26" s="15"/>
      <c r="G26" s="15"/>
      <c r="H26" s="74"/>
      <c r="I26" s="69"/>
      <c r="J26" s="16"/>
      <c r="K26" s="77"/>
      <c r="L26" s="15"/>
      <c r="M26" s="80"/>
      <c r="N26" s="14"/>
      <c r="O26" s="16"/>
      <c r="P26" s="20"/>
      <c r="Q26" s="83"/>
      <c r="R26" s="15"/>
      <c r="S26" s="56">
        <f>SUM(S22:S25)</f>
        <v>8.75</v>
      </c>
      <c r="T26" s="56">
        <f>SUM(T22:T25)</f>
        <v>590</v>
      </c>
      <c r="U26" s="16"/>
      <c r="W26" s="123">
        <f>SUM(W22:W25)</f>
        <v>262.60000000000002</v>
      </c>
      <c r="X26" s="124">
        <f t="shared" ref="X26:AA26" si="28">SUM(X22:X25)</f>
        <v>262.60000000000002</v>
      </c>
      <c r="Y26" s="124">
        <f t="shared" si="28"/>
        <v>0</v>
      </c>
      <c r="Z26" s="124">
        <f t="shared" si="28"/>
        <v>10.199999999999999</v>
      </c>
      <c r="AA26" s="125">
        <f t="shared" si="28"/>
        <v>8.75</v>
      </c>
    </row>
    <row r="27" spans="1:28" ht="20.25" customHeight="1" x14ac:dyDescent="0.35">
      <c r="A27" s="292" t="s">
        <v>40</v>
      </c>
      <c r="B27" s="295">
        <v>690</v>
      </c>
      <c r="C27" s="34" t="s">
        <v>31</v>
      </c>
      <c r="D27" s="4">
        <v>20</v>
      </c>
      <c r="E27" s="30" t="s">
        <v>17</v>
      </c>
      <c r="F27" s="52">
        <v>0.35</v>
      </c>
      <c r="G27" s="5">
        <v>1</v>
      </c>
      <c r="H27" s="71">
        <f>+F27*B27</f>
        <v>241.49999999999997</v>
      </c>
      <c r="I27" s="67">
        <v>246</v>
      </c>
      <c r="J27" s="22">
        <f t="shared" ref="J27:J35" si="29">I27-H27</f>
        <v>4.5000000000000284</v>
      </c>
      <c r="K27" s="75">
        <v>241.5</v>
      </c>
      <c r="L27" s="3">
        <f>+I27-K27</f>
        <v>4.5</v>
      </c>
      <c r="M27" s="78">
        <v>10</v>
      </c>
      <c r="N27" s="21">
        <f>+K27-M27</f>
        <v>231.5</v>
      </c>
      <c r="O27" s="41">
        <f>+N27/B27</f>
        <v>0.33550724637681162</v>
      </c>
      <c r="P27" s="18">
        <f>+L27+M27</f>
        <v>14.5</v>
      </c>
      <c r="Q27" s="81">
        <v>0</v>
      </c>
      <c r="R27" s="3">
        <f>+P27-Q27</f>
        <v>14.5</v>
      </c>
      <c r="S27" s="3">
        <f t="shared" ref="S27:S35" si="30">+R27*G27</f>
        <v>14.5</v>
      </c>
      <c r="T27" s="3">
        <f t="shared" ref="T27:T35" si="31">+R27*D27</f>
        <v>290</v>
      </c>
      <c r="U27" s="6">
        <f>+R27/I27</f>
        <v>5.894308943089431E-2</v>
      </c>
      <c r="W27" s="111">
        <f t="shared" si="7"/>
        <v>246</v>
      </c>
      <c r="X27" s="112">
        <f t="shared" si="8"/>
        <v>241.5</v>
      </c>
      <c r="Y27" s="112">
        <f t="shared" si="9"/>
        <v>4.5</v>
      </c>
      <c r="Z27" s="112">
        <f t="shared" si="10"/>
        <v>10</v>
      </c>
      <c r="AA27" s="113">
        <f t="shared" si="11"/>
        <v>14.5</v>
      </c>
    </row>
    <row r="28" spans="1:28" ht="20.25" customHeight="1" x14ac:dyDescent="0.35">
      <c r="A28" s="293"/>
      <c r="B28" s="296"/>
      <c r="C28" s="35" t="s">
        <v>222</v>
      </c>
      <c r="D28" s="10">
        <v>65</v>
      </c>
      <c r="E28" s="31" t="s">
        <v>17</v>
      </c>
      <c r="F28" s="49">
        <v>0.1</v>
      </c>
      <c r="G28" s="11">
        <v>1</v>
      </c>
      <c r="H28" s="70">
        <f>+F28*B27</f>
        <v>69</v>
      </c>
      <c r="I28" s="68">
        <v>72</v>
      </c>
      <c r="J28" s="13">
        <f t="shared" si="29"/>
        <v>3</v>
      </c>
      <c r="K28" s="76">
        <v>69</v>
      </c>
      <c r="L28" s="9">
        <f t="shared" ref="L28:L35" si="32">+I28-K28</f>
        <v>3</v>
      </c>
      <c r="M28" s="79">
        <v>2.5</v>
      </c>
      <c r="N28" s="23">
        <f t="shared" ref="N28:N35" si="33">+K28-M28</f>
        <v>66.5</v>
      </c>
      <c r="O28" s="42">
        <f>+N28/B27</f>
        <v>9.6376811594202902E-2</v>
      </c>
      <c r="P28" s="19">
        <f>+L28+M28</f>
        <v>5.5</v>
      </c>
      <c r="Q28" s="82">
        <v>0</v>
      </c>
      <c r="R28" s="9">
        <f>+P28-Q28</f>
        <v>5.5</v>
      </c>
      <c r="S28" s="9">
        <f t="shared" si="30"/>
        <v>5.5</v>
      </c>
      <c r="T28" s="9">
        <f t="shared" si="31"/>
        <v>357.5</v>
      </c>
      <c r="U28" s="12">
        <f t="shared" ref="U28:U35" si="34">+R28/I28</f>
        <v>7.6388888888888895E-2</v>
      </c>
      <c r="W28" s="102">
        <f t="shared" si="7"/>
        <v>72</v>
      </c>
      <c r="X28" s="103">
        <f t="shared" si="8"/>
        <v>69</v>
      </c>
      <c r="Y28" s="103">
        <f t="shared" si="9"/>
        <v>3</v>
      </c>
      <c r="Z28" s="103">
        <f t="shared" si="10"/>
        <v>2.5</v>
      </c>
      <c r="AA28" s="104">
        <f t="shared" si="11"/>
        <v>5.5</v>
      </c>
    </row>
    <row r="29" spans="1:28" ht="20.25" customHeight="1" x14ac:dyDescent="0.35">
      <c r="A29" s="293"/>
      <c r="B29" s="296"/>
      <c r="C29" s="35" t="s">
        <v>69</v>
      </c>
      <c r="D29" s="10">
        <v>130</v>
      </c>
      <c r="E29" s="31" t="s">
        <v>17</v>
      </c>
      <c r="F29" s="49">
        <v>0.05</v>
      </c>
      <c r="G29" s="11">
        <v>1</v>
      </c>
      <c r="H29" s="72">
        <f>+F29*B27</f>
        <v>34.5</v>
      </c>
      <c r="I29" s="68">
        <v>58.5</v>
      </c>
      <c r="J29" s="13">
        <f t="shared" si="29"/>
        <v>24</v>
      </c>
      <c r="K29" s="76">
        <v>55.2</v>
      </c>
      <c r="L29" s="9">
        <f t="shared" si="32"/>
        <v>3.2999999999999972</v>
      </c>
      <c r="M29" s="79">
        <v>3</v>
      </c>
      <c r="N29" s="33">
        <f t="shared" si="33"/>
        <v>52.2</v>
      </c>
      <c r="O29" s="42">
        <f>+N29/B27</f>
        <v>7.5652173913043477E-2</v>
      </c>
      <c r="P29" s="19">
        <f>+L29+M29</f>
        <v>6.2999999999999972</v>
      </c>
      <c r="Q29" s="82">
        <v>0</v>
      </c>
      <c r="R29" s="9">
        <f t="shared" ref="R29:R35" si="35">+P29-Q29</f>
        <v>6.2999999999999972</v>
      </c>
      <c r="S29" s="9">
        <f t="shared" si="30"/>
        <v>6.2999999999999972</v>
      </c>
      <c r="T29" s="9">
        <f t="shared" si="31"/>
        <v>818.99999999999966</v>
      </c>
      <c r="U29" s="12">
        <f t="shared" si="34"/>
        <v>0.10769230769230764</v>
      </c>
      <c r="W29" s="102">
        <f t="shared" si="7"/>
        <v>58.5</v>
      </c>
      <c r="X29" s="103">
        <f t="shared" si="8"/>
        <v>55.2</v>
      </c>
      <c r="Y29" s="103">
        <f t="shared" si="9"/>
        <v>3.2999999999999972</v>
      </c>
      <c r="Z29" s="103">
        <f t="shared" si="10"/>
        <v>3</v>
      </c>
      <c r="AA29" s="104">
        <f t="shared" si="11"/>
        <v>6.2999999999999972</v>
      </c>
    </row>
    <row r="30" spans="1:28" ht="20.25" customHeight="1" x14ac:dyDescent="0.35">
      <c r="A30" s="293"/>
      <c r="B30" s="296"/>
      <c r="C30" s="35" t="s">
        <v>85</v>
      </c>
      <c r="D30" s="10">
        <v>55</v>
      </c>
      <c r="E30" s="31" t="s">
        <v>17</v>
      </c>
      <c r="F30" s="49">
        <v>0.1</v>
      </c>
      <c r="G30" s="11">
        <v>1</v>
      </c>
      <c r="H30" s="72">
        <f>+F30*B27</f>
        <v>69</v>
      </c>
      <c r="I30" s="68">
        <v>73.2</v>
      </c>
      <c r="J30" s="13">
        <f t="shared" si="29"/>
        <v>4.2000000000000028</v>
      </c>
      <c r="K30" s="76">
        <v>69</v>
      </c>
      <c r="L30" s="9">
        <f t="shared" si="32"/>
        <v>4.2000000000000028</v>
      </c>
      <c r="M30" s="79">
        <v>3</v>
      </c>
      <c r="N30" s="23">
        <f t="shared" si="33"/>
        <v>66</v>
      </c>
      <c r="O30" s="42">
        <f>+N30/B27</f>
        <v>9.5652173913043481E-2</v>
      </c>
      <c r="P30" s="19">
        <f t="shared" ref="P30:P35" si="36">+L30+M30</f>
        <v>7.2000000000000028</v>
      </c>
      <c r="Q30" s="82">
        <v>0</v>
      </c>
      <c r="R30" s="9">
        <f t="shared" si="35"/>
        <v>7.2000000000000028</v>
      </c>
      <c r="S30" s="9">
        <f t="shared" si="30"/>
        <v>7.2000000000000028</v>
      </c>
      <c r="T30" s="9">
        <f t="shared" si="31"/>
        <v>396.00000000000017</v>
      </c>
      <c r="U30" s="12">
        <f t="shared" si="34"/>
        <v>9.8360655737704958E-2</v>
      </c>
      <c r="W30" s="102">
        <f t="shared" si="7"/>
        <v>73.2</v>
      </c>
      <c r="X30" s="103">
        <f t="shared" si="8"/>
        <v>69</v>
      </c>
      <c r="Y30" s="103">
        <f t="shared" si="9"/>
        <v>4.2000000000000028</v>
      </c>
      <c r="Z30" s="103">
        <f t="shared" si="10"/>
        <v>3</v>
      </c>
      <c r="AA30" s="104">
        <f t="shared" si="11"/>
        <v>7.2000000000000028</v>
      </c>
    </row>
    <row r="31" spans="1:28" ht="20.25" customHeight="1" x14ac:dyDescent="0.35">
      <c r="A31" s="293"/>
      <c r="B31" s="296"/>
      <c r="C31" s="35" t="s">
        <v>32</v>
      </c>
      <c r="D31" s="10">
        <v>48</v>
      </c>
      <c r="E31" s="31" t="s">
        <v>18</v>
      </c>
      <c r="F31" s="49">
        <v>0.08</v>
      </c>
      <c r="G31" s="11">
        <v>1</v>
      </c>
      <c r="H31" s="72">
        <f>+F31*B27</f>
        <v>55.2</v>
      </c>
      <c r="I31" s="68">
        <v>57.5</v>
      </c>
      <c r="J31" s="13">
        <f t="shared" si="29"/>
        <v>2.2999999999999972</v>
      </c>
      <c r="K31" s="76">
        <v>55.2</v>
      </c>
      <c r="L31" s="9">
        <f t="shared" si="32"/>
        <v>2.2999999999999972</v>
      </c>
      <c r="M31" s="79">
        <v>2</v>
      </c>
      <c r="N31" s="33">
        <f t="shared" si="33"/>
        <v>53.2</v>
      </c>
      <c r="O31" s="42">
        <f>+N31/B27</f>
        <v>7.7101449275362319E-2</v>
      </c>
      <c r="P31" s="19">
        <f t="shared" si="36"/>
        <v>4.2999999999999972</v>
      </c>
      <c r="Q31" s="82">
        <v>0</v>
      </c>
      <c r="R31" s="9">
        <f t="shared" si="35"/>
        <v>4.2999999999999972</v>
      </c>
      <c r="S31" s="9">
        <f t="shared" si="30"/>
        <v>4.2999999999999972</v>
      </c>
      <c r="T31" s="9">
        <f t="shared" si="31"/>
        <v>206.39999999999986</v>
      </c>
      <c r="U31" s="12">
        <f t="shared" si="34"/>
        <v>7.478260869565212E-2</v>
      </c>
      <c r="W31" s="102">
        <f t="shared" si="7"/>
        <v>57.5</v>
      </c>
      <c r="X31" s="103">
        <f t="shared" si="8"/>
        <v>55.2</v>
      </c>
      <c r="Y31" s="103">
        <f t="shared" si="9"/>
        <v>2.2999999999999972</v>
      </c>
      <c r="Z31" s="103">
        <f t="shared" si="10"/>
        <v>2</v>
      </c>
      <c r="AA31" s="104">
        <f t="shared" si="11"/>
        <v>4.2999999999999972</v>
      </c>
    </row>
    <row r="32" spans="1:28" ht="20.25" customHeight="1" x14ac:dyDescent="0.35">
      <c r="A32" s="293"/>
      <c r="B32" s="296"/>
      <c r="C32" s="35" t="s">
        <v>54</v>
      </c>
      <c r="D32" s="10">
        <v>35</v>
      </c>
      <c r="E32" s="31" t="s">
        <v>18</v>
      </c>
      <c r="F32" s="49">
        <v>0.08</v>
      </c>
      <c r="G32" s="11">
        <v>1</v>
      </c>
      <c r="H32" s="73">
        <f>+F32*B27</f>
        <v>55.2</v>
      </c>
      <c r="I32" s="68">
        <v>56.5</v>
      </c>
      <c r="J32" s="13">
        <f t="shared" si="29"/>
        <v>1.2999999999999972</v>
      </c>
      <c r="K32" s="76">
        <v>55.2</v>
      </c>
      <c r="L32" s="9">
        <f t="shared" si="32"/>
        <v>1.2999999999999972</v>
      </c>
      <c r="M32" s="79">
        <v>2</v>
      </c>
      <c r="N32" s="23">
        <f t="shared" si="33"/>
        <v>53.2</v>
      </c>
      <c r="O32" s="42">
        <f>+N32/B27</f>
        <v>7.7101449275362319E-2</v>
      </c>
      <c r="P32" s="19">
        <f t="shared" si="36"/>
        <v>3.2999999999999972</v>
      </c>
      <c r="Q32" s="82">
        <v>0</v>
      </c>
      <c r="R32" s="9">
        <f t="shared" si="35"/>
        <v>3.2999999999999972</v>
      </c>
      <c r="S32" s="9">
        <f t="shared" si="30"/>
        <v>3.2999999999999972</v>
      </c>
      <c r="T32" s="9">
        <f t="shared" si="31"/>
        <v>115.4999999999999</v>
      </c>
      <c r="U32" s="12">
        <f t="shared" si="34"/>
        <v>5.840707964601765E-2</v>
      </c>
      <c r="W32" s="102">
        <f t="shared" si="7"/>
        <v>56.5</v>
      </c>
      <c r="X32" s="103">
        <f t="shared" si="8"/>
        <v>55.2</v>
      </c>
      <c r="Y32" s="103">
        <f t="shared" si="9"/>
        <v>1.2999999999999972</v>
      </c>
      <c r="Z32" s="103">
        <f t="shared" si="10"/>
        <v>2</v>
      </c>
      <c r="AA32" s="104">
        <f t="shared" si="11"/>
        <v>3.2999999999999972</v>
      </c>
    </row>
    <row r="33" spans="1:28" ht="20.25" customHeight="1" x14ac:dyDescent="0.35">
      <c r="A33" s="293"/>
      <c r="B33" s="296"/>
      <c r="C33" s="35" t="s">
        <v>33</v>
      </c>
      <c r="D33" s="10">
        <v>50</v>
      </c>
      <c r="E33" s="31" t="s">
        <v>17</v>
      </c>
      <c r="F33" s="49">
        <v>0.03</v>
      </c>
      <c r="G33" s="11">
        <v>1</v>
      </c>
      <c r="H33" s="72">
        <f>+F33*B27</f>
        <v>20.7</v>
      </c>
      <c r="I33" s="68">
        <v>22.5</v>
      </c>
      <c r="J33" s="13">
        <f t="shared" si="29"/>
        <v>1.8000000000000007</v>
      </c>
      <c r="K33" s="76">
        <v>20.7</v>
      </c>
      <c r="L33" s="9">
        <f t="shared" si="32"/>
        <v>1.8000000000000007</v>
      </c>
      <c r="M33" s="79">
        <v>1</v>
      </c>
      <c r="N33" s="23">
        <f t="shared" si="33"/>
        <v>19.7</v>
      </c>
      <c r="O33" s="42">
        <f>+N33/B27</f>
        <v>2.8550724637681157E-2</v>
      </c>
      <c r="P33" s="19">
        <f t="shared" si="36"/>
        <v>2.8000000000000007</v>
      </c>
      <c r="Q33" s="82">
        <v>0</v>
      </c>
      <c r="R33" s="9">
        <f t="shared" si="35"/>
        <v>2.8000000000000007</v>
      </c>
      <c r="S33" s="9">
        <f t="shared" si="30"/>
        <v>2.8000000000000007</v>
      </c>
      <c r="T33" s="9">
        <f t="shared" si="31"/>
        <v>140.00000000000003</v>
      </c>
      <c r="U33" s="12">
        <f t="shared" si="34"/>
        <v>0.12444444444444448</v>
      </c>
      <c r="W33" s="102">
        <f t="shared" si="7"/>
        <v>22.5</v>
      </c>
      <c r="X33" s="103">
        <f t="shared" si="8"/>
        <v>20.7</v>
      </c>
      <c r="Y33" s="103">
        <f t="shared" si="9"/>
        <v>1.8000000000000007</v>
      </c>
      <c r="Z33" s="103">
        <f t="shared" si="10"/>
        <v>1</v>
      </c>
      <c r="AA33" s="104">
        <f t="shared" si="11"/>
        <v>2.8000000000000007</v>
      </c>
    </row>
    <row r="34" spans="1:28" ht="20.25" customHeight="1" x14ac:dyDescent="0.35">
      <c r="A34" s="293"/>
      <c r="B34" s="296"/>
      <c r="C34" s="35" t="s">
        <v>34</v>
      </c>
      <c r="D34" s="31">
        <v>70</v>
      </c>
      <c r="E34" s="31" t="s">
        <v>17</v>
      </c>
      <c r="F34" s="11">
        <v>0.1</v>
      </c>
      <c r="G34" s="11">
        <v>1</v>
      </c>
      <c r="H34" s="72">
        <f>+F34*B27</f>
        <v>69</v>
      </c>
      <c r="I34" s="68">
        <v>72</v>
      </c>
      <c r="J34" s="13">
        <f t="shared" si="29"/>
        <v>3</v>
      </c>
      <c r="K34" s="76">
        <v>69</v>
      </c>
      <c r="L34" s="9">
        <f t="shared" si="32"/>
        <v>3</v>
      </c>
      <c r="M34" s="79">
        <v>0</v>
      </c>
      <c r="N34" s="23">
        <f t="shared" si="33"/>
        <v>69</v>
      </c>
      <c r="O34" s="42">
        <f>+N34/B27</f>
        <v>0.1</v>
      </c>
      <c r="P34" s="19">
        <f t="shared" si="36"/>
        <v>3</v>
      </c>
      <c r="Q34" s="82">
        <v>0</v>
      </c>
      <c r="R34" s="9">
        <f t="shared" si="35"/>
        <v>3</v>
      </c>
      <c r="S34" s="9">
        <f t="shared" si="30"/>
        <v>3</v>
      </c>
      <c r="T34" s="9">
        <f t="shared" si="31"/>
        <v>210</v>
      </c>
      <c r="U34" s="12">
        <f t="shared" si="34"/>
        <v>4.1666666666666664E-2</v>
      </c>
      <c r="W34" s="102">
        <f t="shared" si="7"/>
        <v>72</v>
      </c>
      <c r="X34" s="103">
        <f t="shared" si="8"/>
        <v>69</v>
      </c>
      <c r="Y34" s="103">
        <f t="shared" si="9"/>
        <v>3</v>
      </c>
      <c r="Z34" s="103">
        <f t="shared" si="10"/>
        <v>0</v>
      </c>
      <c r="AA34" s="104">
        <f t="shared" si="11"/>
        <v>3</v>
      </c>
    </row>
    <row r="35" spans="1:28" ht="20.25" customHeight="1" x14ac:dyDescent="0.35">
      <c r="A35" s="294"/>
      <c r="B35" s="297"/>
      <c r="C35" s="40" t="s">
        <v>35</v>
      </c>
      <c r="D35" s="44">
        <v>2</v>
      </c>
      <c r="E35" s="44" t="s">
        <v>16</v>
      </c>
      <c r="F35" s="53">
        <v>2</v>
      </c>
      <c r="G35" s="45">
        <v>0.04</v>
      </c>
      <c r="H35" s="72">
        <f>+F35*B27</f>
        <v>1380</v>
      </c>
      <c r="I35" s="68">
        <v>1400</v>
      </c>
      <c r="J35" s="13">
        <f t="shared" si="29"/>
        <v>20</v>
      </c>
      <c r="K35" s="76">
        <v>1380</v>
      </c>
      <c r="L35" s="9">
        <f t="shared" si="32"/>
        <v>20</v>
      </c>
      <c r="M35" s="79">
        <v>25</v>
      </c>
      <c r="N35" s="33">
        <f t="shared" si="33"/>
        <v>1355</v>
      </c>
      <c r="O35" s="42">
        <f>+N35/B27</f>
        <v>1.963768115942029</v>
      </c>
      <c r="P35" s="19">
        <f t="shared" si="36"/>
        <v>45</v>
      </c>
      <c r="Q35" s="82">
        <v>0</v>
      </c>
      <c r="R35" s="9">
        <f t="shared" si="35"/>
        <v>45</v>
      </c>
      <c r="S35" s="9">
        <f t="shared" si="30"/>
        <v>1.8</v>
      </c>
      <c r="T35" s="9">
        <f t="shared" si="31"/>
        <v>90</v>
      </c>
      <c r="U35" s="12">
        <f t="shared" si="34"/>
        <v>3.214285714285714E-2</v>
      </c>
      <c r="W35" s="105">
        <f t="shared" si="7"/>
        <v>56</v>
      </c>
      <c r="X35" s="106">
        <f t="shared" si="8"/>
        <v>55.2</v>
      </c>
      <c r="Y35" s="106">
        <f t="shared" si="9"/>
        <v>0.8</v>
      </c>
      <c r="Z35" s="106">
        <f t="shared" si="10"/>
        <v>1</v>
      </c>
      <c r="AA35" s="107">
        <f t="shared" si="11"/>
        <v>1.8</v>
      </c>
    </row>
    <row r="36" spans="1:28" ht="23.25" customHeight="1" thickBot="1" x14ac:dyDescent="0.4">
      <c r="A36" s="27"/>
      <c r="B36" s="57"/>
      <c r="C36" s="29"/>
      <c r="D36" s="15"/>
      <c r="E36" s="15"/>
      <c r="F36" s="15"/>
      <c r="G36" s="15"/>
      <c r="H36" s="14"/>
      <c r="I36" s="15"/>
      <c r="J36" s="16"/>
      <c r="K36" s="14"/>
      <c r="L36" s="15"/>
      <c r="M36" s="16"/>
      <c r="N36" s="14"/>
      <c r="O36" s="16"/>
      <c r="P36" s="20"/>
      <c r="Q36" s="15"/>
      <c r="R36" s="15"/>
      <c r="S36" s="56">
        <f>SUM(S27:S35)</f>
        <v>48.699999999999989</v>
      </c>
      <c r="T36" s="56">
        <f>SUM(T27:T35)</f>
        <v>2624.3999999999996</v>
      </c>
      <c r="U36" s="16"/>
      <c r="W36" s="122">
        <f>SUM(W27:W35)</f>
        <v>714.2</v>
      </c>
      <c r="X36" s="109">
        <f t="shared" ref="X36:AA36" si="37">SUM(X27:X35)</f>
        <v>690.00000000000011</v>
      </c>
      <c r="Y36" s="109">
        <f t="shared" si="37"/>
        <v>24.199999999999996</v>
      </c>
      <c r="Z36" s="110">
        <f t="shared" si="37"/>
        <v>24.5</v>
      </c>
      <c r="AA36" s="114">
        <f t="shared" si="37"/>
        <v>48.699999999999989</v>
      </c>
      <c r="AB36" s="94"/>
    </row>
    <row r="37" spans="1:28" ht="31.5" customHeight="1" thickBot="1" x14ac:dyDescent="0.4">
      <c r="A37" s="58" t="s">
        <v>42</v>
      </c>
      <c r="B37" s="32">
        <f>+B4+B12+B22+B27</f>
        <v>5052</v>
      </c>
      <c r="C37" s="29"/>
      <c r="D37" s="15"/>
      <c r="E37" s="15"/>
      <c r="F37" s="15"/>
      <c r="G37" s="15"/>
      <c r="H37" s="14"/>
      <c r="I37" s="15"/>
      <c r="J37" s="16"/>
      <c r="K37" s="14"/>
      <c r="L37" s="15"/>
      <c r="M37" s="16"/>
      <c r="N37" s="14"/>
      <c r="O37" s="16"/>
      <c r="P37" s="20"/>
      <c r="Q37" s="15"/>
      <c r="R37" s="17"/>
      <c r="S37" s="85">
        <f>+S36+S26+S21+S11</f>
        <v>292.40000000000003</v>
      </c>
      <c r="T37" s="85">
        <f>+T36+T26+T21+T11</f>
        <v>16789.599999999999</v>
      </c>
      <c r="U37" s="62"/>
      <c r="W37" s="108">
        <f>+W11+W21+W26+W36</f>
        <v>3837.75</v>
      </c>
      <c r="X37" s="119">
        <f t="shared" ref="X37:AA37" si="38">+X11+X21+X26+X36</f>
        <v>3816.2</v>
      </c>
      <c r="Y37" s="119">
        <f t="shared" si="38"/>
        <v>21.550000000000026</v>
      </c>
      <c r="Z37" s="121">
        <f t="shared" si="38"/>
        <v>319.8</v>
      </c>
      <c r="AA37" s="120">
        <f t="shared" si="38"/>
        <v>292.39999999999998</v>
      </c>
      <c r="AB37" s="94"/>
    </row>
    <row r="38" spans="1:28" x14ac:dyDescent="0.35">
      <c r="B38" s="59"/>
      <c r="Y38" s="63"/>
    </row>
    <row r="39" spans="1:28" ht="15" thickBot="1" x14ac:dyDescent="0.4">
      <c r="W39" s="63"/>
      <c r="X39" s="63"/>
      <c r="Y39" s="63"/>
      <c r="Z39" s="63"/>
      <c r="AA39" s="63"/>
    </row>
    <row r="40" spans="1:28" ht="18" customHeight="1" x14ac:dyDescent="0.35">
      <c r="A40" s="271"/>
      <c r="B40" s="271"/>
      <c r="C40" s="271"/>
      <c r="D40" s="271"/>
      <c r="E40" s="271"/>
      <c r="F40" s="271"/>
      <c r="S40" s="341" t="s">
        <v>214</v>
      </c>
      <c r="T40" s="342"/>
      <c r="U40" s="342"/>
      <c r="V40" s="342"/>
      <c r="W40" s="342"/>
      <c r="X40" s="342"/>
      <c r="Y40" s="342"/>
      <c r="Z40" s="342"/>
      <c r="AA40" s="343"/>
    </row>
    <row r="41" spans="1:28" ht="36.75" customHeight="1" x14ac:dyDescent="0.35">
      <c r="A41" s="255"/>
      <c r="B41" s="255"/>
      <c r="C41" s="255"/>
      <c r="D41" s="260"/>
      <c r="E41" s="260"/>
      <c r="F41" s="261"/>
      <c r="O41" s="255"/>
      <c r="P41" s="255"/>
      <c r="S41" s="7" t="s">
        <v>6</v>
      </c>
      <c r="T41" s="8" t="s">
        <v>7</v>
      </c>
      <c r="U41" s="60" t="s">
        <v>162</v>
      </c>
      <c r="V41" s="60" t="s">
        <v>3</v>
      </c>
      <c r="W41" s="60" t="s">
        <v>28</v>
      </c>
      <c r="X41" s="60" t="s">
        <v>163</v>
      </c>
      <c r="Y41" s="60" t="s">
        <v>164</v>
      </c>
      <c r="Z41" s="258" t="s">
        <v>165</v>
      </c>
      <c r="AA41" s="61" t="s">
        <v>166</v>
      </c>
    </row>
    <row r="42" spans="1:28" ht="29.25" customHeight="1" x14ac:dyDescent="0.35">
      <c r="A42" s="262"/>
      <c r="B42" s="263"/>
      <c r="C42" s="264"/>
      <c r="D42" s="264"/>
      <c r="E42" s="265"/>
      <c r="F42" s="266"/>
      <c r="O42" s="256"/>
      <c r="P42" s="256"/>
      <c r="S42" s="91" t="s">
        <v>47</v>
      </c>
      <c r="T42" s="35">
        <f>+B4</f>
        <v>1657</v>
      </c>
      <c r="U42" s="254">
        <f>+W11</f>
        <v>1173.75</v>
      </c>
      <c r="V42" s="254">
        <f t="shared" ref="V42:Y42" si="39">+X11</f>
        <v>1160.0500000000002</v>
      </c>
      <c r="W42" s="254">
        <f t="shared" si="39"/>
        <v>13.700000000000051</v>
      </c>
      <c r="X42" s="254">
        <f t="shared" si="39"/>
        <v>58</v>
      </c>
      <c r="Y42" s="254">
        <f t="shared" si="39"/>
        <v>54.200000000000053</v>
      </c>
      <c r="Z42" s="95">
        <f>+Y42/T42</f>
        <v>3.2709716354858212E-2</v>
      </c>
      <c r="AA42" s="253">
        <f>+Y42/U42</f>
        <v>4.6176783812566603E-2</v>
      </c>
    </row>
    <row r="43" spans="1:28" ht="29.25" customHeight="1" x14ac:dyDescent="0.35">
      <c r="A43" s="262"/>
      <c r="B43" s="263"/>
      <c r="C43" s="263"/>
      <c r="D43" s="264"/>
      <c r="E43" s="265"/>
      <c r="F43" s="266"/>
      <c r="O43" s="256"/>
      <c r="P43" s="256"/>
      <c r="Q43" s="133"/>
      <c r="R43" s="134"/>
      <c r="S43" s="91" t="s">
        <v>48</v>
      </c>
      <c r="T43" s="35">
        <f>+B12</f>
        <v>1695</v>
      </c>
      <c r="U43" s="254">
        <f>+W21</f>
        <v>1687.2</v>
      </c>
      <c r="V43" s="254">
        <f t="shared" ref="V43:Y43" si="40">+X21</f>
        <v>1703.5499999999997</v>
      </c>
      <c r="W43" s="254">
        <f t="shared" si="40"/>
        <v>-16.350000000000023</v>
      </c>
      <c r="X43" s="254">
        <f t="shared" si="40"/>
        <v>227.1</v>
      </c>
      <c r="Y43" s="254">
        <f t="shared" si="40"/>
        <v>180.74999999999997</v>
      </c>
      <c r="Z43" s="95">
        <f t="shared" ref="Z43:Z45" si="41">+Y43/T43</f>
        <v>0.10663716814159291</v>
      </c>
      <c r="AA43" s="253">
        <f t="shared" ref="AA43:AA45" si="42">+Y43/U43</f>
        <v>0.10713015647226172</v>
      </c>
    </row>
    <row r="44" spans="1:28" ht="29.25" customHeight="1" x14ac:dyDescent="0.35">
      <c r="A44" s="262"/>
      <c r="B44" s="263"/>
      <c r="C44" s="263"/>
      <c r="D44" s="264"/>
      <c r="E44" s="265"/>
      <c r="F44" s="266"/>
      <c r="O44" s="256"/>
      <c r="P44" s="256"/>
      <c r="S44" s="91" t="s">
        <v>49</v>
      </c>
      <c r="T44" s="35">
        <f>+B22</f>
        <v>1010</v>
      </c>
      <c r="U44" s="254">
        <f>+W26</f>
        <v>262.60000000000002</v>
      </c>
      <c r="V44" s="254">
        <f t="shared" ref="V44:Y44" si="43">+X26</f>
        <v>262.60000000000002</v>
      </c>
      <c r="W44" s="254">
        <f t="shared" si="43"/>
        <v>0</v>
      </c>
      <c r="X44" s="254">
        <f t="shared" si="43"/>
        <v>10.199999999999999</v>
      </c>
      <c r="Y44" s="254">
        <f t="shared" si="43"/>
        <v>8.75</v>
      </c>
      <c r="Z44" s="95">
        <f t="shared" si="41"/>
        <v>8.6633663366336641E-3</v>
      </c>
      <c r="AA44" s="253">
        <f t="shared" si="42"/>
        <v>3.332063975628332E-2</v>
      </c>
    </row>
    <row r="45" spans="1:28" ht="29.25" customHeight="1" x14ac:dyDescent="0.35">
      <c r="A45" s="262"/>
      <c r="B45" s="263"/>
      <c r="C45" s="264"/>
      <c r="D45" s="264"/>
      <c r="E45" s="265"/>
      <c r="F45" s="266"/>
      <c r="O45" s="256"/>
      <c r="P45" s="256"/>
      <c r="S45" s="91" t="s">
        <v>50</v>
      </c>
      <c r="T45" s="35">
        <f>+B27</f>
        <v>690</v>
      </c>
      <c r="U45" s="254">
        <f>+W36</f>
        <v>714.2</v>
      </c>
      <c r="V45" s="254">
        <f t="shared" ref="V45:Y45" si="44">+X36</f>
        <v>690.00000000000011</v>
      </c>
      <c r="W45" s="254">
        <f t="shared" si="44"/>
        <v>24.199999999999996</v>
      </c>
      <c r="X45" s="254">
        <f t="shared" si="44"/>
        <v>24.5</v>
      </c>
      <c r="Y45" s="254">
        <f t="shared" si="44"/>
        <v>48.699999999999989</v>
      </c>
      <c r="Z45" s="95">
        <f t="shared" si="41"/>
        <v>7.0579710144927518E-2</v>
      </c>
      <c r="AA45" s="253">
        <f t="shared" si="42"/>
        <v>6.8188182581909812E-2</v>
      </c>
    </row>
    <row r="46" spans="1:28" ht="29.25" customHeight="1" thickBot="1" x14ac:dyDescent="0.4">
      <c r="A46" s="267"/>
      <c r="B46" s="268"/>
      <c r="C46" s="268"/>
      <c r="D46" s="269"/>
      <c r="E46" s="270"/>
      <c r="F46" s="266"/>
      <c r="G46" s="259"/>
      <c r="O46" s="257"/>
      <c r="P46" s="257"/>
      <c r="S46" s="93" t="s">
        <v>51</v>
      </c>
      <c r="T46" s="96">
        <f>SUM(T42:T45)</f>
        <v>5052</v>
      </c>
      <c r="U46" s="272">
        <f>SUM(U42:U45)</f>
        <v>3837.75</v>
      </c>
      <c r="V46" s="272">
        <f t="shared" ref="V46:Y46" si="45">SUM(V42:V45)</f>
        <v>3816.2</v>
      </c>
      <c r="W46" s="272">
        <f t="shared" si="45"/>
        <v>21.550000000000026</v>
      </c>
      <c r="X46" s="272">
        <f t="shared" si="45"/>
        <v>319.8</v>
      </c>
      <c r="Y46" s="272">
        <f t="shared" si="45"/>
        <v>292.39999999999998</v>
      </c>
      <c r="Z46" s="273">
        <f>+Y46/T46</f>
        <v>5.7878068091844807E-2</v>
      </c>
      <c r="AA46" s="274">
        <f>+Y46/U46</f>
        <v>7.6190476190476183E-2</v>
      </c>
    </row>
    <row r="47" spans="1:28" x14ac:dyDescent="0.35">
      <c r="T47">
        <v>410</v>
      </c>
    </row>
    <row r="48" spans="1:28" x14ac:dyDescent="0.35">
      <c r="T48">
        <f>+T46+T47</f>
        <v>5462</v>
      </c>
    </row>
  </sheetData>
  <mergeCells count="16">
    <mergeCell ref="A27:A35"/>
    <mergeCell ref="B27:B35"/>
    <mergeCell ref="S40:AA40"/>
    <mergeCell ref="W2:AA2"/>
    <mergeCell ref="A4:A10"/>
    <mergeCell ref="B4:B10"/>
    <mergeCell ref="A12:A20"/>
    <mergeCell ref="B12:B20"/>
    <mergeCell ref="A22:A25"/>
    <mergeCell ref="B22:B25"/>
    <mergeCell ref="P2:U2"/>
    <mergeCell ref="A1:F1"/>
    <mergeCell ref="A2:G2"/>
    <mergeCell ref="H2:J2"/>
    <mergeCell ref="K2:M2"/>
    <mergeCell ref="N2:O2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F3C25-7491-440C-B7B6-04FF95823F7B}">
  <dimension ref="A1:AB48"/>
  <sheetViews>
    <sheetView zoomScale="90" zoomScaleNormal="90" workbookViewId="0">
      <pane xSplit="7" ySplit="3" topLeftCell="M33" activePane="bottomRight" state="frozen"/>
      <selection pane="topRight" activeCell="H1" sqref="H1"/>
      <selection pane="bottomLeft" activeCell="A4" sqref="A4"/>
      <selection pane="bottomRight" activeCell="N16" sqref="N16"/>
    </sheetView>
  </sheetViews>
  <sheetFormatPr defaultRowHeight="14.5" x14ac:dyDescent="0.35"/>
  <cols>
    <col min="1" max="1" width="11" customWidth="1"/>
    <col min="2" max="2" width="7.81640625" customWidth="1"/>
    <col min="3" max="3" width="20" customWidth="1"/>
    <col min="4" max="4" width="9.1796875" customWidth="1"/>
    <col min="5" max="5" width="9.26953125" customWidth="1"/>
    <col min="6" max="6" width="10" customWidth="1"/>
    <col min="7" max="7" width="8.1796875" customWidth="1"/>
    <col min="8" max="8" width="12.54296875" customWidth="1"/>
    <col min="9" max="9" width="12.453125" customWidth="1"/>
    <col min="10" max="10" width="11" customWidth="1"/>
    <col min="11" max="11" width="9.453125" customWidth="1"/>
    <col min="12" max="12" width="11" customWidth="1"/>
    <col min="13" max="13" width="13.54296875" customWidth="1"/>
    <col min="14" max="14" width="14.81640625" customWidth="1"/>
    <col min="15" max="15" width="16" customWidth="1"/>
    <col min="16" max="16" width="11.26953125" customWidth="1"/>
    <col min="17" max="18" width="9.54296875" customWidth="1"/>
    <col min="19" max="20" width="10.81640625" customWidth="1"/>
    <col min="21" max="21" width="12.7265625" customWidth="1"/>
    <col min="22" max="22" width="10" customWidth="1"/>
    <col min="23" max="23" width="11.453125" customWidth="1"/>
    <col min="24" max="24" width="11" customWidth="1"/>
    <col min="25" max="25" width="13.453125" customWidth="1"/>
    <col min="26" max="26" width="10.26953125" customWidth="1"/>
    <col min="27" max="27" width="13.7265625" customWidth="1"/>
  </cols>
  <sheetData>
    <row r="1" spans="1:28" ht="22.5" customHeight="1" thickBot="1" x14ac:dyDescent="0.4">
      <c r="A1" s="308" t="s">
        <v>36</v>
      </c>
      <c r="B1" s="309"/>
      <c r="C1" s="309"/>
      <c r="D1" s="309"/>
      <c r="E1" s="309"/>
      <c r="F1" s="310"/>
    </row>
    <row r="2" spans="1:28" ht="22.5" customHeight="1" thickBot="1" x14ac:dyDescent="0.4">
      <c r="A2" s="311" t="s">
        <v>225</v>
      </c>
      <c r="B2" s="312"/>
      <c r="C2" s="312"/>
      <c r="D2" s="312"/>
      <c r="E2" s="312"/>
      <c r="F2" s="312"/>
      <c r="G2" s="313"/>
      <c r="H2" s="314" t="s">
        <v>22</v>
      </c>
      <c r="I2" s="315"/>
      <c r="J2" s="316"/>
      <c r="K2" s="317" t="s">
        <v>23</v>
      </c>
      <c r="L2" s="318"/>
      <c r="M2" s="319"/>
      <c r="N2" s="320" t="s">
        <v>24</v>
      </c>
      <c r="O2" s="321"/>
      <c r="P2" s="305" t="s">
        <v>25</v>
      </c>
      <c r="Q2" s="306"/>
      <c r="R2" s="306"/>
      <c r="S2" s="306"/>
      <c r="T2" s="306"/>
      <c r="U2" s="307"/>
      <c r="W2" s="325" t="s">
        <v>43</v>
      </c>
      <c r="X2" s="326"/>
      <c r="Y2" s="326"/>
      <c r="Z2" s="326"/>
      <c r="AA2" s="327"/>
    </row>
    <row r="3" spans="1:28" ht="58.5" thickBot="1" x14ac:dyDescent="0.4">
      <c r="A3" s="39" t="s">
        <v>6</v>
      </c>
      <c r="B3" s="38" t="s">
        <v>7</v>
      </c>
      <c r="C3" s="38" t="s">
        <v>0</v>
      </c>
      <c r="D3" s="37" t="s">
        <v>15</v>
      </c>
      <c r="E3" s="38" t="s">
        <v>1</v>
      </c>
      <c r="F3" s="36" t="s">
        <v>27</v>
      </c>
      <c r="G3" s="37" t="s">
        <v>19</v>
      </c>
      <c r="H3" s="25" t="s">
        <v>4</v>
      </c>
      <c r="I3" s="89" t="s">
        <v>44</v>
      </c>
      <c r="J3" s="26" t="s">
        <v>29</v>
      </c>
      <c r="K3" s="88" t="s">
        <v>3</v>
      </c>
      <c r="L3" s="1" t="s">
        <v>28</v>
      </c>
      <c r="M3" s="87" t="s">
        <v>5</v>
      </c>
      <c r="N3" s="25" t="s">
        <v>20</v>
      </c>
      <c r="O3" s="275" t="s">
        <v>226</v>
      </c>
      <c r="P3" s="24" t="s">
        <v>8</v>
      </c>
      <c r="Q3" s="86" t="s">
        <v>9</v>
      </c>
      <c r="R3" s="2" t="s">
        <v>10</v>
      </c>
      <c r="S3" s="1" t="s">
        <v>26</v>
      </c>
      <c r="T3" s="1" t="s">
        <v>11</v>
      </c>
      <c r="U3" s="1" t="s">
        <v>30</v>
      </c>
      <c r="W3" s="43" t="s">
        <v>2</v>
      </c>
      <c r="X3" s="60" t="s">
        <v>3</v>
      </c>
      <c r="Y3" s="60" t="s">
        <v>28</v>
      </c>
      <c r="Z3" s="60" t="s">
        <v>5</v>
      </c>
      <c r="AA3" s="61" t="s">
        <v>26</v>
      </c>
    </row>
    <row r="4" spans="1:28" ht="20.25" customHeight="1" x14ac:dyDescent="0.35">
      <c r="A4" s="301" t="s">
        <v>37</v>
      </c>
      <c r="B4" s="303">
        <v>2717</v>
      </c>
      <c r="C4" s="34" t="s">
        <v>55</v>
      </c>
      <c r="D4" s="4">
        <v>2</v>
      </c>
      <c r="E4" s="30" t="s">
        <v>16</v>
      </c>
      <c r="F4" s="47">
        <v>2</v>
      </c>
      <c r="G4" s="5">
        <v>0.05</v>
      </c>
      <c r="H4" s="71">
        <f>+F4*B4</f>
        <v>5434</v>
      </c>
      <c r="I4" s="67">
        <v>5444</v>
      </c>
      <c r="J4" s="64">
        <f>I4-H4</f>
        <v>10</v>
      </c>
      <c r="K4" s="75">
        <v>5434</v>
      </c>
      <c r="L4" s="127">
        <f>+I4-K4</f>
        <v>10</v>
      </c>
      <c r="M4" s="78">
        <v>53</v>
      </c>
      <c r="N4" s="128">
        <f>+K4-M4</f>
        <v>5381</v>
      </c>
      <c r="O4" s="64">
        <f>+N4/B4</f>
        <v>1.9804931910195067</v>
      </c>
      <c r="P4" s="18">
        <f>+L4+M4</f>
        <v>63</v>
      </c>
      <c r="Q4" s="81">
        <v>30</v>
      </c>
      <c r="R4" s="3">
        <f t="shared" ref="R4:R10" si="0">+P4-Q4</f>
        <v>33</v>
      </c>
      <c r="S4" s="3">
        <f t="shared" ref="S4:S10" si="1">+R4*G4</f>
        <v>1.6500000000000001</v>
      </c>
      <c r="T4" s="3">
        <f t="shared" ref="T4:T10" si="2">+R4*D4</f>
        <v>66</v>
      </c>
      <c r="U4" s="6">
        <f>+R4/I4</f>
        <v>6.0617193240264508E-3</v>
      </c>
      <c r="W4" s="102">
        <f>+I4*G4</f>
        <v>272.2</v>
      </c>
      <c r="X4" s="103">
        <f>+K4*G4</f>
        <v>271.7</v>
      </c>
      <c r="Y4" s="103">
        <f>+L4*G4</f>
        <v>0.5</v>
      </c>
      <c r="Z4" s="103">
        <f>+M4*G4</f>
        <v>2.6500000000000004</v>
      </c>
      <c r="AA4" s="104">
        <f>+R4*G4</f>
        <v>1.6500000000000001</v>
      </c>
    </row>
    <row r="5" spans="1:28" ht="20.25" customHeight="1" x14ac:dyDescent="0.35">
      <c r="A5" s="302"/>
      <c r="B5" s="304"/>
      <c r="C5" s="35" t="s">
        <v>87</v>
      </c>
      <c r="D5" s="10">
        <v>4</v>
      </c>
      <c r="E5" s="31" t="s">
        <v>16</v>
      </c>
      <c r="F5" s="48">
        <v>2</v>
      </c>
      <c r="G5" s="11">
        <v>0.05</v>
      </c>
      <c r="H5" s="70">
        <f>+F5*B4</f>
        <v>5434</v>
      </c>
      <c r="I5" s="68">
        <v>5450</v>
      </c>
      <c r="J5" s="13">
        <f t="shared" ref="J5:J10" si="3">I5-H5</f>
        <v>16</v>
      </c>
      <c r="K5" s="76">
        <v>5434</v>
      </c>
      <c r="L5" s="9">
        <f t="shared" ref="L5:L10" si="4">+I5-K5</f>
        <v>16</v>
      </c>
      <c r="M5" s="79">
        <v>67</v>
      </c>
      <c r="N5" s="23">
        <f t="shared" ref="N5:N10" si="5">+K5-M5</f>
        <v>5367</v>
      </c>
      <c r="O5" s="65">
        <f>+N5/B4</f>
        <v>1.9753404490246596</v>
      </c>
      <c r="P5" s="19">
        <f>+L5+M5</f>
        <v>83</v>
      </c>
      <c r="Q5" s="82">
        <v>20</v>
      </c>
      <c r="R5" s="9">
        <f t="shared" si="0"/>
        <v>63</v>
      </c>
      <c r="S5" s="9">
        <f>+R5*G5</f>
        <v>3.1500000000000004</v>
      </c>
      <c r="T5" s="9">
        <f t="shared" si="2"/>
        <v>252</v>
      </c>
      <c r="U5" s="12">
        <f t="shared" ref="U5:U9" si="6">+R5/I5</f>
        <v>1.1559633027522935E-2</v>
      </c>
      <c r="W5" s="102">
        <f t="shared" ref="W5:W35" si="7">+I5*G5</f>
        <v>272.5</v>
      </c>
      <c r="X5" s="103">
        <f t="shared" ref="X5:X35" si="8">+K5*G5</f>
        <v>271.7</v>
      </c>
      <c r="Y5" s="103">
        <f t="shared" ref="Y5:Y35" si="9">+L5*G5</f>
        <v>0.8</v>
      </c>
      <c r="Z5" s="103">
        <f t="shared" ref="Z5:Z35" si="10">+M5*G5</f>
        <v>3.35</v>
      </c>
      <c r="AA5" s="104">
        <f t="shared" ref="AA5:AA35" si="11">+R5*G5</f>
        <v>3.1500000000000004</v>
      </c>
    </row>
    <row r="6" spans="1:28" ht="20.25" customHeight="1" x14ac:dyDescent="0.35">
      <c r="A6" s="302"/>
      <c r="B6" s="304"/>
      <c r="C6" s="35" t="s">
        <v>122</v>
      </c>
      <c r="D6" s="10">
        <v>40</v>
      </c>
      <c r="E6" s="31" t="s">
        <v>17</v>
      </c>
      <c r="F6" s="49">
        <v>0.15</v>
      </c>
      <c r="G6" s="11">
        <v>1</v>
      </c>
      <c r="H6" s="72">
        <f>+F6*B4</f>
        <v>407.55</v>
      </c>
      <c r="I6" s="68">
        <v>415</v>
      </c>
      <c r="J6" s="13">
        <f t="shared" si="3"/>
        <v>7.4499999999999886</v>
      </c>
      <c r="K6" s="76">
        <v>415</v>
      </c>
      <c r="L6" s="9">
        <f t="shared" si="4"/>
        <v>0</v>
      </c>
      <c r="M6" s="79">
        <v>36</v>
      </c>
      <c r="N6" s="33">
        <f t="shared" si="5"/>
        <v>379</v>
      </c>
      <c r="O6" s="42">
        <f>+N6/B4</f>
        <v>0.1394920868605079</v>
      </c>
      <c r="P6" s="19">
        <f>+L6+M6</f>
        <v>36</v>
      </c>
      <c r="Q6" s="82">
        <v>10</v>
      </c>
      <c r="R6" s="9">
        <f t="shared" si="0"/>
        <v>26</v>
      </c>
      <c r="S6" s="9">
        <f t="shared" si="1"/>
        <v>26</v>
      </c>
      <c r="T6" s="9">
        <f t="shared" si="2"/>
        <v>1040</v>
      </c>
      <c r="U6" s="12">
        <f t="shared" si="6"/>
        <v>6.2650602409638559E-2</v>
      </c>
      <c r="W6" s="102">
        <f t="shared" si="7"/>
        <v>415</v>
      </c>
      <c r="X6" s="103">
        <f t="shared" si="8"/>
        <v>415</v>
      </c>
      <c r="Y6" s="103">
        <f t="shared" si="9"/>
        <v>0</v>
      </c>
      <c r="Z6" s="103">
        <f t="shared" si="10"/>
        <v>36</v>
      </c>
      <c r="AA6" s="104">
        <f t="shared" si="11"/>
        <v>26</v>
      </c>
    </row>
    <row r="7" spans="1:28" ht="20.25" customHeight="1" x14ac:dyDescent="0.35">
      <c r="A7" s="302"/>
      <c r="B7" s="304"/>
      <c r="C7" s="35" t="s">
        <v>12</v>
      </c>
      <c r="D7" s="10">
        <v>45</v>
      </c>
      <c r="E7" s="31" t="s">
        <v>17</v>
      </c>
      <c r="F7" s="49">
        <v>0.1</v>
      </c>
      <c r="G7" s="11">
        <v>1</v>
      </c>
      <c r="H7" s="72">
        <f>+F7*B4</f>
        <v>271.7</v>
      </c>
      <c r="I7" s="68">
        <v>273</v>
      </c>
      <c r="J7" s="13">
        <f t="shared" si="3"/>
        <v>1.3000000000000114</v>
      </c>
      <c r="K7" s="76">
        <v>272</v>
      </c>
      <c r="L7" s="9">
        <f t="shared" si="4"/>
        <v>1</v>
      </c>
      <c r="M7" s="79">
        <v>19</v>
      </c>
      <c r="N7" s="23">
        <f t="shared" si="5"/>
        <v>253</v>
      </c>
      <c r="O7" s="42">
        <f>+N7/B4</f>
        <v>9.3117408906882596E-2</v>
      </c>
      <c r="P7" s="19">
        <f t="shared" ref="P7:P10" si="12">+L7+M7</f>
        <v>20</v>
      </c>
      <c r="Q7" s="82">
        <v>0</v>
      </c>
      <c r="R7" s="9">
        <f t="shared" si="0"/>
        <v>20</v>
      </c>
      <c r="S7" s="9">
        <f t="shared" si="1"/>
        <v>20</v>
      </c>
      <c r="T7" s="9">
        <f t="shared" si="2"/>
        <v>900</v>
      </c>
      <c r="U7" s="12">
        <f t="shared" si="6"/>
        <v>7.3260073260073263E-2</v>
      </c>
      <c r="W7" s="102">
        <f t="shared" si="7"/>
        <v>273</v>
      </c>
      <c r="X7" s="103">
        <f t="shared" si="8"/>
        <v>272</v>
      </c>
      <c r="Y7" s="103">
        <f t="shared" si="9"/>
        <v>1</v>
      </c>
      <c r="Z7" s="103">
        <f t="shared" si="10"/>
        <v>19</v>
      </c>
      <c r="AA7" s="104">
        <f t="shared" si="11"/>
        <v>20</v>
      </c>
    </row>
    <row r="8" spans="1:28" ht="20.25" customHeight="1" x14ac:dyDescent="0.35">
      <c r="A8" s="302"/>
      <c r="B8" s="304"/>
      <c r="C8" s="35" t="s">
        <v>13</v>
      </c>
      <c r="D8" s="10">
        <v>52</v>
      </c>
      <c r="E8" s="31" t="s">
        <v>17</v>
      </c>
      <c r="F8" s="49">
        <v>0.1</v>
      </c>
      <c r="G8" s="11">
        <v>1</v>
      </c>
      <c r="H8" s="72">
        <f>+F8*B4</f>
        <v>271.7</v>
      </c>
      <c r="I8" s="68">
        <v>273</v>
      </c>
      <c r="J8" s="13">
        <f t="shared" si="3"/>
        <v>1.3000000000000114</v>
      </c>
      <c r="K8" s="76">
        <v>272</v>
      </c>
      <c r="L8" s="9">
        <f>+I8-K8</f>
        <v>1</v>
      </c>
      <c r="M8" s="79">
        <v>13</v>
      </c>
      <c r="N8" s="33">
        <f t="shared" si="5"/>
        <v>259</v>
      </c>
      <c r="O8" s="42">
        <f>+N8/B4</f>
        <v>9.5325726904674279E-2</v>
      </c>
      <c r="P8" s="19">
        <f t="shared" si="12"/>
        <v>14</v>
      </c>
      <c r="Q8" s="82">
        <v>0</v>
      </c>
      <c r="R8" s="9">
        <f t="shared" si="0"/>
        <v>14</v>
      </c>
      <c r="S8" s="9">
        <f t="shared" si="1"/>
        <v>14</v>
      </c>
      <c r="T8" s="9">
        <f t="shared" si="2"/>
        <v>728</v>
      </c>
      <c r="U8" s="12">
        <f t="shared" si="6"/>
        <v>5.128205128205128E-2</v>
      </c>
      <c r="W8" s="102">
        <f t="shared" si="7"/>
        <v>273</v>
      </c>
      <c r="X8" s="103">
        <f t="shared" si="8"/>
        <v>272</v>
      </c>
      <c r="Y8" s="103">
        <f t="shared" si="9"/>
        <v>1</v>
      </c>
      <c r="Z8" s="103">
        <f t="shared" si="10"/>
        <v>13</v>
      </c>
      <c r="AA8" s="104">
        <f t="shared" si="11"/>
        <v>14</v>
      </c>
    </row>
    <row r="9" spans="1:28" ht="20.25" customHeight="1" x14ac:dyDescent="0.35">
      <c r="A9" s="302"/>
      <c r="B9" s="304"/>
      <c r="C9" s="35" t="s">
        <v>123</v>
      </c>
      <c r="D9" s="10">
        <v>90</v>
      </c>
      <c r="E9" s="31" t="s">
        <v>17</v>
      </c>
      <c r="F9" s="49">
        <v>0.05</v>
      </c>
      <c r="G9" s="11">
        <v>1</v>
      </c>
      <c r="H9" s="73">
        <f>+F9*B4</f>
        <v>135.85</v>
      </c>
      <c r="I9" s="68">
        <v>136</v>
      </c>
      <c r="J9" s="13">
        <f t="shared" si="3"/>
        <v>0.15000000000000568</v>
      </c>
      <c r="K9" s="76">
        <v>136</v>
      </c>
      <c r="L9" s="54">
        <f>+I9-K9</f>
        <v>0</v>
      </c>
      <c r="M9" s="79">
        <v>2</v>
      </c>
      <c r="N9" s="23">
        <f t="shared" si="5"/>
        <v>134</v>
      </c>
      <c r="O9" s="42">
        <f>+N9/B4</f>
        <v>4.9319101950680899E-2</v>
      </c>
      <c r="P9" s="19">
        <f t="shared" si="12"/>
        <v>2</v>
      </c>
      <c r="Q9" s="82">
        <v>0</v>
      </c>
      <c r="R9" s="9">
        <f t="shared" si="0"/>
        <v>2</v>
      </c>
      <c r="S9" s="9">
        <f t="shared" si="1"/>
        <v>2</v>
      </c>
      <c r="T9" s="9">
        <f t="shared" si="2"/>
        <v>180</v>
      </c>
      <c r="U9" s="12">
        <f t="shared" si="6"/>
        <v>1.4705882352941176E-2</v>
      </c>
      <c r="W9" s="102">
        <f t="shared" si="7"/>
        <v>136</v>
      </c>
      <c r="X9" s="103">
        <f t="shared" si="8"/>
        <v>136</v>
      </c>
      <c r="Y9" s="103">
        <f t="shared" si="9"/>
        <v>0</v>
      </c>
      <c r="Z9" s="103">
        <f t="shared" si="10"/>
        <v>2</v>
      </c>
      <c r="AA9" s="104">
        <f t="shared" si="11"/>
        <v>2</v>
      </c>
    </row>
    <row r="10" spans="1:28" ht="20.25" customHeight="1" x14ac:dyDescent="0.35">
      <c r="A10" s="302"/>
      <c r="B10" s="304"/>
      <c r="C10" s="35" t="s">
        <v>14</v>
      </c>
      <c r="D10" s="10">
        <v>60</v>
      </c>
      <c r="E10" s="31" t="s">
        <v>18</v>
      </c>
      <c r="F10" s="49">
        <v>0.1</v>
      </c>
      <c r="G10" s="11">
        <v>1</v>
      </c>
      <c r="H10" s="72">
        <f>+F10*B4</f>
        <v>271.7</v>
      </c>
      <c r="I10" s="68">
        <v>273</v>
      </c>
      <c r="J10" s="13">
        <f t="shared" si="3"/>
        <v>1.3000000000000114</v>
      </c>
      <c r="K10" s="76">
        <v>272</v>
      </c>
      <c r="L10" s="9">
        <f t="shared" si="4"/>
        <v>1</v>
      </c>
      <c r="M10" s="79">
        <v>8</v>
      </c>
      <c r="N10" s="33">
        <f t="shared" si="5"/>
        <v>264</v>
      </c>
      <c r="O10" s="42">
        <f>+N10/B4</f>
        <v>9.7165991902834009E-2</v>
      </c>
      <c r="P10" s="19">
        <f t="shared" si="12"/>
        <v>9</v>
      </c>
      <c r="Q10" s="82">
        <v>0</v>
      </c>
      <c r="R10" s="9">
        <f t="shared" si="0"/>
        <v>9</v>
      </c>
      <c r="S10" s="9">
        <f t="shared" si="1"/>
        <v>9</v>
      </c>
      <c r="T10" s="9">
        <f t="shared" si="2"/>
        <v>540</v>
      </c>
      <c r="U10" s="12">
        <f>+R10/I10</f>
        <v>3.2967032967032968E-2</v>
      </c>
      <c r="W10" s="115">
        <f t="shared" si="7"/>
        <v>273</v>
      </c>
      <c r="X10" s="116">
        <f t="shared" si="8"/>
        <v>272</v>
      </c>
      <c r="Y10" s="116">
        <f t="shared" si="9"/>
        <v>1</v>
      </c>
      <c r="Z10" s="116">
        <f t="shared" si="10"/>
        <v>8</v>
      </c>
      <c r="AA10" s="117">
        <f t="shared" si="11"/>
        <v>9</v>
      </c>
    </row>
    <row r="11" spans="1:28" ht="20.25" customHeight="1" thickBot="1" x14ac:dyDescent="0.4">
      <c r="A11" s="27"/>
      <c r="B11" s="51"/>
      <c r="C11" s="50"/>
      <c r="D11" s="15"/>
      <c r="E11" s="15"/>
      <c r="F11" s="15"/>
      <c r="G11" s="15"/>
      <c r="H11" s="74"/>
      <c r="I11" s="69"/>
      <c r="J11" s="16"/>
      <c r="K11" s="77"/>
      <c r="L11" s="15"/>
      <c r="M11" s="80"/>
      <c r="N11" s="14"/>
      <c r="O11" s="16"/>
      <c r="P11" s="20"/>
      <c r="Q11" s="83"/>
      <c r="R11" s="15"/>
      <c r="S11" s="84">
        <f>SUM(S4:S10)</f>
        <v>75.8</v>
      </c>
      <c r="T11" s="56">
        <f>SUM(T4:T10)</f>
        <v>3706</v>
      </c>
      <c r="U11" s="16"/>
      <c r="W11" s="118">
        <f>SUM(W4:W10)</f>
        <v>1914.7</v>
      </c>
      <c r="X11" s="109">
        <f t="shared" ref="X11:AA11" si="13">SUM(X4:X10)</f>
        <v>1910.4</v>
      </c>
      <c r="Y11" s="109">
        <f t="shared" si="13"/>
        <v>4.3</v>
      </c>
      <c r="Z11" s="110">
        <f t="shared" si="13"/>
        <v>84</v>
      </c>
      <c r="AA11" s="114">
        <f t="shared" si="13"/>
        <v>75.8</v>
      </c>
      <c r="AB11" s="94"/>
    </row>
    <row r="12" spans="1:28" ht="20.25" customHeight="1" x14ac:dyDescent="0.35">
      <c r="A12" s="292" t="s">
        <v>38</v>
      </c>
      <c r="B12" s="295">
        <v>2610</v>
      </c>
      <c r="C12" s="34" t="s">
        <v>31</v>
      </c>
      <c r="D12" s="4">
        <v>20</v>
      </c>
      <c r="E12" s="30" t="s">
        <v>17</v>
      </c>
      <c r="F12" s="52">
        <v>0.4</v>
      </c>
      <c r="G12" s="5">
        <v>1</v>
      </c>
      <c r="H12" s="71">
        <f>+F12*B12</f>
        <v>1044</v>
      </c>
      <c r="I12" s="67">
        <v>1089</v>
      </c>
      <c r="J12" s="64">
        <f>I12-H12</f>
        <v>45</v>
      </c>
      <c r="K12" s="75">
        <v>1044</v>
      </c>
      <c r="L12" s="3">
        <f>+I12-K12</f>
        <v>45</v>
      </c>
      <c r="M12" s="78">
        <v>82</v>
      </c>
      <c r="N12" s="21">
        <f>+K12-M12</f>
        <v>962</v>
      </c>
      <c r="O12" s="276">
        <f>+N12/B12</f>
        <v>0.36858237547892719</v>
      </c>
      <c r="P12" s="18">
        <f>+L12+M12</f>
        <v>127</v>
      </c>
      <c r="Q12" s="81">
        <v>100</v>
      </c>
      <c r="R12" s="3">
        <f>+P12-Q12</f>
        <v>27</v>
      </c>
      <c r="S12" s="3">
        <f>+R12*G12</f>
        <v>27</v>
      </c>
      <c r="T12" s="3">
        <f t="shared" ref="T12:T20" si="14">+R12*D12</f>
        <v>540</v>
      </c>
      <c r="U12" s="6">
        <f>+R12/I12</f>
        <v>2.4793388429752067E-2</v>
      </c>
      <c r="W12" s="111">
        <f>+I12*G12</f>
        <v>1089</v>
      </c>
      <c r="X12" s="112">
        <f t="shared" si="8"/>
        <v>1044</v>
      </c>
      <c r="Y12" s="112">
        <f t="shared" si="9"/>
        <v>45</v>
      </c>
      <c r="Z12" s="112">
        <f t="shared" si="10"/>
        <v>82</v>
      </c>
      <c r="AA12" s="113">
        <f t="shared" si="11"/>
        <v>27</v>
      </c>
    </row>
    <row r="13" spans="1:28" ht="20.25" customHeight="1" x14ac:dyDescent="0.35">
      <c r="A13" s="293"/>
      <c r="B13" s="296"/>
      <c r="C13" s="35" t="s">
        <v>223</v>
      </c>
      <c r="D13" s="10">
        <v>65</v>
      </c>
      <c r="E13" s="31" t="s">
        <v>17</v>
      </c>
      <c r="F13" s="49">
        <v>0.08</v>
      </c>
      <c r="G13" s="11">
        <v>1</v>
      </c>
      <c r="H13" s="70">
        <f>+F13*B12</f>
        <v>208.8</v>
      </c>
      <c r="I13" s="68">
        <v>238</v>
      </c>
      <c r="J13" s="65">
        <f>+I13-H13</f>
        <v>29.199999999999989</v>
      </c>
      <c r="K13" s="76">
        <v>208.8</v>
      </c>
      <c r="L13" s="9">
        <f>+I13-K13</f>
        <v>29.199999999999989</v>
      </c>
      <c r="M13" s="79">
        <v>29</v>
      </c>
      <c r="N13" s="23">
        <f>+K13-M13</f>
        <v>179.8</v>
      </c>
      <c r="O13" s="277">
        <f>+N13/B12</f>
        <v>6.8888888888888888E-2</v>
      </c>
      <c r="P13" s="19">
        <f>+L13+M13</f>
        <v>58.199999999999989</v>
      </c>
      <c r="Q13" s="82">
        <v>20</v>
      </c>
      <c r="R13" s="9">
        <f t="shared" ref="R13:R20" si="15">+P13-Q13</f>
        <v>38.199999999999989</v>
      </c>
      <c r="S13" s="9">
        <f>+R13*G13</f>
        <v>38.199999999999989</v>
      </c>
      <c r="T13" s="9">
        <f t="shared" si="14"/>
        <v>2482.9999999999991</v>
      </c>
      <c r="U13" s="12">
        <f>+R13/I13</f>
        <v>0.16050420168067223</v>
      </c>
      <c r="W13" s="102">
        <f>+I13*G13</f>
        <v>238</v>
      </c>
      <c r="X13" s="103">
        <f t="shared" si="8"/>
        <v>208.8</v>
      </c>
      <c r="Y13" s="103">
        <f t="shared" si="9"/>
        <v>29.199999999999989</v>
      </c>
      <c r="Z13" s="103">
        <f>+M13*G13</f>
        <v>29</v>
      </c>
      <c r="AA13" s="104">
        <f t="shared" si="11"/>
        <v>38.199999999999989</v>
      </c>
    </row>
    <row r="14" spans="1:28" ht="20.25" customHeight="1" x14ac:dyDescent="0.35">
      <c r="A14" s="293"/>
      <c r="B14" s="296"/>
      <c r="C14" s="35" t="s">
        <v>224</v>
      </c>
      <c r="D14" s="10">
        <v>85</v>
      </c>
      <c r="E14" s="31" t="s">
        <v>17</v>
      </c>
      <c r="F14" s="49">
        <v>0.08</v>
      </c>
      <c r="G14" s="11">
        <v>1</v>
      </c>
      <c r="H14" s="72">
        <f>+F14*B12</f>
        <v>208.8</v>
      </c>
      <c r="I14" s="68">
        <v>211.5</v>
      </c>
      <c r="J14" s="65">
        <f>+I14-H14</f>
        <v>2.6999999999999886</v>
      </c>
      <c r="K14" s="76">
        <v>208.8</v>
      </c>
      <c r="L14" s="9">
        <f t="shared" ref="L14:L20" si="16">+I14-K14</f>
        <v>2.6999999999999886</v>
      </c>
      <c r="M14" s="79">
        <v>38</v>
      </c>
      <c r="N14" s="33">
        <f>+K14-M14</f>
        <v>170.8</v>
      </c>
      <c r="O14" s="277">
        <f>+N14/B12</f>
        <v>6.544061302681993E-2</v>
      </c>
      <c r="P14" s="19">
        <f>+L14+M14</f>
        <v>40.699999999999989</v>
      </c>
      <c r="Q14" s="82">
        <v>5</v>
      </c>
      <c r="R14" s="9">
        <f t="shared" si="15"/>
        <v>35.699999999999989</v>
      </c>
      <c r="S14" s="9">
        <f t="shared" ref="S14:S20" si="17">+R14*G14</f>
        <v>35.699999999999989</v>
      </c>
      <c r="T14" s="9">
        <f t="shared" si="14"/>
        <v>3034.4999999999991</v>
      </c>
      <c r="U14" s="12">
        <f t="shared" ref="U14:U20" si="18">+R14/I14</f>
        <v>0.16879432624113469</v>
      </c>
      <c r="W14" s="102">
        <f t="shared" si="7"/>
        <v>211.5</v>
      </c>
      <c r="X14" s="103">
        <f t="shared" si="8"/>
        <v>208.8</v>
      </c>
      <c r="Y14" s="103">
        <f t="shared" si="9"/>
        <v>2.6999999999999886</v>
      </c>
      <c r="Z14" s="103">
        <f>+M14*G14</f>
        <v>38</v>
      </c>
      <c r="AA14" s="104">
        <f t="shared" si="11"/>
        <v>35.699999999999989</v>
      </c>
    </row>
    <row r="15" spans="1:28" ht="20.25" customHeight="1" x14ac:dyDescent="0.35">
      <c r="A15" s="293"/>
      <c r="B15" s="296"/>
      <c r="C15" s="35" t="s">
        <v>125</v>
      </c>
      <c r="D15" s="10">
        <v>55</v>
      </c>
      <c r="E15" s="31" t="s">
        <v>17</v>
      </c>
      <c r="F15" s="49">
        <v>0.08</v>
      </c>
      <c r="G15" s="11">
        <v>1</v>
      </c>
      <c r="H15" s="72">
        <f>+F15*B12</f>
        <v>208.8</v>
      </c>
      <c r="I15" s="68">
        <v>309</v>
      </c>
      <c r="J15" s="13">
        <f t="shared" ref="J15:J20" si="19">I15-H15</f>
        <v>100.19999999999999</v>
      </c>
      <c r="K15" s="76">
        <v>208.8</v>
      </c>
      <c r="L15" s="9">
        <f t="shared" si="16"/>
        <v>100.19999999999999</v>
      </c>
      <c r="M15" s="79">
        <v>12</v>
      </c>
      <c r="N15" s="23">
        <f t="shared" ref="N15:N20" si="20">+K15-M15</f>
        <v>196.8</v>
      </c>
      <c r="O15" s="277">
        <f>+N15/B12</f>
        <v>7.5402298850574714E-2</v>
      </c>
      <c r="P15" s="19">
        <f t="shared" ref="P15:P20" si="21">+L15+M15</f>
        <v>112.19999999999999</v>
      </c>
      <c r="Q15" s="82">
        <v>100</v>
      </c>
      <c r="R15" s="9">
        <f t="shared" si="15"/>
        <v>12.199999999999989</v>
      </c>
      <c r="S15" s="9">
        <f t="shared" si="17"/>
        <v>12.199999999999989</v>
      </c>
      <c r="T15" s="9">
        <f t="shared" si="14"/>
        <v>670.99999999999932</v>
      </c>
      <c r="U15" s="12">
        <f t="shared" si="18"/>
        <v>3.9482200647249152E-2</v>
      </c>
      <c r="W15" s="102">
        <f t="shared" si="7"/>
        <v>309</v>
      </c>
      <c r="X15" s="103">
        <f t="shared" si="8"/>
        <v>208.8</v>
      </c>
      <c r="Y15" s="103">
        <f t="shared" si="9"/>
        <v>100.19999999999999</v>
      </c>
      <c r="Z15" s="103">
        <f t="shared" si="10"/>
        <v>12</v>
      </c>
      <c r="AA15" s="104">
        <f t="shared" si="11"/>
        <v>12.199999999999989</v>
      </c>
    </row>
    <row r="16" spans="1:28" ht="20.25" customHeight="1" x14ac:dyDescent="0.35">
      <c r="A16" s="293"/>
      <c r="B16" s="296"/>
      <c r="C16" s="35" t="s">
        <v>32</v>
      </c>
      <c r="D16" s="10">
        <v>48</v>
      </c>
      <c r="E16" s="31" t="s">
        <v>18</v>
      </c>
      <c r="F16" s="49">
        <v>0.06</v>
      </c>
      <c r="G16" s="11">
        <v>1</v>
      </c>
      <c r="H16" s="72">
        <f>+F16*B12</f>
        <v>156.6</v>
      </c>
      <c r="I16" s="68">
        <v>165</v>
      </c>
      <c r="J16" s="13">
        <f t="shared" si="19"/>
        <v>8.4000000000000057</v>
      </c>
      <c r="K16" s="76">
        <v>156.6</v>
      </c>
      <c r="L16" s="9">
        <f t="shared" si="16"/>
        <v>8.4000000000000057</v>
      </c>
      <c r="M16" s="79">
        <v>52</v>
      </c>
      <c r="N16" s="33">
        <f t="shared" si="20"/>
        <v>104.6</v>
      </c>
      <c r="O16" s="277">
        <f>+N16/B12</f>
        <v>4.0076628352490422E-2</v>
      </c>
      <c r="P16" s="19">
        <f t="shared" si="21"/>
        <v>60.400000000000006</v>
      </c>
      <c r="Q16" s="82">
        <v>9</v>
      </c>
      <c r="R16" s="9">
        <f t="shared" si="15"/>
        <v>51.400000000000006</v>
      </c>
      <c r="S16" s="9">
        <f t="shared" si="17"/>
        <v>51.400000000000006</v>
      </c>
      <c r="T16" s="9">
        <f t="shared" si="14"/>
        <v>2467.2000000000003</v>
      </c>
      <c r="U16" s="12">
        <f t="shared" si="18"/>
        <v>0.31151515151515152</v>
      </c>
      <c r="W16" s="102">
        <f t="shared" si="7"/>
        <v>165</v>
      </c>
      <c r="X16" s="103">
        <f t="shared" si="8"/>
        <v>156.6</v>
      </c>
      <c r="Y16" s="103">
        <f t="shared" si="9"/>
        <v>8.4000000000000057</v>
      </c>
      <c r="Z16" s="103">
        <f t="shared" si="10"/>
        <v>52</v>
      </c>
      <c r="AA16" s="104">
        <f t="shared" si="11"/>
        <v>51.400000000000006</v>
      </c>
    </row>
    <row r="17" spans="1:28" ht="20.25" customHeight="1" x14ac:dyDescent="0.35">
      <c r="A17" s="293"/>
      <c r="B17" s="296"/>
      <c r="C17" s="35" t="s">
        <v>155</v>
      </c>
      <c r="D17" s="10">
        <v>35</v>
      </c>
      <c r="E17" s="31" t="s">
        <v>18</v>
      </c>
      <c r="F17" s="49">
        <v>0.06</v>
      </c>
      <c r="G17" s="11">
        <v>1</v>
      </c>
      <c r="H17" s="73">
        <f>+F17*B12</f>
        <v>156.6</v>
      </c>
      <c r="I17" s="68">
        <v>164</v>
      </c>
      <c r="J17" s="66">
        <f t="shared" si="19"/>
        <v>7.4000000000000057</v>
      </c>
      <c r="K17" s="76">
        <v>156.6</v>
      </c>
      <c r="L17" s="9">
        <f t="shared" si="16"/>
        <v>7.4000000000000057</v>
      </c>
      <c r="M17" s="79">
        <v>30</v>
      </c>
      <c r="N17" s="23">
        <f t="shared" si="20"/>
        <v>126.6</v>
      </c>
      <c r="O17" s="277">
        <f>+N17/B12</f>
        <v>4.850574712643678E-2</v>
      </c>
      <c r="P17" s="19">
        <f t="shared" si="21"/>
        <v>37.400000000000006</v>
      </c>
      <c r="Q17" s="82">
        <v>7</v>
      </c>
      <c r="R17" s="9">
        <f t="shared" si="15"/>
        <v>30.400000000000006</v>
      </c>
      <c r="S17" s="9">
        <f t="shared" si="17"/>
        <v>30.400000000000006</v>
      </c>
      <c r="T17" s="9">
        <f t="shared" si="14"/>
        <v>1064.0000000000002</v>
      </c>
      <c r="U17" s="12">
        <f t="shared" si="18"/>
        <v>0.18536585365853661</v>
      </c>
      <c r="W17" s="102">
        <f t="shared" si="7"/>
        <v>164</v>
      </c>
      <c r="X17" s="103">
        <f t="shared" si="8"/>
        <v>156.6</v>
      </c>
      <c r="Y17" s="103">
        <f t="shared" si="9"/>
        <v>7.4000000000000057</v>
      </c>
      <c r="Z17" s="103">
        <f t="shared" si="10"/>
        <v>30</v>
      </c>
      <c r="AA17" s="104">
        <f t="shared" si="11"/>
        <v>30.400000000000006</v>
      </c>
    </row>
    <row r="18" spans="1:28" ht="20.25" customHeight="1" x14ac:dyDescent="0.35">
      <c r="A18" s="293"/>
      <c r="B18" s="296"/>
      <c r="C18" s="35" t="s">
        <v>33</v>
      </c>
      <c r="D18" s="10">
        <v>50</v>
      </c>
      <c r="E18" s="31" t="s">
        <v>17</v>
      </c>
      <c r="F18" s="49">
        <v>0.03</v>
      </c>
      <c r="G18" s="11">
        <v>1</v>
      </c>
      <c r="H18" s="72">
        <f>+F18*B12</f>
        <v>78.3</v>
      </c>
      <c r="I18" s="68">
        <v>78.3</v>
      </c>
      <c r="J18" s="13">
        <f t="shared" si="19"/>
        <v>0</v>
      </c>
      <c r="K18" s="76">
        <v>78.3</v>
      </c>
      <c r="L18" s="9">
        <f t="shared" si="16"/>
        <v>0</v>
      </c>
      <c r="M18" s="79">
        <v>19</v>
      </c>
      <c r="N18" s="23">
        <f t="shared" si="20"/>
        <v>59.3</v>
      </c>
      <c r="O18" s="277">
        <f>+N18/B12</f>
        <v>2.272030651340996E-2</v>
      </c>
      <c r="P18" s="19">
        <f t="shared" si="21"/>
        <v>19</v>
      </c>
      <c r="Q18" s="82">
        <v>0</v>
      </c>
      <c r="R18" s="9">
        <f t="shared" si="15"/>
        <v>19</v>
      </c>
      <c r="S18" s="9">
        <f t="shared" si="17"/>
        <v>19</v>
      </c>
      <c r="T18" s="9">
        <f t="shared" si="14"/>
        <v>950</v>
      </c>
      <c r="U18" s="12">
        <f t="shared" si="18"/>
        <v>0.24265644955300128</v>
      </c>
      <c r="W18" s="102">
        <f t="shared" si="7"/>
        <v>78.3</v>
      </c>
      <c r="X18" s="103">
        <f t="shared" si="8"/>
        <v>78.3</v>
      </c>
      <c r="Y18" s="103">
        <f t="shared" si="9"/>
        <v>0</v>
      </c>
      <c r="Z18" s="103">
        <f t="shared" si="10"/>
        <v>19</v>
      </c>
      <c r="AA18" s="104">
        <f t="shared" si="11"/>
        <v>19</v>
      </c>
    </row>
    <row r="19" spans="1:28" ht="20.25" customHeight="1" x14ac:dyDescent="0.35">
      <c r="A19" s="293"/>
      <c r="B19" s="296"/>
      <c r="C19" s="35" t="s">
        <v>34</v>
      </c>
      <c r="D19" s="31">
        <v>70</v>
      </c>
      <c r="E19" s="31" t="s">
        <v>17</v>
      </c>
      <c r="F19" s="11">
        <v>0.1</v>
      </c>
      <c r="G19" s="11">
        <v>1</v>
      </c>
      <c r="H19" s="72">
        <f>+F19*B12</f>
        <v>261</v>
      </c>
      <c r="I19" s="68">
        <v>261</v>
      </c>
      <c r="J19" s="13">
        <f t="shared" si="19"/>
        <v>0</v>
      </c>
      <c r="K19" s="76">
        <v>261</v>
      </c>
      <c r="L19" s="9">
        <f t="shared" si="16"/>
        <v>0</v>
      </c>
      <c r="M19" s="79">
        <v>0</v>
      </c>
      <c r="N19" s="23">
        <f t="shared" si="20"/>
        <v>261</v>
      </c>
      <c r="O19" s="277">
        <f>+N19/B12</f>
        <v>0.1</v>
      </c>
      <c r="P19" s="19">
        <f t="shared" si="21"/>
        <v>0</v>
      </c>
      <c r="Q19" s="82">
        <v>0</v>
      </c>
      <c r="R19" s="9">
        <f t="shared" si="15"/>
        <v>0</v>
      </c>
      <c r="S19" s="9">
        <f t="shared" si="17"/>
        <v>0</v>
      </c>
      <c r="T19" s="9">
        <f t="shared" si="14"/>
        <v>0</v>
      </c>
      <c r="U19" s="12">
        <f t="shared" si="18"/>
        <v>0</v>
      </c>
      <c r="W19" s="102">
        <f t="shared" si="7"/>
        <v>261</v>
      </c>
      <c r="X19" s="103">
        <f t="shared" si="8"/>
        <v>261</v>
      </c>
      <c r="Y19" s="103">
        <f t="shared" si="9"/>
        <v>0</v>
      </c>
      <c r="Z19" s="103">
        <f t="shared" si="10"/>
        <v>0</v>
      </c>
      <c r="AA19" s="104">
        <f t="shared" si="11"/>
        <v>0</v>
      </c>
    </row>
    <row r="20" spans="1:28" ht="20.25" customHeight="1" x14ac:dyDescent="0.35">
      <c r="A20" s="294"/>
      <c r="B20" s="297"/>
      <c r="C20" s="40" t="s">
        <v>35</v>
      </c>
      <c r="D20" s="44">
        <v>2</v>
      </c>
      <c r="E20" s="44" t="s">
        <v>16</v>
      </c>
      <c r="F20" s="53">
        <v>2</v>
      </c>
      <c r="G20" s="45">
        <v>0.04</v>
      </c>
      <c r="H20" s="72">
        <f>+F20*B12</f>
        <v>5220</v>
      </c>
      <c r="I20" s="68">
        <v>5240</v>
      </c>
      <c r="J20" s="13">
        <f t="shared" si="19"/>
        <v>20</v>
      </c>
      <c r="K20" s="76">
        <v>5220</v>
      </c>
      <c r="L20" s="9">
        <f t="shared" si="16"/>
        <v>20</v>
      </c>
      <c r="M20" s="79">
        <v>40</v>
      </c>
      <c r="N20" s="33">
        <f t="shared" si="20"/>
        <v>5180</v>
      </c>
      <c r="O20" s="277">
        <f>+N20/B12</f>
        <v>1.9846743295019158</v>
      </c>
      <c r="P20" s="19">
        <f t="shared" si="21"/>
        <v>60</v>
      </c>
      <c r="Q20" s="82">
        <v>30</v>
      </c>
      <c r="R20" s="9">
        <f t="shared" si="15"/>
        <v>30</v>
      </c>
      <c r="S20" s="9">
        <f t="shared" si="17"/>
        <v>1.2</v>
      </c>
      <c r="T20" s="9">
        <f t="shared" si="14"/>
        <v>60</v>
      </c>
      <c r="U20" s="12">
        <f t="shared" si="18"/>
        <v>5.7251908396946565E-3</v>
      </c>
      <c r="W20" s="115">
        <f t="shared" si="7"/>
        <v>209.6</v>
      </c>
      <c r="X20" s="116">
        <f t="shared" si="8"/>
        <v>208.8</v>
      </c>
      <c r="Y20" s="116">
        <f t="shared" si="9"/>
        <v>0.8</v>
      </c>
      <c r="Z20" s="116">
        <f t="shared" si="10"/>
        <v>1.6</v>
      </c>
      <c r="AA20" s="117">
        <f t="shared" si="11"/>
        <v>1.2</v>
      </c>
    </row>
    <row r="21" spans="1:28" ht="20.25" customHeight="1" thickBot="1" x14ac:dyDescent="0.4">
      <c r="A21" s="27"/>
      <c r="B21" s="28"/>
      <c r="C21" s="29"/>
      <c r="D21" s="15"/>
      <c r="E21" s="15"/>
      <c r="F21" s="15"/>
      <c r="G21" s="15"/>
      <c r="H21" s="74"/>
      <c r="I21" s="69"/>
      <c r="J21" s="16"/>
      <c r="K21" s="77"/>
      <c r="L21" s="15"/>
      <c r="M21" s="80"/>
      <c r="N21" s="14"/>
      <c r="O21" s="278">
        <f>SUM(O12:O19)+0.06</f>
        <v>0.84961685823754785</v>
      </c>
      <c r="P21" s="20"/>
      <c r="Q21" s="83"/>
      <c r="R21" s="15"/>
      <c r="S21" s="56">
        <f>SUM(S12:S20)</f>
        <v>215.09999999999997</v>
      </c>
      <c r="T21" s="56">
        <f>SUM(T12:T20)</f>
        <v>11269.699999999997</v>
      </c>
      <c r="U21" s="16"/>
      <c r="W21" s="118">
        <f>SUM(W12:W20)</f>
        <v>2725.4</v>
      </c>
      <c r="X21" s="110">
        <f t="shared" ref="X21:AA21" si="22">SUM(X12:X20)</f>
        <v>2531.6999999999998</v>
      </c>
      <c r="Y21" s="114">
        <f t="shared" si="22"/>
        <v>193.7</v>
      </c>
      <c r="Z21" s="109">
        <f t="shared" si="22"/>
        <v>263.60000000000002</v>
      </c>
      <c r="AA21" s="109">
        <f t="shared" si="22"/>
        <v>215.09999999999997</v>
      </c>
      <c r="AB21" s="94"/>
    </row>
    <row r="22" spans="1:28" ht="20.25" customHeight="1" x14ac:dyDescent="0.35">
      <c r="A22" s="292" t="s">
        <v>39</v>
      </c>
      <c r="B22" s="295">
        <v>1840</v>
      </c>
      <c r="C22" s="34" t="s">
        <v>227</v>
      </c>
      <c r="D22" s="4">
        <v>3</v>
      </c>
      <c r="E22" s="4" t="s">
        <v>186</v>
      </c>
      <c r="F22" s="135">
        <v>4</v>
      </c>
      <c r="G22" s="5">
        <v>0.03</v>
      </c>
      <c r="H22" s="71">
        <f>+F22*B22</f>
        <v>7360</v>
      </c>
      <c r="I22" s="67">
        <v>7370</v>
      </c>
      <c r="J22" s="22">
        <f>I22-H22</f>
        <v>10</v>
      </c>
      <c r="K22" s="75">
        <v>7360</v>
      </c>
      <c r="L22" s="3">
        <f>+I22-K22</f>
        <v>10</v>
      </c>
      <c r="M22" s="78">
        <v>30</v>
      </c>
      <c r="N22" s="21">
        <f>+K22-M22</f>
        <v>7330</v>
      </c>
      <c r="O22" s="41">
        <f>+N22/B22</f>
        <v>3.9836956521739131</v>
      </c>
      <c r="P22" s="18">
        <f>+L22+M22</f>
        <v>40</v>
      </c>
      <c r="Q22" s="81">
        <v>20</v>
      </c>
      <c r="R22" s="3">
        <f>+P22-Q22</f>
        <v>20</v>
      </c>
      <c r="S22" s="3">
        <f>+R22*G22</f>
        <v>0.6</v>
      </c>
      <c r="T22" s="3">
        <f>+R22*D22</f>
        <v>60</v>
      </c>
      <c r="U22" s="6">
        <f>+R22/I22</f>
        <v>2.7137042062415195E-3</v>
      </c>
      <c r="W22" s="111">
        <f t="shared" si="7"/>
        <v>221.1</v>
      </c>
      <c r="X22" s="112">
        <f t="shared" si="8"/>
        <v>220.79999999999998</v>
      </c>
      <c r="Y22" s="112">
        <f t="shared" si="9"/>
        <v>0.3</v>
      </c>
      <c r="Z22" s="112">
        <f>+M22*G22</f>
        <v>0.89999999999999991</v>
      </c>
      <c r="AA22" s="113">
        <f t="shared" si="11"/>
        <v>0.6</v>
      </c>
    </row>
    <row r="23" spans="1:28" ht="20.25" customHeight="1" x14ac:dyDescent="0.35">
      <c r="A23" s="293"/>
      <c r="B23" s="296"/>
      <c r="C23" s="35" t="s">
        <v>13</v>
      </c>
      <c r="D23" s="10">
        <v>52</v>
      </c>
      <c r="E23" s="10" t="s">
        <v>186</v>
      </c>
      <c r="F23" s="279">
        <v>0.1</v>
      </c>
      <c r="G23" s="11">
        <v>1</v>
      </c>
      <c r="H23" s="70">
        <f>+F23*B22</f>
        <v>184</v>
      </c>
      <c r="I23" s="68">
        <v>186</v>
      </c>
      <c r="J23" s="13">
        <f>I23-H23</f>
        <v>2</v>
      </c>
      <c r="K23" s="76">
        <v>184</v>
      </c>
      <c r="L23" s="9">
        <f t="shared" ref="L23:L25" si="23">+I23-K23</f>
        <v>2</v>
      </c>
      <c r="M23" s="79">
        <v>5</v>
      </c>
      <c r="N23" s="23">
        <f>+K23-M23</f>
        <v>179</v>
      </c>
      <c r="O23" s="42">
        <f>+N23/B22</f>
        <v>9.7282608695652167E-2</v>
      </c>
      <c r="P23" s="19">
        <f>+L23+M23</f>
        <v>7</v>
      </c>
      <c r="Q23" s="82">
        <v>0</v>
      </c>
      <c r="R23" s="9">
        <f t="shared" ref="R23:R25" si="24">+P23-Q23</f>
        <v>7</v>
      </c>
      <c r="S23" s="9">
        <f>+R23*G23</f>
        <v>7</v>
      </c>
      <c r="T23" s="9">
        <f>+R23*D23</f>
        <v>364</v>
      </c>
      <c r="U23" s="12">
        <f t="shared" ref="U23:U25" si="25">+R23/I23</f>
        <v>3.7634408602150539E-2</v>
      </c>
      <c r="W23" s="102">
        <f t="shared" si="7"/>
        <v>186</v>
      </c>
      <c r="X23" s="103">
        <f t="shared" si="8"/>
        <v>184</v>
      </c>
      <c r="Y23" s="103">
        <f t="shared" si="9"/>
        <v>2</v>
      </c>
      <c r="Z23" s="103">
        <f>+M23*G23</f>
        <v>5</v>
      </c>
      <c r="AA23" s="104">
        <f t="shared" si="11"/>
        <v>7</v>
      </c>
    </row>
    <row r="24" spans="1:28" ht="20.25" customHeight="1" x14ac:dyDescent="0.35">
      <c r="A24" s="293"/>
      <c r="B24" s="296"/>
      <c r="C24" s="35" t="s">
        <v>95</v>
      </c>
      <c r="D24" s="10">
        <v>6</v>
      </c>
      <c r="E24" s="10" t="s">
        <v>16</v>
      </c>
      <c r="F24" s="126">
        <v>1</v>
      </c>
      <c r="G24" s="11">
        <v>0.05</v>
      </c>
      <c r="H24" s="72">
        <f>+F24*B22</f>
        <v>1840</v>
      </c>
      <c r="I24" s="68">
        <v>1840</v>
      </c>
      <c r="J24" s="13">
        <f>I24-H24</f>
        <v>0</v>
      </c>
      <c r="K24" s="76">
        <v>1840</v>
      </c>
      <c r="L24" s="9">
        <f t="shared" si="23"/>
        <v>0</v>
      </c>
      <c r="M24" s="79">
        <v>10</v>
      </c>
      <c r="N24" s="33">
        <f t="shared" ref="N24:N25" si="26">+K24-M24</f>
        <v>1830</v>
      </c>
      <c r="O24" s="42">
        <f>+N24/B22</f>
        <v>0.99456521739130432</v>
      </c>
      <c r="P24" s="19">
        <f>+L24+M24</f>
        <v>10</v>
      </c>
      <c r="Q24" s="82">
        <v>10</v>
      </c>
      <c r="R24" s="9">
        <f t="shared" si="24"/>
        <v>0</v>
      </c>
      <c r="S24" s="9">
        <f>+R24*G24</f>
        <v>0</v>
      </c>
      <c r="T24" s="9">
        <f>+R24*D24</f>
        <v>0</v>
      </c>
      <c r="U24" s="12">
        <f t="shared" si="25"/>
        <v>0</v>
      </c>
      <c r="W24" s="102">
        <f t="shared" si="7"/>
        <v>92</v>
      </c>
      <c r="X24" s="103">
        <f t="shared" si="8"/>
        <v>92</v>
      </c>
      <c r="Y24" s="103">
        <f t="shared" si="9"/>
        <v>0</v>
      </c>
      <c r="Z24" s="103">
        <f t="shared" si="10"/>
        <v>0.5</v>
      </c>
      <c r="AA24" s="104">
        <f t="shared" si="11"/>
        <v>0</v>
      </c>
    </row>
    <row r="25" spans="1:28" ht="20.25" customHeight="1" x14ac:dyDescent="0.35">
      <c r="A25" s="293"/>
      <c r="B25" s="296"/>
      <c r="C25" s="35" t="s">
        <v>14</v>
      </c>
      <c r="D25" s="10">
        <v>60</v>
      </c>
      <c r="E25" s="10" t="s">
        <v>18</v>
      </c>
      <c r="F25" s="49">
        <v>0.1</v>
      </c>
      <c r="G25" s="11">
        <v>1</v>
      </c>
      <c r="H25" s="72">
        <f>+F25*B22</f>
        <v>184</v>
      </c>
      <c r="I25" s="68">
        <v>184</v>
      </c>
      <c r="J25" s="13">
        <f>I25-H25</f>
        <v>0</v>
      </c>
      <c r="K25" s="76">
        <v>184</v>
      </c>
      <c r="L25" s="9">
        <f t="shared" si="23"/>
        <v>0</v>
      </c>
      <c r="M25" s="79">
        <v>5.5</v>
      </c>
      <c r="N25" s="23">
        <f t="shared" si="26"/>
        <v>178.5</v>
      </c>
      <c r="O25" s="42">
        <f>+N25/B22</f>
        <v>9.7010869565217386E-2</v>
      </c>
      <c r="P25" s="19">
        <f t="shared" ref="P25" si="27">+L25+M25</f>
        <v>5.5</v>
      </c>
      <c r="Q25" s="82">
        <v>0</v>
      </c>
      <c r="R25" s="9">
        <f t="shared" si="24"/>
        <v>5.5</v>
      </c>
      <c r="S25" s="9">
        <f>+R25*G25</f>
        <v>5.5</v>
      </c>
      <c r="T25" s="9">
        <f>+R25*D25</f>
        <v>330</v>
      </c>
      <c r="U25" s="12">
        <f t="shared" si="25"/>
        <v>2.9891304347826088E-2</v>
      </c>
      <c r="W25" s="105">
        <f t="shared" si="7"/>
        <v>184</v>
      </c>
      <c r="X25" s="106">
        <f t="shared" si="8"/>
        <v>184</v>
      </c>
      <c r="Y25" s="106">
        <f t="shared" si="9"/>
        <v>0</v>
      </c>
      <c r="Z25" s="106">
        <f t="shared" si="10"/>
        <v>5.5</v>
      </c>
      <c r="AA25" s="107">
        <f t="shared" si="11"/>
        <v>5.5</v>
      </c>
    </row>
    <row r="26" spans="1:28" ht="21.75" customHeight="1" thickBot="1" x14ac:dyDescent="0.4">
      <c r="A26" s="27"/>
      <c r="B26" s="55"/>
      <c r="C26" s="29"/>
      <c r="D26" s="15"/>
      <c r="E26" s="15"/>
      <c r="F26" s="15"/>
      <c r="G26" s="15"/>
      <c r="H26" s="74"/>
      <c r="I26" s="69"/>
      <c r="J26" s="16"/>
      <c r="K26" s="77"/>
      <c r="L26" s="15"/>
      <c r="M26" s="80"/>
      <c r="N26" s="14"/>
      <c r="O26" s="16"/>
      <c r="P26" s="20"/>
      <c r="Q26" s="83"/>
      <c r="R26" s="15"/>
      <c r="S26" s="56">
        <f>SUM(S22:S25)</f>
        <v>13.1</v>
      </c>
      <c r="T26" s="56">
        <f>SUM(T22:T25)</f>
        <v>754</v>
      </c>
      <c r="U26" s="16"/>
      <c r="W26" s="123">
        <f>SUM(W22:W25)</f>
        <v>683.1</v>
      </c>
      <c r="X26" s="124">
        <f t="shared" ref="X26:AA26" si="28">SUM(X22:X25)</f>
        <v>680.8</v>
      </c>
      <c r="Y26" s="124">
        <f t="shared" si="28"/>
        <v>2.2999999999999998</v>
      </c>
      <c r="Z26" s="124">
        <f t="shared" si="28"/>
        <v>11.9</v>
      </c>
      <c r="AA26" s="125">
        <f t="shared" si="28"/>
        <v>13.1</v>
      </c>
    </row>
    <row r="27" spans="1:28" ht="20.25" customHeight="1" x14ac:dyDescent="0.35">
      <c r="A27" s="292" t="s">
        <v>40</v>
      </c>
      <c r="B27" s="295">
        <v>736</v>
      </c>
      <c r="C27" s="34" t="s">
        <v>31</v>
      </c>
      <c r="D27" s="4">
        <v>20</v>
      </c>
      <c r="E27" s="30" t="s">
        <v>17</v>
      </c>
      <c r="F27" s="52">
        <v>0.35</v>
      </c>
      <c r="G27" s="5">
        <v>1</v>
      </c>
      <c r="H27" s="71">
        <f>+F27*B27</f>
        <v>257.59999999999997</v>
      </c>
      <c r="I27" s="67">
        <v>267</v>
      </c>
      <c r="J27" s="22">
        <f t="shared" ref="J27:J35" si="29">I27-H27</f>
        <v>9.4000000000000341</v>
      </c>
      <c r="K27" s="75">
        <v>257.60000000000002</v>
      </c>
      <c r="L27" s="3">
        <f>+I27-K27</f>
        <v>9.3999999999999773</v>
      </c>
      <c r="M27" s="78">
        <v>15</v>
      </c>
      <c r="N27" s="21">
        <f>+K27-M27</f>
        <v>242.60000000000002</v>
      </c>
      <c r="O27" s="41">
        <f>+N27/B27</f>
        <v>0.32961956521739133</v>
      </c>
      <c r="P27" s="18">
        <f>+L27+M27</f>
        <v>24.399999999999977</v>
      </c>
      <c r="Q27" s="81">
        <v>10</v>
      </c>
      <c r="R27" s="3">
        <f>+P27-Q27</f>
        <v>14.399999999999977</v>
      </c>
      <c r="S27" s="3">
        <f t="shared" ref="S27:S35" si="30">+R27*G27</f>
        <v>14.399999999999977</v>
      </c>
      <c r="T27" s="3">
        <f t="shared" ref="T27:T35" si="31">+R27*D27</f>
        <v>287.99999999999955</v>
      </c>
      <c r="U27" s="6">
        <f>+R27/I27</f>
        <v>5.3932584269662839E-2</v>
      </c>
      <c r="W27" s="111">
        <f t="shared" si="7"/>
        <v>267</v>
      </c>
      <c r="X27" s="112">
        <f t="shared" si="8"/>
        <v>257.60000000000002</v>
      </c>
      <c r="Y27" s="112">
        <f t="shared" si="9"/>
        <v>9.3999999999999773</v>
      </c>
      <c r="Z27" s="112">
        <f t="shared" si="10"/>
        <v>15</v>
      </c>
      <c r="AA27" s="113">
        <f t="shared" si="11"/>
        <v>14.399999999999977</v>
      </c>
    </row>
    <row r="28" spans="1:28" ht="20.25" customHeight="1" x14ac:dyDescent="0.35">
      <c r="A28" s="293"/>
      <c r="B28" s="296"/>
      <c r="C28" s="35" t="s">
        <v>160</v>
      </c>
      <c r="D28" s="10">
        <v>65</v>
      </c>
      <c r="E28" s="31" t="s">
        <v>17</v>
      </c>
      <c r="F28" s="49">
        <v>0.1</v>
      </c>
      <c r="G28" s="11">
        <v>1</v>
      </c>
      <c r="H28" s="70">
        <f>+F28*B27</f>
        <v>73.600000000000009</v>
      </c>
      <c r="I28" s="68">
        <v>75.599999999999994</v>
      </c>
      <c r="J28" s="13">
        <f t="shared" si="29"/>
        <v>1.9999999999999858</v>
      </c>
      <c r="K28" s="76">
        <v>73.599999999999994</v>
      </c>
      <c r="L28" s="9">
        <f t="shared" ref="L28:L35" si="32">+I28-K28</f>
        <v>2</v>
      </c>
      <c r="M28" s="79">
        <v>3</v>
      </c>
      <c r="N28" s="23">
        <f t="shared" ref="N28:N35" si="33">+K28-M28</f>
        <v>70.599999999999994</v>
      </c>
      <c r="O28" s="42">
        <f>+N28/B27</f>
        <v>9.5923913043478248E-2</v>
      </c>
      <c r="P28" s="19">
        <f>+L28+M28</f>
        <v>5</v>
      </c>
      <c r="Q28" s="82">
        <v>2</v>
      </c>
      <c r="R28" s="9">
        <f>+P28-Q28</f>
        <v>3</v>
      </c>
      <c r="S28" s="9">
        <f t="shared" si="30"/>
        <v>3</v>
      </c>
      <c r="T28" s="9">
        <f t="shared" si="31"/>
        <v>195</v>
      </c>
      <c r="U28" s="12">
        <f t="shared" ref="U28:U35" si="34">+R28/I28</f>
        <v>3.9682539682539687E-2</v>
      </c>
      <c r="W28" s="102">
        <f t="shared" si="7"/>
        <v>75.599999999999994</v>
      </c>
      <c r="X28" s="103">
        <f t="shared" si="8"/>
        <v>73.599999999999994</v>
      </c>
      <c r="Y28" s="103">
        <f t="shared" si="9"/>
        <v>2</v>
      </c>
      <c r="Z28" s="103">
        <f t="shared" si="10"/>
        <v>3</v>
      </c>
      <c r="AA28" s="104">
        <f t="shared" si="11"/>
        <v>3</v>
      </c>
    </row>
    <row r="29" spans="1:28" ht="20.25" customHeight="1" x14ac:dyDescent="0.35">
      <c r="A29" s="293"/>
      <c r="B29" s="296"/>
      <c r="C29" s="35" t="s">
        <v>228</v>
      </c>
      <c r="D29" s="10">
        <v>90</v>
      </c>
      <c r="E29" s="31" t="s">
        <v>17</v>
      </c>
      <c r="F29" s="49">
        <v>0.05</v>
      </c>
      <c r="G29" s="11">
        <v>1</v>
      </c>
      <c r="H29" s="72">
        <f>+F29*B27</f>
        <v>36.800000000000004</v>
      </c>
      <c r="I29" s="68">
        <v>39.5</v>
      </c>
      <c r="J29" s="13">
        <f t="shared" si="29"/>
        <v>2.6999999999999957</v>
      </c>
      <c r="K29" s="76">
        <v>36.799999999999997</v>
      </c>
      <c r="L29" s="9">
        <f t="shared" si="32"/>
        <v>2.7000000000000028</v>
      </c>
      <c r="M29" s="79">
        <v>4</v>
      </c>
      <c r="N29" s="33">
        <f t="shared" si="33"/>
        <v>32.799999999999997</v>
      </c>
      <c r="O29" s="42">
        <f>+N29/B27</f>
        <v>4.4565217391304347E-2</v>
      </c>
      <c r="P29" s="19">
        <f>+L29+M29</f>
        <v>6.7000000000000028</v>
      </c>
      <c r="Q29" s="82">
        <v>3</v>
      </c>
      <c r="R29" s="9">
        <f t="shared" ref="R29:R35" si="35">+P29-Q29</f>
        <v>3.7000000000000028</v>
      </c>
      <c r="S29" s="9">
        <f t="shared" si="30"/>
        <v>3.7000000000000028</v>
      </c>
      <c r="T29" s="9">
        <f t="shared" si="31"/>
        <v>333.00000000000023</v>
      </c>
      <c r="U29" s="12">
        <f t="shared" si="34"/>
        <v>9.3670886075949436E-2</v>
      </c>
      <c r="W29" s="102">
        <f t="shared" si="7"/>
        <v>39.5</v>
      </c>
      <c r="X29" s="103">
        <f t="shared" si="8"/>
        <v>36.799999999999997</v>
      </c>
      <c r="Y29" s="103">
        <f t="shared" si="9"/>
        <v>2.7000000000000028</v>
      </c>
      <c r="Z29" s="103">
        <f t="shared" si="10"/>
        <v>4</v>
      </c>
      <c r="AA29" s="104">
        <f t="shared" si="11"/>
        <v>3.7000000000000028</v>
      </c>
    </row>
    <row r="30" spans="1:28" ht="20.25" customHeight="1" x14ac:dyDescent="0.35">
      <c r="A30" s="293"/>
      <c r="B30" s="296"/>
      <c r="C30" s="35" t="s">
        <v>92</v>
      </c>
      <c r="D30" s="10">
        <v>55</v>
      </c>
      <c r="E30" s="31" t="s">
        <v>17</v>
      </c>
      <c r="F30" s="49">
        <v>0.1</v>
      </c>
      <c r="G30" s="11">
        <v>1</v>
      </c>
      <c r="H30" s="72">
        <f>+F30*B27</f>
        <v>73.600000000000009</v>
      </c>
      <c r="I30" s="68">
        <v>75.400000000000006</v>
      </c>
      <c r="J30" s="13">
        <f t="shared" si="29"/>
        <v>1.7999999999999972</v>
      </c>
      <c r="K30" s="76">
        <v>73.599999999999994</v>
      </c>
      <c r="L30" s="9">
        <f t="shared" si="32"/>
        <v>1.8000000000000114</v>
      </c>
      <c r="M30" s="79">
        <v>5</v>
      </c>
      <c r="N30" s="23">
        <f t="shared" si="33"/>
        <v>68.599999999999994</v>
      </c>
      <c r="O30" s="42">
        <f>+N30/B27</f>
        <v>9.3206521739130424E-2</v>
      </c>
      <c r="P30" s="19">
        <f t="shared" ref="P30:P35" si="36">+L30+M30</f>
        <v>6.8000000000000114</v>
      </c>
      <c r="Q30" s="82">
        <v>3</v>
      </c>
      <c r="R30" s="9">
        <f t="shared" si="35"/>
        <v>3.8000000000000114</v>
      </c>
      <c r="S30" s="9">
        <f t="shared" si="30"/>
        <v>3.8000000000000114</v>
      </c>
      <c r="T30" s="9">
        <f t="shared" si="31"/>
        <v>209.00000000000063</v>
      </c>
      <c r="U30" s="12">
        <f t="shared" si="34"/>
        <v>5.0397877984085029E-2</v>
      </c>
      <c r="W30" s="102">
        <f t="shared" si="7"/>
        <v>75.400000000000006</v>
      </c>
      <c r="X30" s="103">
        <f t="shared" si="8"/>
        <v>73.599999999999994</v>
      </c>
      <c r="Y30" s="103">
        <f t="shared" si="9"/>
        <v>1.8000000000000114</v>
      </c>
      <c r="Z30" s="103">
        <f t="shared" si="10"/>
        <v>5</v>
      </c>
      <c r="AA30" s="104">
        <f t="shared" si="11"/>
        <v>3.8000000000000114</v>
      </c>
    </row>
    <row r="31" spans="1:28" ht="20.25" customHeight="1" x14ac:dyDescent="0.35">
      <c r="A31" s="293"/>
      <c r="B31" s="296"/>
      <c r="C31" s="35" t="s">
        <v>32</v>
      </c>
      <c r="D31" s="10">
        <v>48</v>
      </c>
      <c r="E31" s="31" t="s">
        <v>18</v>
      </c>
      <c r="F31" s="49">
        <v>0.08</v>
      </c>
      <c r="G31" s="11">
        <v>1</v>
      </c>
      <c r="H31" s="72">
        <f>+F31*B27</f>
        <v>58.88</v>
      </c>
      <c r="I31" s="68">
        <v>62</v>
      </c>
      <c r="J31" s="13">
        <f t="shared" si="29"/>
        <v>3.1199999999999974</v>
      </c>
      <c r="K31" s="76">
        <v>58.9</v>
      </c>
      <c r="L31" s="9">
        <f t="shared" si="32"/>
        <v>3.1000000000000014</v>
      </c>
      <c r="M31" s="79">
        <v>4.5</v>
      </c>
      <c r="N31" s="33">
        <f t="shared" si="33"/>
        <v>54.4</v>
      </c>
      <c r="O31" s="42">
        <f>+N31/B27</f>
        <v>7.3913043478260873E-2</v>
      </c>
      <c r="P31" s="19">
        <f t="shared" si="36"/>
        <v>7.6000000000000014</v>
      </c>
      <c r="Q31" s="82">
        <v>0</v>
      </c>
      <c r="R31" s="9">
        <f t="shared" si="35"/>
        <v>7.6000000000000014</v>
      </c>
      <c r="S31" s="9">
        <f t="shared" si="30"/>
        <v>7.6000000000000014</v>
      </c>
      <c r="T31" s="9">
        <f t="shared" si="31"/>
        <v>364.80000000000007</v>
      </c>
      <c r="U31" s="12">
        <f t="shared" si="34"/>
        <v>0.12258064516129034</v>
      </c>
      <c r="W31" s="102">
        <f t="shared" si="7"/>
        <v>62</v>
      </c>
      <c r="X31" s="103">
        <f t="shared" si="8"/>
        <v>58.9</v>
      </c>
      <c r="Y31" s="103">
        <f t="shared" si="9"/>
        <v>3.1000000000000014</v>
      </c>
      <c r="Z31" s="103">
        <f t="shared" si="10"/>
        <v>4.5</v>
      </c>
      <c r="AA31" s="104">
        <f t="shared" si="11"/>
        <v>7.6000000000000014</v>
      </c>
    </row>
    <row r="32" spans="1:28" ht="20.25" customHeight="1" x14ac:dyDescent="0.35">
      <c r="A32" s="293"/>
      <c r="B32" s="296"/>
      <c r="C32" s="35" t="s">
        <v>54</v>
      </c>
      <c r="D32" s="10">
        <v>35</v>
      </c>
      <c r="E32" s="31" t="s">
        <v>18</v>
      </c>
      <c r="F32" s="49">
        <v>0.08</v>
      </c>
      <c r="G32" s="11">
        <v>1</v>
      </c>
      <c r="H32" s="73">
        <f>+F32*B27</f>
        <v>58.88</v>
      </c>
      <c r="I32" s="68">
        <v>63</v>
      </c>
      <c r="J32" s="13">
        <f t="shared" si="29"/>
        <v>4.1199999999999974</v>
      </c>
      <c r="K32" s="76">
        <v>58.9</v>
      </c>
      <c r="L32" s="9">
        <f t="shared" si="32"/>
        <v>4.1000000000000014</v>
      </c>
      <c r="M32" s="79">
        <v>6</v>
      </c>
      <c r="N32" s="23">
        <f t="shared" si="33"/>
        <v>52.9</v>
      </c>
      <c r="O32" s="42">
        <f>+N32/B27</f>
        <v>7.1874999999999994E-2</v>
      </c>
      <c r="P32" s="19">
        <f t="shared" si="36"/>
        <v>10.100000000000001</v>
      </c>
      <c r="Q32" s="82">
        <v>0</v>
      </c>
      <c r="R32" s="9">
        <f t="shared" si="35"/>
        <v>10.100000000000001</v>
      </c>
      <c r="S32" s="9">
        <f t="shared" si="30"/>
        <v>10.100000000000001</v>
      </c>
      <c r="T32" s="9">
        <f t="shared" si="31"/>
        <v>353.50000000000006</v>
      </c>
      <c r="U32" s="12">
        <f t="shared" si="34"/>
        <v>0.16031746031746033</v>
      </c>
      <c r="W32" s="102">
        <f t="shared" si="7"/>
        <v>63</v>
      </c>
      <c r="X32" s="103">
        <f t="shared" si="8"/>
        <v>58.9</v>
      </c>
      <c r="Y32" s="103">
        <f t="shared" si="9"/>
        <v>4.1000000000000014</v>
      </c>
      <c r="Z32" s="103">
        <f t="shared" si="10"/>
        <v>6</v>
      </c>
      <c r="AA32" s="104">
        <f t="shared" si="11"/>
        <v>10.100000000000001</v>
      </c>
    </row>
    <row r="33" spans="1:28" ht="20.25" customHeight="1" x14ac:dyDescent="0.35">
      <c r="A33" s="293"/>
      <c r="B33" s="296"/>
      <c r="C33" s="35" t="s">
        <v>33</v>
      </c>
      <c r="D33" s="10">
        <v>50</v>
      </c>
      <c r="E33" s="31" t="s">
        <v>17</v>
      </c>
      <c r="F33" s="49">
        <v>0.03</v>
      </c>
      <c r="G33" s="11">
        <v>1</v>
      </c>
      <c r="H33" s="72">
        <f>+F33*B27</f>
        <v>22.08</v>
      </c>
      <c r="I33" s="68">
        <v>25</v>
      </c>
      <c r="J33" s="13">
        <f t="shared" si="29"/>
        <v>2.9200000000000017</v>
      </c>
      <c r="K33" s="76">
        <v>22.1</v>
      </c>
      <c r="L33" s="9">
        <f t="shared" si="32"/>
        <v>2.8999999999999986</v>
      </c>
      <c r="M33" s="79">
        <v>2.5</v>
      </c>
      <c r="N33" s="23">
        <f t="shared" si="33"/>
        <v>19.600000000000001</v>
      </c>
      <c r="O33" s="42">
        <f>+N33/B27</f>
        <v>2.6630434782608698E-2</v>
      </c>
      <c r="P33" s="19">
        <f t="shared" si="36"/>
        <v>5.3999999999999986</v>
      </c>
      <c r="Q33" s="82">
        <v>0</v>
      </c>
      <c r="R33" s="9">
        <f t="shared" si="35"/>
        <v>5.3999999999999986</v>
      </c>
      <c r="S33" s="9">
        <f t="shared" si="30"/>
        <v>5.3999999999999986</v>
      </c>
      <c r="T33" s="9">
        <f t="shared" si="31"/>
        <v>269.99999999999994</v>
      </c>
      <c r="U33" s="12">
        <f t="shared" si="34"/>
        <v>0.21599999999999994</v>
      </c>
      <c r="W33" s="102">
        <f t="shared" si="7"/>
        <v>25</v>
      </c>
      <c r="X33" s="103">
        <f t="shared" si="8"/>
        <v>22.1</v>
      </c>
      <c r="Y33" s="103">
        <f t="shared" si="9"/>
        <v>2.8999999999999986</v>
      </c>
      <c r="Z33" s="103">
        <f t="shared" si="10"/>
        <v>2.5</v>
      </c>
      <c r="AA33" s="104">
        <f t="shared" si="11"/>
        <v>5.3999999999999986</v>
      </c>
    </row>
    <row r="34" spans="1:28" ht="20.25" customHeight="1" x14ac:dyDescent="0.35">
      <c r="A34" s="293"/>
      <c r="B34" s="296"/>
      <c r="C34" s="35" t="s">
        <v>34</v>
      </c>
      <c r="D34" s="31">
        <v>70</v>
      </c>
      <c r="E34" s="31" t="s">
        <v>17</v>
      </c>
      <c r="F34" s="11">
        <v>0.1</v>
      </c>
      <c r="G34" s="11">
        <v>1</v>
      </c>
      <c r="H34" s="72">
        <f>+F34*B27</f>
        <v>73.600000000000009</v>
      </c>
      <c r="I34" s="68">
        <v>74</v>
      </c>
      <c r="J34" s="13">
        <f t="shared" si="29"/>
        <v>0.39999999999999147</v>
      </c>
      <c r="K34" s="76">
        <v>73.599999999999994</v>
      </c>
      <c r="L34" s="9">
        <f t="shared" si="32"/>
        <v>0.40000000000000568</v>
      </c>
      <c r="M34" s="79">
        <v>0</v>
      </c>
      <c r="N34" s="23">
        <f t="shared" si="33"/>
        <v>73.599999999999994</v>
      </c>
      <c r="O34" s="42">
        <f>+N34/B27</f>
        <v>9.9999999999999992E-2</v>
      </c>
      <c r="P34" s="19">
        <f t="shared" si="36"/>
        <v>0.40000000000000568</v>
      </c>
      <c r="Q34" s="82">
        <v>0</v>
      </c>
      <c r="R34" s="9">
        <f t="shared" si="35"/>
        <v>0.40000000000000568</v>
      </c>
      <c r="S34" s="9">
        <f t="shared" si="30"/>
        <v>0.40000000000000568</v>
      </c>
      <c r="T34" s="9">
        <f t="shared" si="31"/>
        <v>28.000000000000398</v>
      </c>
      <c r="U34" s="12">
        <f t="shared" si="34"/>
        <v>5.405405405405482E-3</v>
      </c>
      <c r="W34" s="102">
        <f t="shared" si="7"/>
        <v>74</v>
      </c>
      <c r="X34" s="103">
        <f t="shared" si="8"/>
        <v>73.599999999999994</v>
      </c>
      <c r="Y34" s="103">
        <f t="shared" si="9"/>
        <v>0.40000000000000568</v>
      </c>
      <c r="Z34" s="103">
        <f t="shared" si="10"/>
        <v>0</v>
      </c>
      <c r="AA34" s="104">
        <f t="shared" si="11"/>
        <v>0.40000000000000568</v>
      </c>
    </row>
    <row r="35" spans="1:28" ht="20.25" customHeight="1" x14ac:dyDescent="0.35">
      <c r="A35" s="294"/>
      <c r="B35" s="297"/>
      <c r="C35" s="40" t="s">
        <v>35</v>
      </c>
      <c r="D35" s="44">
        <v>2</v>
      </c>
      <c r="E35" s="44" t="s">
        <v>16</v>
      </c>
      <c r="F35" s="53">
        <v>2</v>
      </c>
      <c r="G35" s="45">
        <v>0.04</v>
      </c>
      <c r="H35" s="72">
        <f>+F35*B27</f>
        <v>1472</v>
      </c>
      <c r="I35" s="68">
        <v>1482</v>
      </c>
      <c r="J35" s="13">
        <f t="shared" si="29"/>
        <v>10</v>
      </c>
      <c r="K35" s="76">
        <v>1472</v>
      </c>
      <c r="L35" s="9">
        <f t="shared" si="32"/>
        <v>10</v>
      </c>
      <c r="M35" s="79">
        <v>25</v>
      </c>
      <c r="N35" s="33">
        <f t="shared" si="33"/>
        <v>1447</v>
      </c>
      <c r="O35" s="42">
        <f>+N35/B27</f>
        <v>1.9660326086956521</v>
      </c>
      <c r="P35" s="19">
        <f t="shared" si="36"/>
        <v>35</v>
      </c>
      <c r="Q35" s="82">
        <v>0</v>
      </c>
      <c r="R35" s="9">
        <f t="shared" si="35"/>
        <v>35</v>
      </c>
      <c r="S35" s="9">
        <f t="shared" si="30"/>
        <v>1.4000000000000001</v>
      </c>
      <c r="T35" s="9">
        <f t="shared" si="31"/>
        <v>70</v>
      </c>
      <c r="U35" s="12">
        <f t="shared" si="34"/>
        <v>2.3616734143049933E-2</v>
      </c>
      <c r="W35" s="105">
        <f t="shared" si="7"/>
        <v>59.28</v>
      </c>
      <c r="X35" s="106">
        <f t="shared" si="8"/>
        <v>58.88</v>
      </c>
      <c r="Y35" s="106">
        <f t="shared" si="9"/>
        <v>0.4</v>
      </c>
      <c r="Z35" s="106">
        <f t="shared" si="10"/>
        <v>1</v>
      </c>
      <c r="AA35" s="107">
        <f t="shared" si="11"/>
        <v>1.4000000000000001</v>
      </c>
    </row>
    <row r="36" spans="1:28" ht="23.25" customHeight="1" thickBot="1" x14ac:dyDescent="0.4">
      <c r="A36" s="27"/>
      <c r="B36" s="57"/>
      <c r="C36" s="29"/>
      <c r="D36" s="15"/>
      <c r="E36" s="15"/>
      <c r="F36" s="15"/>
      <c r="G36" s="15"/>
      <c r="H36" s="14"/>
      <c r="I36" s="15"/>
      <c r="J36" s="16"/>
      <c r="K36" s="14"/>
      <c r="L36" s="15"/>
      <c r="M36" s="16"/>
      <c r="N36" s="14"/>
      <c r="O36" s="16"/>
      <c r="P36" s="20"/>
      <c r="Q36" s="15"/>
      <c r="R36" s="15"/>
      <c r="S36" s="56">
        <f>SUM(S27:S35)</f>
        <v>49.8</v>
      </c>
      <c r="T36" s="56">
        <f>SUM(T27:T35)</f>
        <v>2111.3000000000011</v>
      </c>
      <c r="U36" s="16"/>
      <c r="W36" s="122">
        <f>SUM(W27:W35)</f>
        <v>740.78</v>
      </c>
      <c r="X36" s="109">
        <f t="shared" ref="X36:AA36" si="37">SUM(X27:X35)</f>
        <v>713.98</v>
      </c>
      <c r="Y36" s="109">
        <f t="shared" si="37"/>
        <v>26.799999999999997</v>
      </c>
      <c r="Z36" s="110">
        <f t="shared" si="37"/>
        <v>41</v>
      </c>
      <c r="AA36" s="114">
        <f t="shared" si="37"/>
        <v>49.8</v>
      </c>
      <c r="AB36" s="94"/>
    </row>
    <row r="37" spans="1:28" ht="31.5" customHeight="1" thickBot="1" x14ac:dyDescent="0.4">
      <c r="A37" s="58" t="s">
        <v>42</v>
      </c>
      <c r="B37" s="32">
        <f>+B4+B12+B22+B27</f>
        <v>7903</v>
      </c>
      <c r="C37" s="29"/>
      <c r="D37" s="15"/>
      <c r="E37" s="15"/>
      <c r="F37" s="15"/>
      <c r="G37" s="15"/>
      <c r="H37" s="14"/>
      <c r="I37" s="15"/>
      <c r="J37" s="16"/>
      <c r="K37" s="14"/>
      <c r="L37" s="15"/>
      <c r="M37" s="16"/>
      <c r="N37" s="14"/>
      <c r="O37" s="16"/>
      <c r="P37" s="20"/>
      <c r="Q37" s="15"/>
      <c r="R37" s="17"/>
      <c r="S37" s="85">
        <f>+S36+S26+S21+S11</f>
        <v>353.79999999999995</v>
      </c>
      <c r="T37" s="85">
        <f>+T36+T26+T21+T11</f>
        <v>17841</v>
      </c>
      <c r="U37" s="62"/>
      <c r="W37" s="108">
        <f>+W11+W21+W26+W36</f>
        <v>6063.9800000000005</v>
      </c>
      <c r="X37" s="119">
        <f t="shared" ref="X37:AA37" si="38">+X11+X21+X26+X36</f>
        <v>5836.880000000001</v>
      </c>
      <c r="Y37" s="119">
        <f t="shared" si="38"/>
        <v>227.10000000000002</v>
      </c>
      <c r="Z37" s="121">
        <f t="shared" si="38"/>
        <v>400.5</v>
      </c>
      <c r="AA37" s="120">
        <f t="shared" si="38"/>
        <v>353.8</v>
      </c>
      <c r="AB37" s="94"/>
    </row>
    <row r="38" spans="1:28" x14ac:dyDescent="0.35">
      <c r="B38" s="59"/>
      <c r="Y38" s="63"/>
    </row>
    <row r="39" spans="1:28" ht="15" thickBot="1" x14ac:dyDescent="0.4">
      <c r="W39" s="63"/>
      <c r="X39" s="63"/>
      <c r="Y39" s="63"/>
      <c r="Z39" s="63"/>
      <c r="AA39" s="63"/>
    </row>
    <row r="40" spans="1:28" ht="18" customHeight="1" x14ac:dyDescent="0.35">
      <c r="A40" s="271"/>
      <c r="B40" s="271"/>
      <c r="C40" s="271"/>
      <c r="D40" s="271"/>
      <c r="E40" s="271"/>
      <c r="F40" s="271"/>
      <c r="S40" s="341" t="s">
        <v>214</v>
      </c>
      <c r="T40" s="342"/>
      <c r="U40" s="342"/>
      <c r="V40" s="342"/>
      <c r="W40" s="342"/>
      <c r="X40" s="342"/>
      <c r="Y40" s="342"/>
      <c r="Z40" s="342"/>
      <c r="AA40" s="343"/>
    </row>
    <row r="41" spans="1:28" ht="36.75" customHeight="1" x14ac:dyDescent="0.35">
      <c r="A41" s="255"/>
      <c r="B41" s="255"/>
      <c r="C41" s="255"/>
      <c r="D41" s="260"/>
      <c r="E41" s="260"/>
      <c r="F41" s="261"/>
      <c r="O41" s="255"/>
      <c r="P41" s="255"/>
      <c r="S41" s="7" t="s">
        <v>6</v>
      </c>
      <c r="T41" s="8" t="s">
        <v>7</v>
      </c>
      <c r="U41" s="60" t="s">
        <v>162</v>
      </c>
      <c r="V41" s="60" t="s">
        <v>3</v>
      </c>
      <c r="W41" s="60" t="s">
        <v>28</v>
      </c>
      <c r="X41" s="60" t="s">
        <v>163</v>
      </c>
      <c r="Y41" s="60" t="s">
        <v>164</v>
      </c>
      <c r="Z41" s="258" t="s">
        <v>165</v>
      </c>
      <c r="AA41" s="61" t="s">
        <v>166</v>
      </c>
    </row>
    <row r="42" spans="1:28" ht="29.25" customHeight="1" x14ac:dyDescent="0.35">
      <c r="A42" s="262"/>
      <c r="B42" s="263"/>
      <c r="C42" s="264"/>
      <c r="D42" s="264"/>
      <c r="E42" s="265"/>
      <c r="F42" s="266"/>
      <c r="O42" s="256"/>
      <c r="P42" s="256"/>
      <c r="S42" s="91" t="s">
        <v>47</v>
      </c>
      <c r="T42" s="35">
        <f>+B4</f>
        <v>2717</v>
      </c>
      <c r="U42" s="254">
        <f>+W11</f>
        <v>1914.7</v>
      </c>
      <c r="V42" s="254">
        <f t="shared" ref="V42:Y42" si="39">+X11</f>
        <v>1910.4</v>
      </c>
      <c r="W42" s="254">
        <f t="shared" si="39"/>
        <v>4.3</v>
      </c>
      <c r="X42" s="254">
        <f t="shared" si="39"/>
        <v>84</v>
      </c>
      <c r="Y42" s="254">
        <f t="shared" si="39"/>
        <v>75.8</v>
      </c>
      <c r="Z42" s="95">
        <f>+Y42/T42</f>
        <v>2.789841737210158E-2</v>
      </c>
      <c r="AA42" s="253">
        <f>+Y42/U42</f>
        <v>3.9588447276335717E-2</v>
      </c>
    </row>
    <row r="43" spans="1:28" ht="29.25" customHeight="1" x14ac:dyDescent="0.35">
      <c r="A43" s="262"/>
      <c r="B43" s="263"/>
      <c r="C43" s="263"/>
      <c r="D43" s="264"/>
      <c r="E43" s="265"/>
      <c r="F43" s="266"/>
      <c r="O43" s="256"/>
      <c r="P43" s="256"/>
      <c r="Q43" s="133"/>
      <c r="R43" s="134"/>
      <c r="S43" s="91" t="s">
        <v>48</v>
      </c>
      <c r="T43" s="35">
        <f>+B12</f>
        <v>2610</v>
      </c>
      <c r="U43" s="254">
        <f>+W21</f>
        <v>2725.4</v>
      </c>
      <c r="V43" s="254">
        <f t="shared" ref="V43:Y43" si="40">+X21</f>
        <v>2531.6999999999998</v>
      </c>
      <c r="W43" s="254">
        <f t="shared" si="40"/>
        <v>193.7</v>
      </c>
      <c r="X43" s="254">
        <f t="shared" si="40"/>
        <v>263.60000000000002</v>
      </c>
      <c r="Y43" s="254">
        <f t="shared" si="40"/>
        <v>215.09999999999997</v>
      </c>
      <c r="Z43" s="95">
        <f t="shared" ref="Z43:Z45" si="41">+Y43/T43</f>
        <v>8.2413793103448263E-2</v>
      </c>
      <c r="AA43" s="253">
        <f t="shared" ref="AA43:AA45" si="42">+Y43/U43</f>
        <v>7.8924194613634674E-2</v>
      </c>
    </row>
    <row r="44" spans="1:28" ht="29.25" customHeight="1" x14ac:dyDescent="0.35">
      <c r="A44" s="262"/>
      <c r="B44" s="263"/>
      <c r="C44" s="263"/>
      <c r="D44" s="264"/>
      <c r="E44" s="265"/>
      <c r="F44" s="266"/>
      <c r="O44" s="256"/>
      <c r="P44" s="256"/>
      <c r="S44" s="91" t="s">
        <v>49</v>
      </c>
      <c r="T44" s="35">
        <f>+B22</f>
        <v>1840</v>
      </c>
      <c r="U44" s="254">
        <f>+W26</f>
        <v>683.1</v>
      </c>
      <c r="V44" s="254">
        <f t="shared" ref="V44:Y44" si="43">+X26</f>
        <v>680.8</v>
      </c>
      <c r="W44" s="254">
        <f t="shared" si="43"/>
        <v>2.2999999999999998</v>
      </c>
      <c r="X44" s="254">
        <f t="shared" si="43"/>
        <v>11.9</v>
      </c>
      <c r="Y44" s="254">
        <f t="shared" si="43"/>
        <v>13.1</v>
      </c>
      <c r="Z44" s="95">
        <f t="shared" si="41"/>
        <v>7.1195652173913042E-3</v>
      </c>
      <c r="AA44" s="253">
        <f t="shared" si="42"/>
        <v>1.9177280046845262E-2</v>
      </c>
    </row>
    <row r="45" spans="1:28" ht="29.25" customHeight="1" x14ac:dyDescent="0.35">
      <c r="A45" s="262"/>
      <c r="B45" s="263"/>
      <c r="C45" s="264"/>
      <c r="D45" s="264"/>
      <c r="E45" s="265"/>
      <c r="F45" s="266"/>
      <c r="O45" s="256"/>
      <c r="P45" s="256"/>
      <c r="S45" s="91" t="s">
        <v>50</v>
      </c>
      <c r="T45" s="35">
        <f>+B27</f>
        <v>736</v>
      </c>
      <c r="U45" s="254">
        <f>+W36</f>
        <v>740.78</v>
      </c>
      <c r="V45" s="254">
        <f t="shared" ref="V45:Y45" si="44">+X36</f>
        <v>713.98</v>
      </c>
      <c r="W45" s="254">
        <f t="shared" si="44"/>
        <v>26.799999999999997</v>
      </c>
      <c r="X45" s="254">
        <f t="shared" si="44"/>
        <v>41</v>
      </c>
      <c r="Y45" s="254">
        <f t="shared" si="44"/>
        <v>49.8</v>
      </c>
      <c r="Z45" s="95">
        <f t="shared" si="41"/>
        <v>6.7663043478260868E-2</v>
      </c>
      <c r="AA45" s="253">
        <f t="shared" si="42"/>
        <v>6.7226436998839054E-2</v>
      </c>
    </row>
    <row r="46" spans="1:28" ht="29.25" customHeight="1" thickBot="1" x14ac:dyDescent="0.4">
      <c r="A46" s="267"/>
      <c r="B46" s="268"/>
      <c r="C46" s="268"/>
      <c r="D46" s="269"/>
      <c r="E46" s="270"/>
      <c r="F46" s="266"/>
      <c r="G46" s="259"/>
      <c r="O46" s="257"/>
      <c r="P46" s="257"/>
      <c r="S46" s="93" t="s">
        <v>51</v>
      </c>
      <c r="T46" s="96">
        <f>SUM(T42:T45)</f>
        <v>7903</v>
      </c>
      <c r="U46" s="272">
        <f>SUM(U42:U45)</f>
        <v>6063.9800000000005</v>
      </c>
      <c r="V46" s="272">
        <f t="shared" ref="V46:Y46" si="45">SUM(V42:V45)</f>
        <v>5836.880000000001</v>
      </c>
      <c r="W46" s="272">
        <f t="shared" si="45"/>
        <v>227.10000000000002</v>
      </c>
      <c r="X46" s="272">
        <f t="shared" si="45"/>
        <v>400.5</v>
      </c>
      <c r="Y46" s="272">
        <f t="shared" si="45"/>
        <v>353.8</v>
      </c>
      <c r="Z46" s="273">
        <f>+Y46/T46</f>
        <v>4.476780969252183E-2</v>
      </c>
      <c r="AA46" s="274">
        <f>+Y46/U46</f>
        <v>5.8344519605935376E-2</v>
      </c>
    </row>
    <row r="47" spans="1:28" x14ac:dyDescent="0.35">
      <c r="T47">
        <v>410</v>
      </c>
    </row>
    <row r="48" spans="1:28" x14ac:dyDescent="0.35">
      <c r="T48">
        <f>+T46+T47</f>
        <v>8313</v>
      </c>
    </row>
  </sheetData>
  <mergeCells count="16">
    <mergeCell ref="A1:F1"/>
    <mergeCell ref="A2:G2"/>
    <mergeCell ref="H2:J2"/>
    <mergeCell ref="K2:M2"/>
    <mergeCell ref="N2:O2"/>
    <mergeCell ref="A27:A35"/>
    <mergeCell ref="B27:B35"/>
    <mergeCell ref="S40:AA40"/>
    <mergeCell ref="W2:AA2"/>
    <mergeCell ref="A4:A10"/>
    <mergeCell ref="B4:B10"/>
    <mergeCell ref="A12:A20"/>
    <mergeCell ref="B12:B20"/>
    <mergeCell ref="A22:A25"/>
    <mergeCell ref="B22:B25"/>
    <mergeCell ref="P2:U2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83E3A-CF6A-41B7-B5BE-B83FA7E82474}">
  <dimension ref="A1:AC48"/>
  <sheetViews>
    <sheetView zoomScaleNormal="100" workbookViewId="0">
      <pane xSplit="7" ySplit="3" topLeftCell="O37" activePane="bottomRight" state="frozen"/>
      <selection pane="topRight" activeCell="H1" sqref="H1"/>
      <selection pane="bottomLeft" activeCell="A4" sqref="A4"/>
      <selection pane="bottomRight" activeCell="B27" sqref="B27:B35"/>
    </sheetView>
  </sheetViews>
  <sheetFormatPr defaultRowHeight="14.5" x14ac:dyDescent="0.35"/>
  <cols>
    <col min="1" max="1" width="11" customWidth="1"/>
    <col min="2" max="2" width="7.81640625" customWidth="1"/>
    <col min="3" max="3" width="20" customWidth="1"/>
    <col min="4" max="4" width="9.1796875" customWidth="1"/>
    <col min="5" max="5" width="9.26953125" customWidth="1"/>
    <col min="6" max="6" width="10" customWidth="1"/>
    <col min="7" max="7" width="8.1796875" customWidth="1"/>
    <col min="8" max="8" width="12.54296875" customWidth="1"/>
    <col min="9" max="9" width="12.453125" customWidth="1"/>
    <col min="10" max="10" width="11" customWidth="1"/>
    <col min="11" max="11" width="9.453125" customWidth="1"/>
    <col min="12" max="12" width="11" customWidth="1"/>
    <col min="13" max="13" width="13.54296875" customWidth="1"/>
    <col min="14" max="14" width="14.81640625" customWidth="1"/>
    <col min="15" max="15" width="16" customWidth="1"/>
    <col min="16" max="16" width="11.26953125" customWidth="1"/>
    <col min="17" max="18" width="9.54296875" customWidth="1"/>
    <col min="19" max="19" width="12.54296875" customWidth="1"/>
    <col min="20" max="20" width="9.453125" customWidth="1"/>
    <col min="21" max="21" width="12.7265625" customWidth="1"/>
    <col min="22" max="22" width="10" customWidth="1"/>
    <col min="23" max="23" width="11.453125" customWidth="1"/>
    <col min="24" max="24" width="11" customWidth="1"/>
    <col min="25" max="25" width="10.54296875" customWidth="1"/>
    <col min="26" max="26" width="11.26953125" customWidth="1"/>
    <col min="27" max="27" width="11.453125" customWidth="1"/>
    <col min="28" max="28" width="11.26953125" customWidth="1"/>
  </cols>
  <sheetData>
    <row r="1" spans="1:29" ht="22.5" customHeight="1" thickBot="1" x14ac:dyDescent="0.4">
      <c r="A1" s="308" t="s">
        <v>36</v>
      </c>
      <c r="B1" s="309"/>
      <c r="C1" s="309"/>
      <c r="D1" s="309"/>
      <c r="E1" s="309"/>
      <c r="F1" s="310"/>
    </row>
    <row r="2" spans="1:29" ht="22.5" customHeight="1" thickBot="1" x14ac:dyDescent="0.4">
      <c r="A2" s="311" t="s">
        <v>229</v>
      </c>
      <c r="B2" s="312"/>
      <c r="C2" s="312"/>
      <c r="D2" s="312"/>
      <c r="E2" s="312"/>
      <c r="F2" s="312"/>
      <c r="G2" s="313"/>
      <c r="H2" s="314" t="s">
        <v>22</v>
      </c>
      <c r="I2" s="315"/>
      <c r="J2" s="316"/>
      <c r="K2" s="317" t="s">
        <v>23</v>
      </c>
      <c r="L2" s="318"/>
      <c r="M2" s="319"/>
      <c r="N2" s="320" t="s">
        <v>24</v>
      </c>
      <c r="O2" s="321"/>
      <c r="P2" s="305" t="s">
        <v>25</v>
      </c>
      <c r="Q2" s="306"/>
      <c r="R2" s="306"/>
      <c r="S2" s="306"/>
      <c r="T2" s="306"/>
      <c r="U2" s="307"/>
      <c r="W2" s="280" t="s">
        <v>43</v>
      </c>
      <c r="X2" s="281"/>
      <c r="Y2" s="281"/>
      <c r="Z2" s="281"/>
      <c r="AA2" s="283"/>
      <c r="AB2" s="282"/>
    </row>
    <row r="3" spans="1:29" ht="58.5" thickBot="1" x14ac:dyDescent="0.4">
      <c r="A3" s="39" t="s">
        <v>6</v>
      </c>
      <c r="B3" s="38" t="s">
        <v>7</v>
      </c>
      <c r="C3" s="38" t="s">
        <v>0</v>
      </c>
      <c r="D3" s="37" t="s">
        <v>15</v>
      </c>
      <c r="E3" s="38" t="s">
        <v>1</v>
      </c>
      <c r="F3" s="36" t="s">
        <v>27</v>
      </c>
      <c r="G3" s="37" t="s">
        <v>19</v>
      </c>
      <c r="H3" s="25" t="s">
        <v>4</v>
      </c>
      <c r="I3" s="89" t="s">
        <v>44</v>
      </c>
      <c r="J3" s="26" t="s">
        <v>29</v>
      </c>
      <c r="K3" s="88" t="s">
        <v>3</v>
      </c>
      <c r="L3" s="1" t="s">
        <v>28</v>
      </c>
      <c r="M3" s="87" t="s">
        <v>5</v>
      </c>
      <c r="N3" s="25" t="s">
        <v>20</v>
      </c>
      <c r="O3" s="275" t="s">
        <v>226</v>
      </c>
      <c r="P3" s="24" t="s">
        <v>8</v>
      </c>
      <c r="Q3" s="86" t="s">
        <v>9</v>
      </c>
      <c r="R3" s="2" t="s">
        <v>10</v>
      </c>
      <c r="S3" s="1" t="s">
        <v>26</v>
      </c>
      <c r="T3" s="1" t="s">
        <v>11</v>
      </c>
      <c r="U3" s="1" t="s">
        <v>30</v>
      </c>
      <c r="W3" s="43" t="s">
        <v>2</v>
      </c>
      <c r="X3" s="60" t="s">
        <v>3</v>
      </c>
      <c r="Y3" s="60" t="s">
        <v>28</v>
      </c>
      <c r="Z3" s="60" t="s">
        <v>5</v>
      </c>
      <c r="AA3" s="60" t="s">
        <v>233</v>
      </c>
      <c r="AB3" s="61" t="s">
        <v>26</v>
      </c>
    </row>
    <row r="4" spans="1:29" ht="20.25" customHeight="1" x14ac:dyDescent="0.35">
      <c r="A4" s="301" t="s">
        <v>37</v>
      </c>
      <c r="B4" s="303">
        <v>2374</v>
      </c>
      <c r="C4" s="34" t="s">
        <v>55</v>
      </c>
      <c r="D4" s="4">
        <v>2</v>
      </c>
      <c r="E4" s="30" t="s">
        <v>16</v>
      </c>
      <c r="F4" s="47">
        <v>2</v>
      </c>
      <c r="G4" s="5">
        <v>0.05</v>
      </c>
      <c r="H4" s="71">
        <f>+F4*B4</f>
        <v>4748</v>
      </c>
      <c r="I4" s="67">
        <v>4768</v>
      </c>
      <c r="J4" s="64">
        <f>I4-H4</f>
        <v>20</v>
      </c>
      <c r="K4" s="75">
        <v>4748</v>
      </c>
      <c r="L4" s="127">
        <f>+I4-K4</f>
        <v>20</v>
      </c>
      <c r="M4" s="78">
        <v>50</v>
      </c>
      <c r="N4" s="128">
        <f>+K4-M4</f>
        <v>4698</v>
      </c>
      <c r="O4" s="64">
        <f>+N4/B4</f>
        <v>1.9789385004212301</v>
      </c>
      <c r="P4" s="18">
        <f>+L4+M4</f>
        <v>70</v>
      </c>
      <c r="Q4" s="81">
        <v>30</v>
      </c>
      <c r="R4" s="3">
        <f t="shared" ref="R4:R10" si="0">+P4-Q4</f>
        <v>40</v>
      </c>
      <c r="S4" s="3">
        <f t="shared" ref="S4:S10" si="1">+R4*G4</f>
        <v>2</v>
      </c>
      <c r="T4" s="3">
        <f t="shared" ref="T4:T10" si="2">+R4*D4</f>
        <v>80</v>
      </c>
      <c r="U4" s="6">
        <f>+R4/I4</f>
        <v>8.389261744966443E-3</v>
      </c>
      <c r="W4" s="102">
        <f>+I4*G4</f>
        <v>238.4</v>
      </c>
      <c r="X4" s="103">
        <f>+K4*G4</f>
        <v>237.4</v>
      </c>
      <c r="Y4" s="103">
        <f>+L4*G4</f>
        <v>1</v>
      </c>
      <c r="Z4" s="103">
        <f>+M4*G4</f>
        <v>2.5</v>
      </c>
      <c r="AA4" s="284">
        <f>+Q4*G4</f>
        <v>1.5</v>
      </c>
      <c r="AB4" s="104">
        <f t="shared" ref="AB4:AB10" si="3">+R4*G4</f>
        <v>2</v>
      </c>
    </row>
    <row r="5" spans="1:29" ht="20.25" customHeight="1" x14ac:dyDescent="0.35">
      <c r="A5" s="302"/>
      <c r="B5" s="304"/>
      <c r="C5" s="35" t="s">
        <v>230</v>
      </c>
      <c r="D5" s="10">
        <v>4</v>
      </c>
      <c r="E5" s="31" t="s">
        <v>16</v>
      </c>
      <c r="F5" s="48">
        <v>2</v>
      </c>
      <c r="G5" s="11">
        <v>0.05</v>
      </c>
      <c r="H5" s="70">
        <f>+F5*B4</f>
        <v>4748</v>
      </c>
      <c r="I5" s="68">
        <v>4758</v>
      </c>
      <c r="J5" s="13">
        <f t="shared" ref="J5:J10" si="4">I5-H5</f>
        <v>10</v>
      </c>
      <c r="K5" s="76">
        <v>4748</v>
      </c>
      <c r="L5" s="9">
        <f t="shared" ref="L5:L10" si="5">+I5-K5</f>
        <v>10</v>
      </c>
      <c r="M5" s="79">
        <v>30</v>
      </c>
      <c r="N5" s="23">
        <f t="shared" ref="N5:N10" si="6">+K5-M5</f>
        <v>4718</v>
      </c>
      <c r="O5" s="65">
        <f>+N5/B4</f>
        <v>1.9873631002527381</v>
      </c>
      <c r="P5" s="19">
        <f>+L5+M5</f>
        <v>40</v>
      </c>
      <c r="Q5" s="82">
        <v>20</v>
      </c>
      <c r="R5" s="9">
        <f t="shared" si="0"/>
        <v>20</v>
      </c>
      <c r="S5" s="9">
        <f>+R5*G5</f>
        <v>1</v>
      </c>
      <c r="T5" s="9">
        <f t="shared" si="2"/>
        <v>80</v>
      </c>
      <c r="U5" s="12">
        <f t="shared" ref="U5:U9" si="7">+R5/I5</f>
        <v>4.2034468263976461E-3</v>
      </c>
      <c r="W5" s="102">
        <f t="shared" ref="W5:W35" si="8">+I5*G5</f>
        <v>237.9</v>
      </c>
      <c r="X5" s="103">
        <f t="shared" ref="X5:X35" si="9">+K5*G5</f>
        <v>237.4</v>
      </c>
      <c r="Y5" s="103">
        <f t="shared" ref="Y5:Y35" si="10">+L5*G5</f>
        <v>0.5</v>
      </c>
      <c r="Z5" s="103">
        <f t="shared" ref="Z5:Z35" si="11">+M5*G5</f>
        <v>1.5</v>
      </c>
      <c r="AA5" s="284">
        <f t="shared" ref="AA5:AA35" si="12">+Q5*G5</f>
        <v>1</v>
      </c>
      <c r="AB5" s="104">
        <f t="shared" si="3"/>
        <v>1</v>
      </c>
    </row>
    <row r="6" spans="1:29" ht="20.25" customHeight="1" x14ac:dyDescent="0.35">
      <c r="A6" s="302"/>
      <c r="B6" s="304"/>
      <c r="C6" s="35" t="s">
        <v>88</v>
      </c>
      <c r="D6" s="10">
        <v>40</v>
      </c>
      <c r="E6" s="31" t="s">
        <v>17</v>
      </c>
      <c r="F6" s="49">
        <v>0.15</v>
      </c>
      <c r="G6" s="11">
        <v>1</v>
      </c>
      <c r="H6" s="72">
        <f>+F6*B4</f>
        <v>356.09999999999997</v>
      </c>
      <c r="I6" s="68">
        <v>358.5</v>
      </c>
      <c r="J6" s="13">
        <f t="shared" si="4"/>
        <v>2.4000000000000341</v>
      </c>
      <c r="K6" s="76">
        <v>356.1</v>
      </c>
      <c r="L6" s="9">
        <f t="shared" si="5"/>
        <v>2.3999999999999773</v>
      </c>
      <c r="M6" s="79">
        <v>16.5</v>
      </c>
      <c r="N6" s="33">
        <f t="shared" si="6"/>
        <v>339.6</v>
      </c>
      <c r="O6" s="42">
        <f>+N6/B4</f>
        <v>0.14304970513900592</v>
      </c>
      <c r="P6" s="19">
        <f>+L6+M6</f>
        <v>18.899999999999977</v>
      </c>
      <c r="Q6" s="82">
        <v>5</v>
      </c>
      <c r="R6" s="9">
        <f t="shared" si="0"/>
        <v>13.899999999999977</v>
      </c>
      <c r="S6" s="9">
        <f t="shared" si="1"/>
        <v>13.899999999999977</v>
      </c>
      <c r="T6" s="9">
        <f t="shared" si="2"/>
        <v>555.99999999999909</v>
      </c>
      <c r="U6" s="12">
        <f t="shared" si="7"/>
        <v>3.8772663877266321E-2</v>
      </c>
      <c r="W6" s="102">
        <f t="shared" si="8"/>
        <v>358.5</v>
      </c>
      <c r="X6" s="103">
        <f t="shared" si="9"/>
        <v>356.1</v>
      </c>
      <c r="Y6" s="103">
        <f t="shared" si="10"/>
        <v>2.3999999999999773</v>
      </c>
      <c r="Z6" s="103">
        <f t="shared" si="11"/>
        <v>16.5</v>
      </c>
      <c r="AA6" s="284">
        <f t="shared" si="12"/>
        <v>5</v>
      </c>
      <c r="AB6" s="104">
        <f t="shared" si="3"/>
        <v>13.899999999999977</v>
      </c>
    </row>
    <row r="7" spans="1:29" ht="20.25" customHeight="1" x14ac:dyDescent="0.35">
      <c r="A7" s="302"/>
      <c r="B7" s="304"/>
      <c r="C7" s="35" t="s">
        <v>12</v>
      </c>
      <c r="D7" s="10">
        <v>45</v>
      </c>
      <c r="E7" s="31" t="s">
        <v>17</v>
      </c>
      <c r="F7" s="49">
        <v>0.1</v>
      </c>
      <c r="G7" s="11">
        <v>1</v>
      </c>
      <c r="H7" s="72">
        <f>+F7*B4</f>
        <v>237.4</v>
      </c>
      <c r="I7" s="68">
        <v>240</v>
      </c>
      <c r="J7" s="13">
        <f t="shared" si="4"/>
        <v>2.5999999999999943</v>
      </c>
      <c r="K7" s="76">
        <v>237.4</v>
      </c>
      <c r="L7" s="9">
        <f t="shared" si="5"/>
        <v>2.5999999999999943</v>
      </c>
      <c r="M7" s="79">
        <v>12</v>
      </c>
      <c r="N7" s="23">
        <f t="shared" si="6"/>
        <v>225.4</v>
      </c>
      <c r="O7" s="42">
        <f>+N7/B4</f>
        <v>9.4945240101095202E-2</v>
      </c>
      <c r="P7" s="19">
        <f t="shared" ref="P7:P10" si="13">+L7+M7</f>
        <v>14.599999999999994</v>
      </c>
      <c r="Q7" s="82">
        <v>0</v>
      </c>
      <c r="R7" s="9">
        <f t="shared" si="0"/>
        <v>14.599999999999994</v>
      </c>
      <c r="S7" s="9">
        <f t="shared" si="1"/>
        <v>14.599999999999994</v>
      </c>
      <c r="T7" s="9">
        <f t="shared" si="2"/>
        <v>656.99999999999977</v>
      </c>
      <c r="U7" s="12">
        <f t="shared" si="7"/>
        <v>6.0833333333333309E-2</v>
      </c>
      <c r="W7" s="102">
        <f t="shared" si="8"/>
        <v>240</v>
      </c>
      <c r="X7" s="103">
        <f t="shared" si="9"/>
        <v>237.4</v>
      </c>
      <c r="Y7" s="103">
        <f t="shared" si="10"/>
        <v>2.5999999999999943</v>
      </c>
      <c r="Z7" s="103">
        <f t="shared" si="11"/>
        <v>12</v>
      </c>
      <c r="AA7" s="284">
        <f t="shared" si="12"/>
        <v>0</v>
      </c>
      <c r="AB7" s="104">
        <f t="shared" si="3"/>
        <v>14.599999999999994</v>
      </c>
    </row>
    <row r="8" spans="1:29" ht="20.25" customHeight="1" x14ac:dyDescent="0.35">
      <c r="A8" s="302"/>
      <c r="B8" s="304"/>
      <c r="C8" s="35" t="s">
        <v>13</v>
      </c>
      <c r="D8" s="10">
        <v>52</v>
      </c>
      <c r="E8" s="31" t="s">
        <v>17</v>
      </c>
      <c r="F8" s="49">
        <v>0.1</v>
      </c>
      <c r="G8" s="11">
        <v>1</v>
      </c>
      <c r="H8" s="72">
        <f>+F8*B4</f>
        <v>237.4</v>
      </c>
      <c r="I8" s="68">
        <v>240</v>
      </c>
      <c r="J8" s="13">
        <f t="shared" si="4"/>
        <v>2.5999999999999943</v>
      </c>
      <c r="K8" s="76">
        <v>237.4</v>
      </c>
      <c r="L8" s="9">
        <f>+I8-K8</f>
        <v>2.5999999999999943</v>
      </c>
      <c r="M8" s="79">
        <v>14.5</v>
      </c>
      <c r="N8" s="33">
        <f t="shared" si="6"/>
        <v>222.9</v>
      </c>
      <c r="O8" s="42">
        <f>+N8/B4</f>
        <v>9.3892165122156701E-2</v>
      </c>
      <c r="P8" s="19">
        <f t="shared" si="13"/>
        <v>17.099999999999994</v>
      </c>
      <c r="Q8" s="82">
        <v>0</v>
      </c>
      <c r="R8" s="9">
        <f t="shared" si="0"/>
        <v>17.099999999999994</v>
      </c>
      <c r="S8" s="9">
        <f t="shared" si="1"/>
        <v>17.099999999999994</v>
      </c>
      <c r="T8" s="9">
        <f t="shared" si="2"/>
        <v>889.1999999999997</v>
      </c>
      <c r="U8" s="12">
        <f t="shared" si="7"/>
        <v>7.124999999999998E-2</v>
      </c>
      <c r="W8" s="102">
        <f t="shared" si="8"/>
        <v>240</v>
      </c>
      <c r="X8" s="103">
        <f t="shared" si="9"/>
        <v>237.4</v>
      </c>
      <c r="Y8" s="103">
        <f t="shared" si="10"/>
        <v>2.5999999999999943</v>
      </c>
      <c r="Z8" s="103">
        <f t="shared" si="11"/>
        <v>14.5</v>
      </c>
      <c r="AA8" s="284">
        <f t="shared" si="12"/>
        <v>0</v>
      </c>
      <c r="AB8" s="104">
        <f t="shared" si="3"/>
        <v>17.099999999999994</v>
      </c>
    </row>
    <row r="9" spans="1:29" ht="20.25" customHeight="1" x14ac:dyDescent="0.35">
      <c r="A9" s="302"/>
      <c r="B9" s="304"/>
      <c r="C9" s="35" t="s">
        <v>112</v>
      </c>
      <c r="D9" s="10">
        <v>90</v>
      </c>
      <c r="E9" s="31" t="s">
        <v>17</v>
      </c>
      <c r="F9" s="49">
        <v>0.1</v>
      </c>
      <c r="G9" s="11">
        <v>1</v>
      </c>
      <c r="H9" s="73">
        <f>+F9*B4</f>
        <v>237.4</v>
      </c>
      <c r="I9" s="68">
        <v>238.5</v>
      </c>
      <c r="J9" s="13">
        <f t="shared" si="4"/>
        <v>1.0999999999999943</v>
      </c>
      <c r="K9" s="76">
        <v>237.4</v>
      </c>
      <c r="L9" s="54">
        <f>+I9-K9</f>
        <v>1.0999999999999943</v>
      </c>
      <c r="M9" s="79">
        <v>9</v>
      </c>
      <c r="N9" s="23">
        <f t="shared" si="6"/>
        <v>228.4</v>
      </c>
      <c r="O9" s="42">
        <f>+N9/B4</f>
        <v>9.6208930075821403E-2</v>
      </c>
      <c r="P9" s="19">
        <f t="shared" si="13"/>
        <v>10.099999999999994</v>
      </c>
      <c r="Q9" s="82">
        <v>0</v>
      </c>
      <c r="R9" s="9">
        <f t="shared" si="0"/>
        <v>10.099999999999994</v>
      </c>
      <c r="S9" s="9">
        <f t="shared" si="1"/>
        <v>10.099999999999994</v>
      </c>
      <c r="T9" s="9">
        <f t="shared" si="2"/>
        <v>908.99999999999955</v>
      </c>
      <c r="U9" s="12">
        <f t="shared" si="7"/>
        <v>4.2348008385744214E-2</v>
      </c>
      <c r="W9" s="102">
        <f t="shared" si="8"/>
        <v>238.5</v>
      </c>
      <c r="X9" s="103">
        <f t="shared" si="9"/>
        <v>237.4</v>
      </c>
      <c r="Y9" s="103">
        <f t="shared" si="10"/>
        <v>1.0999999999999943</v>
      </c>
      <c r="Z9" s="103">
        <f t="shared" si="11"/>
        <v>9</v>
      </c>
      <c r="AA9" s="284">
        <f t="shared" si="12"/>
        <v>0</v>
      </c>
      <c r="AB9" s="104">
        <f t="shared" si="3"/>
        <v>10.099999999999994</v>
      </c>
    </row>
    <row r="10" spans="1:29" ht="20.25" customHeight="1" x14ac:dyDescent="0.35">
      <c r="A10" s="302"/>
      <c r="B10" s="304"/>
      <c r="C10" s="35" t="s">
        <v>14</v>
      </c>
      <c r="D10" s="10">
        <v>60</v>
      </c>
      <c r="E10" s="31" t="s">
        <v>18</v>
      </c>
      <c r="F10" s="49">
        <v>0.1</v>
      </c>
      <c r="G10" s="11">
        <v>1</v>
      </c>
      <c r="H10" s="72">
        <f>+F10*B4</f>
        <v>237.4</v>
      </c>
      <c r="I10" s="68">
        <v>240</v>
      </c>
      <c r="J10" s="13">
        <f t="shared" si="4"/>
        <v>2.5999999999999943</v>
      </c>
      <c r="K10" s="76">
        <v>237.4</v>
      </c>
      <c r="L10" s="9">
        <f t="shared" si="5"/>
        <v>2.5999999999999943</v>
      </c>
      <c r="M10" s="79">
        <v>4.5</v>
      </c>
      <c r="N10" s="33">
        <f t="shared" si="6"/>
        <v>232.9</v>
      </c>
      <c r="O10" s="42">
        <f>+N10/B4</f>
        <v>9.8104465037910704E-2</v>
      </c>
      <c r="P10" s="19">
        <f t="shared" si="13"/>
        <v>7.0999999999999943</v>
      </c>
      <c r="Q10" s="82">
        <v>0</v>
      </c>
      <c r="R10" s="9">
        <f t="shared" si="0"/>
        <v>7.0999999999999943</v>
      </c>
      <c r="S10" s="9">
        <f t="shared" si="1"/>
        <v>7.0999999999999943</v>
      </c>
      <c r="T10" s="9">
        <f t="shared" si="2"/>
        <v>425.99999999999966</v>
      </c>
      <c r="U10" s="12">
        <f>+R10/I10</f>
        <v>2.9583333333333309E-2</v>
      </c>
      <c r="W10" s="115">
        <f t="shared" si="8"/>
        <v>240</v>
      </c>
      <c r="X10" s="116">
        <f t="shared" si="9"/>
        <v>237.4</v>
      </c>
      <c r="Y10" s="116">
        <f t="shared" si="10"/>
        <v>2.5999999999999943</v>
      </c>
      <c r="Z10" s="116">
        <f t="shared" si="11"/>
        <v>4.5</v>
      </c>
      <c r="AA10" s="284">
        <f t="shared" si="12"/>
        <v>0</v>
      </c>
      <c r="AB10" s="117">
        <f t="shared" si="3"/>
        <v>7.0999999999999943</v>
      </c>
    </row>
    <row r="11" spans="1:29" ht="20.25" customHeight="1" thickBot="1" x14ac:dyDescent="0.4">
      <c r="A11" s="27"/>
      <c r="B11" s="51"/>
      <c r="C11" s="50"/>
      <c r="D11" s="15"/>
      <c r="E11" s="15"/>
      <c r="F11" s="15"/>
      <c r="G11" s="15"/>
      <c r="H11" s="74"/>
      <c r="I11" s="69"/>
      <c r="J11" s="16"/>
      <c r="K11" s="77"/>
      <c r="L11" s="15"/>
      <c r="M11" s="80"/>
      <c r="N11" s="14"/>
      <c r="O11" s="16"/>
      <c r="P11" s="20"/>
      <c r="Q11" s="83"/>
      <c r="R11" s="15"/>
      <c r="S11" s="84">
        <f>SUM(S4:S10)</f>
        <v>65.799999999999955</v>
      </c>
      <c r="T11" s="56">
        <f>SUM(T4:T10)</f>
        <v>3597.1999999999975</v>
      </c>
      <c r="U11" s="16"/>
      <c r="W11" s="118">
        <f>SUM(W4:W10)</f>
        <v>1793.3</v>
      </c>
      <c r="X11" s="109">
        <f t="shared" ref="X11:AB11" si="14">SUM(X4:X10)</f>
        <v>1780.5000000000005</v>
      </c>
      <c r="Y11" s="109">
        <f t="shared" si="14"/>
        <v>12.799999999999955</v>
      </c>
      <c r="Z11" s="110">
        <f t="shared" si="14"/>
        <v>60.5</v>
      </c>
      <c r="AA11" s="289">
        <f>SUM(AA4:AA10)</f>
        <v>7.5</v>
      </c>
      <c r="AB11" s="114">
        <f t="shared" si="14"/>
        <v>65.799999999999955</v>
      </c>
      <c r="AC11" s="94"/>
    </row>
    <row r="12" spans="1:29" ht="20.25" customHeight="1" x14ac:dyDescent="0.35">
      <c r="A12" s="292" t="s">
        <v>38</v>
      </c>
      <c r="B12" s="295">
        <v>2256</v>
      </c>
      <c r="C12" s="34" t="s">
        <v>31</v>
      </c>
      <c r="D12" s="4">
        <v>20</v>
      </c>
      <c r="E12" s="30" t="s">
        <v>17</v>
      </c>
      <c r="F12" s="52">
        <v>0.4</v>
      </c>
      <c r="G12" s="5">
        <v>1</v>
      </c>
      <c r="H12" s="71">
        <f>+F12*B12</f>
        <v>902.40000000000009</v>
      </c>
      <c r="I12" s="67">
        <v>915</v>
      </c>
      <c r="J12" s="64">
        <f>I12-H12</f>
        <v>12.599999999999909</v>
      </c>
      <c r="K12" s="75">
        <v>902.5</v>
      </c>
      <c r="L12" s="3">
        <f>+I12-K12</f>
        <v>12.5</v>
      </c>
      <c r="M12" s="78">
        <v>80</v>
      </c>
      <c r="N12" s="21">
        <f>+K12-M12</f>
        <v>822.5</v>
      </c>
      <c r="O12" s="276">
        <f>+N12/B12</f>
        <v>0.36458333333333331</v>
      </c>
      <c r="P12" s="18">
        <f>+L12+M12</f>
        <v>92.5</v>
      </c>
      <c r="Q12" s="81">
        <v>60</v>
      </c>
      <c r="R12" s="3">
        <f>+P12-Q12</f>
        <v>32.5</v>
      </c>
      <c r="S12" s="3">
        <f>+R12*G12</f>
        <v>32.5</v>
      </c>
      <c r="T12" s="3">
        <f t="shared" ref="T12:T20" si="15">+R12*D12</f>
        <v>650</v>
      </c>
      <c r="U12" s="6">
        <f>+R12/I12</f>
        <v>3.5519125683060107E-2</v>
      </c>
      <c r="W12" s="111">
        <f>+I12*G12</f>
        <v>915</v>
      </c>
      <c r="X12" s="112">
        <f t="shared" si="9"/>
        <v>902.5</v>
      </c>
      <c r="Y12" s="112">
        <f t="shared" si="10"/>
        <v>12.5</v>
      </c>
      <c r="Z12" s="112">
        <f t="shared" si="11"/>
        <v>80</v>
      </c>
      <c r="AA12" s="284">
        <f t="shared" si="12"/>
        <v>60</v>
      </c>
      <c r="AB12" s="113">
        <f t="shared" ref="AB12:AB20" si="16">+R12*G12</f>
        <v>32.5</v>
      </c>
    </row>
    <row r="13" spans="1:29" ht="20.25" customHeight="1" x14ac:dyDescent="0.35">
      <c r="A13" s="293"/>
      <c r="B13" s="296"/>
      <c r="C13" s="35" t="s">
        <v>231</v>
      </c>
      <c r="D13" s="10">
        <v>65</v>
      </c>
      <c r="E13" s="31" t="s">
        <v>17</v>
      </c>
      <c r="F13" s="49">
        <v>0.08</v>
      </c>
      <c r="G13" s="11">
        <v>1</v>
      </c>
      <c r="H13" s="70">
        <f>+F13*B12</f>
        <v>180.48</v>
      </c>
      <c r="I13" s="68">
        <v>181.5</v>
      </c>
      <c r="J13" s="65">
        <f>+I13-H13</f>
        <v>1.0200000000000102</v>
      </c>
      <c r="K13" s="76">
        <v>180.5</v>
      </c>
      <c r="L13" s="9">
        <f>+I13-K13</f>
        <v>1</v>
      </c>
      <c r="M13" s="79">
        <v>17.5</v>
      </c>
      <c r="N13" s="23">
        <f>+K13-M13</f>
        <v>163</v>
      </c>
      <c r="O13" s="277">
        <f>+N13/B12</f>
        <v>7.225177304964539E-2</v>
      </c>
      <c r="P13" s="19">
        <f>+L13+M13</f>
        <v>18.5</v>
      </c>
      <c r="Q13" s="82">
        <v>0</v>
      </c>
      <c r="R13" s="9">
        <f t="shared" ref="R13:R20" si="17">+P13-Q13</f>
        <v>18.5</v>
      </c>
      <c r="S13" s="9">
        <f>+R13*G13</f>
        <v>18.5</v>
      </c>
      <c r="T13" s="9">
        <f t="shared" si="15"/>
        <v>1202.5</v>
      </c>
      <c r="U13" s="12">
        <f>+R13/I13</f>
        <v>0.10192837465564739</v>
      </c>
      <c r="W13" s="102">
        <f>+I13*G13</f>
        <v>181.5</v>
      </c>
      <c r="X13" s="103">
        <f t="shared" si="9"/>
        <v>180.5</v>
      </c>
      <c r="Y13" s="103">
        <f t="shared" si="10"/>
        <v>1</v>
      </c>
      <c r="Z13" s="103">
        <f>+M13*G13</f>
        <v>17.5</v>
      </c>
      <c r="AA13" s="284">
        <f t="shared" si="12"/>
        <v>0</v>
      </c>
      <c r="AB13" s="104">
        <f t="shared" si="16"/>
        <v>18.5</v>
      </c>
    </row>
    <row r="14" spans="1:29" ht="20.25" customHeight="1" x14ac:dyDescent="0.35">
      <c r="A14" s="293"/>
      <c r="B14" s="296"/>
      <c r="C14" s="35" t="s">
        <v>232</v>
      </c>
      <c r="D14" s="10">
        <v>85</v>
      </c>
      <c r="E14" s="31" t="s">
        <v>17</v>
      </c>
      <c r="F14" s="49">
        <v>0.08</v>
      </c>
      <c r="G14" s="11">
        <v>1</v>
      </c>
      <c r="H14" s="72">
        <f>+F14*B12</f>
        <v>180.48</v>
      </c>
      <c r="I14" s="68">
        <v>183.5</v>
      </c>
      <c r="J14" s="65">
        <f>+I14-H14</f>
        <v>3.0200000000000102</v>
      </c>
      <c r="K14" s="76">
        <v>180.5</v>
      </c>
      <c r="L14" s="9">
        <f t="shared" ref="L14:L20" si="18">+I14-K14</f>
        <v>3</v>
      </c>
      <c r="M14" s="79">
        <v>18.5</v>
      </c>
      <c r="N14" s="33">
        <f>+K14-M14</f>
        <v>162</v>
      </c>
      <c r="O14" s="277">
        <f>+N14/B12</f>
        <v>7.1808510638297879E-2</v>
      </c>
      <c r="P14" s="19">
        <f>+L14+M14</f>
        <v>21.5</v>
      </c>
      <c r="Q14" s="82">
        <v>0</v>
      </c>
      <c r="R14" s="9">
        <f t="shared" si="17"/>
        <v>21.5</v>
      </c>
      <c r="S14" s="9">
        <f t="shared" ref="S14:S20" si="19">+R14*G14</f>
        <v>21.5</v>
      </c>
      <c r="T14" s="9">
        <f t="shared" si="15"/>
        <v>1827.5</v>
      </c>
      <c r="U14" s="12">
        <f t="shared" ref="U14:U20" si="20">+R14/I14</f>
        <v>0.11716621253405994</v>
      </c>
      <c r="W14" s="102">
        <f t="shared" si="8"/>
        <v>183.5</v>
      </c>
      <c r="X14" s="103">
        <f t="shared" si="9"/>
        <v>180.5</v>
      </c>
      <c r="Y14" s="103">
        <f t="shared" si="10"/>
        <v>3</v>
      </c>
      <c r="Z14" s="103">
        <f>+M14*G14</f>
        <v>18.5</v>
      </c>
      <c r="AA14" s="284">
        <f t="shared" si="12"/>
        <v>0</v>
      </c>
      <c r="AB14" s="104">
        <f t="shared" si="16"/>
        <v>21.5</v>
      </c>
    </row>
    <row r="15" spans="1:29" ht="20.25" customHeight="1" x14ac:dyDescent="0.35">
      <c r="A15" s="293"/>
      <c r="B15" s="296"/>
      <c r="C15" s="35" t="s">
        <v>125</v>
      </c>
      <c r="D15" s="10">
        <v>55</v>
      </c>
      <c r="E15" s="31" t="s">
        <v>17</v>
      </c>
      <c r="F15" s="49">
        <v>0.08</v>
      </c>
      <c r="G15" s="11">
        <v>1</v>
      </c>
      <c r="H15" s="72">
        <f>+F15*B12</f>
        <v>180.48</v>
      </c>
      <c r="I15" s="68">
        <v>180.5</v>
      </c>
      <c r="J15" s="13">
        <f t="shared" ref="J15:J20" si="21">I15-H15</f>
        <v>2.0000000000010232E-2</v>
      </c>
      <c r="K15" s="76">
        <v>180.5</v>
      </c>
      <c r="L15" s="9">
        <f t="shared" si="18"/>
        <v>0</v>
      </c>
      <c r="M15" s="79">
        <v>11.5</v>
      </c>
      <c r="N15" s="23">
        <f t="shared" ref="N15:N20" si="22">+K15-M15</f>
        <v>169</v>
      </c>
      <c r="O15" s="277">
        <f>+N15/B12</f>
        <v>7.49113475177305E-2</v>
      </c>
      <c r="P15" s="19">
        <f t="shared" ref="P15:P20" si="23">+L15+M15</f>
        <v>11.5</v>
      </c>
      <c r="Q15" s="82">
        <v>0</v>
      </c>
      <c r="R15" s="9">
        <f t="shared" si="17"/>
        <v>11.5</v>
      </c>
      <c r="S15" s="9">
        <f t="shared" si="19"/>
        <v>11.5</v>
      </c>
      <c r="T15" s="9">
        <f t="shared" si="15"/>
        <v>632.5</v>
      </c>
      <c r="U15" s="12">
        <f t="shared" si="20"/>
        <v>6.3711911357340723E-2</v>
      </c>
      <c r="W15" s="102">
        <f t="shared" si="8"/>
        <v>180.5</v>
      </c>
      <c r="X15" s="103">
        <f t="shared" si="9"/>
        <v>180.5</v>
      </c>
      <c r="Y15" s="103">
        <f t="shared" si="10"/>
        <v>0</v>
      </c>
      <c r="Z15" s="103">
        <f t="shared" si="11"/>
        <v>11.5</v>
      </c>
      <c r="AA15" s="284">
        <f t="shared" si="12"/>
        <v>0</v>
      </c>
      <c r="AB15" s="104">
        <f t="shared" si="16"/>
        <v>11.5</v>
      </c>
    </row>
    <row r="16" spans="1:29" ht="20.25" customHeight="1" x14ac:dyDescent="0.35">
      <c r="A16" s="293"/>
      <c r="B16" s="296"/>
      <c r="C16" s="35" t="s">
        <v>32</v>
      </c>
      <c r="D16" s="10">
        <v>48</v>
      </c>
      <c r="E16" s="31" t="s">
        <v>18</v>
      </c>
      <c r="F16" s="49">
        <v>0.06</v>
      </c>
      <c r="G16" s="11">
        <v>1</v>
      </c>
      <c r="H16" s="72">
        <f>+F16*B12</f>
        <v>135.35999999999999</v>
      </c>
      <c r="I16" s="68">
        <v>136</v>
      </c>
      <c r="J16" s="13">
        <f t="shared" si="21"/>
        <v>0.64000000000001478</v>
      </c>
      <c r="K16" s="76">
        <v>135.4</v>
      </c>
      <c r="L16" s="9">
        <f t="shared" si="18"/>
        <v>0.59999999999999432</v>
      </c>
      <c r="M16" s="79">
        <v>23</v>
      </c>
      <c r="N16" s="33">
        <f t="shared" si="22"/>
        <v>112.4</v>
      </c>
      <c r="O16" s="277">
        <f>+N16/B12</f>
        <v>4.9822695035460995E-2</v>
      </c>
      <c r="P16" s="19">
        <f t="shared" si="23"/>
        <v>23.599999999999994</v>
      </c>
      <c r="Q16" s="82">
        <v>0</v>
      </c>
      <c r="R16" s="9">
        <f t="shared" si="17"/>
        <v>23.599999999999994</v>
      </c>
      <c r="S16" s="9">
        <f t="shared" si="19"/>
        <v>23.599999999999994</v>
      </c>
      <c r="T16" s="9">
        <f t="shared" si="15"/>
        <v>1132.7999999999997</v>
      </c>
      <c r="U16" s="12">
        <f t="shared" si="20"/>
        <v>0.17352941176470585</v>
      </c>
      <c r="W16" s="102">
        <f t="shared" si="8"/>
        <v>136</v>
      </c>
      <c r="X16" s="103">
        <f t="shared" si="9"/>
        <v>135.4</v>
      </c>
      <c r="Y16" s="103">
        <f t="shared" si="10"/>
        <v>0.59999999999999432</v>
      </c>
      <c r="Z16" s="103">
        <f t="shared" si="11"/>
        <v>23</v>
      </c>
      <c r="AA16" s="284">
        <f t="shared" si="12"/>
        <v>0</v>
      </c>
      <c r="AB16" s="104">
        <f t="shared" si="16"/>
        <v>23.599999999999994</v>
      </c>
    </row>
    <row r="17" spans="1:29" ht="20.25" customHeight="1" x14ac:dyDescent="0.35">
      <c r="A17" s="293"/>
      <c r="B17" s="296"/>
      <c r="C17" s="35" t="s">
        <v>155</v>
      </c>
      <c r="D17" s="10">
        <v>35</v>
      </c>
      <c r="E17" s="31" t="s">
        <v>18</v>
      </c>
      <c r="F17" s="49">
        <v>0.06</v>
      </c>
      <c r="G17" s="11">
        <v>1</v>
      </c>
      <c r="H17" s="73">
        <f>+F17*B12</f>
        <v>135.35999999999999</v>
      </c>
      <c r="I17" s="68">
        <v>135</v>
      </c>
      <c r="J17" s="66">
        <f t="shared" si="21"/>
        <v>-0.35999999999998522</v>
      </c>
      <c r="K17" s="76">
        <v>135</v>
      </c>
      <c r="L17" s="9">
        <f t="shared" si="18"/>
        <v>0</v>
      </c>
      <c r="M17" s="79">
        <v>14</v>
      </c>
      <c r="N17" s="23">
        <f t="shared" si="22"/>
        <v>121</v>
      </c>
      <c r="O17" s="277">
        <f>+N17/B12</f>
        <v>5.3634751773049646E-2</v>
      </c>
      <c r="P17" s="19">
        <f t="shared" si="23"/>
        <v>14</v>
      </c>
      <c r="Q17" s="82">
        <v>0</v>
      </c>
      <c r="R17" s="9">
        <f t="shared" si="17"/>
        <v>14</v>
      </c>
      <c r="S17" s="9">
        <f t="shared" si="19"/>
        <v>14</v>
      </c>
      <c r="T17" s="9">
        <f t="shared" si="15"/>
        <v>490</v>
      </c>
      <c r="U17" s="12">
        <f t="shared" si="20"/>
        <v>0.1037037037037037</v>
      </c>
      <c r="W17" s="102">
        <f t="shared" si="8"/>
        <v>135</v>
      </c>
      <c r="X17" s="103">
        <f t="shared" si="9"/>
        <v>135</v>
      </c>
      <c r="Y17" s="103">
        <f t="shared" si="10"/>
        <v>0</v>
      </c>
      <c r="Z17" s="103">
        <f t="shared" si="11"/>
        <v>14</v>
      </c>
      <c r="AA17" s="284">
        <f t="shared" si="12"/>
        <v>0</v>
      </c>
      <c r="AB17" s="104">
        <f t="shared" si="16"/>
        <v>14</v>
      </c>
    </row>
    <row r="18" spans="1:29" ht="20.25" customHeight="1" x14ac:dyDescent="0.35">
      <c r="A18" s="293"/>
      <c r="B18" s="296"/>
      <c r="C18" s="35" t="s">
        <v>33</v>
      </c>
      <c r="D18" s="10">
        <v>50</v>
      </c>
      <c r="E18" s="31" t="s">
        <v>17</v>
      </c>
      <c r="F18" s="49">
        <v>0.03</v>
      </c>
      <c r="G18" s="11">
        <v>1</v>
      </c>
      <c r="H18" s="72">
        <f>+F18*B12</f>
        <v>67.679999999999993</v>
      </c>
      <c r="I18" s="68">
        <v>68</v>
      </c>
      <c r="J18" s="13">
        <f t="shared" si="21"/>
        <v>0.32000000000000739</v>
      </c>
      <c r="K18" s="76">
        <v>68</v>
      </c>
      <c r="L18" s="9">
        <f t="shared" si="18"/>
        <v>0</v>
      </c>
      <c r="M18" s="79">
        <v>8</v>
      </c>
      <c r="N18" s="23">
        <f t="shared" si="22"/>
        <v>60</v>
      </c>
      <c r="O18" s="277">
        <f>+N18/B12</f>
        <v>2.6595744680851064E-2</v>
      </c>
      <c r="P18" s="19">
        <f t="shared" si="23"/>
        <v>8</v>
      </c>
      <c r="Q18" s="82">
        <v>0</v>
      </c>
      <c r="R18" s="9">
        <f t="shared" si="17"/>
        <v>8</v>
      </c>
      <c r="S18" s="9">
        <f t="shared" si="19"/>
        <v>8</v>
      </c>
      <c r="T18" s="9">
        <f t="shared" si="15"/>
        <v>400</v>
      </c>
      <c r="U18" s="12">
        <f t="shared" si="20"/>
        <v>0.11764705882352941</v>
      </c>
      <c r="W18" s="102">
        <f t="shared" si="8"/>
        <v>68</v>
      </c>
      <c r="X18" s="103">
        <f t="shared" si="9"/>
        <v>68</v>
      </c>
      <c r="Y18" s="103">
        <f t="shared" si="10"/>
        <v>0</v>
      </c>
      <c r="Z18" s="103">
        <f t="shared" si="11"/>
        <v>8</v>
      </c>
      <c r="AA18" s="284">
        <f t="shared" si="12"/>
        <v>0</v>
      </c>
      <c r="AB18" s="104">
        <f t="shared" si="16"/>
        <v>8</v>
      </c>
    </row>
    <row r="19" spans="1:29" ht="20.25" customHeight="1" x14ac:dyDescent="0.35">
      <c r="A19" s="293"/>
      <c r="B19" s="296"/>
      <c r="C19" s="35" t="s">
        <v>34</v>
      </c>
      <c r="D19" s="31">
        <v>70</v>
      </c>
      <c r="E19" s="31" t="s">
        <v>17</v>
      </c>
      <c r="F19" s="11">
        <v>0.1</v>
      </c>
      <c r="G19" s="11">
        <v>1</v>
      </c>
      <c r="H19" s="72">
        <f>+F19*B12</f>
        <v>225.60000000000002</v>
      </c>
      <c r="I19" s="68">
        <v>225.6</v>
      </c>
      <c r="J19" s="13">
        <f t="shared" si="21"/>
        <v>0</v>
      </c>
      <c r="K19" s="76">
        <v>225.6</v>
      </c>
      <c r="L19" s="9">
        <f t="shared" si="18"/>
        <v>0</v>
      </c>
      <c r="M19" s="79">
        <v>0</v>
      </c>
      <c r="N19" s="23">
        <f t="shared" si="22"/>
        <v>225.6</v>
      </c>
      <c r="O19" s="277">
        <f>+N19/B12</f>
        <v>9.9999999999999992E-2</v>
      </c>
      <c r="P19" s="19">
        <f t="shared" si="23"/>
        <v>0</v>
      </c>
      <c r="Q19" s="82">
        <v>0</v>
      </c>
      <c r="R19" s="9">
        <f t="shared" si="17"/>
        <v>0</v>
      </c>
      <c r="S19" s="9">
        <f t="shared" si="19"/>
        <v>0</v>
      </c>
      <c r="T19" s="9">
        <f t="shared" si="15"/>
        <v>0</v>
      </c>
      <c r="U19" s="12">
        <f t="shared" si="20"/>
        <v>0</v>
      </c>
      <c r="W19" s="102">
        <f t="shared" si="8"/>
        <v>225.6</v>
      </c>
      <c r="X19" s="103">
        <f t="shared" si="9"/>
        <v>225.6</v>
      </c>
      <c r="Y19" s="103">
        <f t="shared" si="10"/>
        <v>0</v>
      </c>
      <c r="Z19" s="103">
        <f t="shared" si="11"/>
        <v>0</v>
      </c>
      <c r="AA19" s="284">
        <f t="shared" si="12"/>
        <v>0</v>
      </c>
      <c r="AB19" s="104">
        <f t="shared" si="16"/>
        <v>0</v>
      </c>
    </row>
    <row r="20" spans="1:29" ht="20.25" customHeight="1" x14ac:dyDescent="0.35">
      <c r="A20" s="294"/>
      <c r="B20" s="297"/>
      <c r="C20" s="40" t="s">
        <v>35</v>
      </c>
      <c r="D20" s="44">
        <v>2</v>
      </c>
      <c r="E20" s="44" t="s">
        <v>16</v>
      </c>
      <c r="F20" s="53">
        <v>2</v>
      </c>
      <c r="G20" s="45">
        <v>0.04</v>
      </c>
      <c r="H20" s="72">
        <f>+F20*B12</f>
        <v>4512</v>
      </c>
      <c r="I20" s="68">
        <v>4525</v>
      </c>
      <c r="J20" s="13">
        <f t="shared" si="21"/>
        <v>13</v>
      </c>
      <c r="K20" s="76">
        <v>4512</v>
      </c>
      <c r="L20" s="9">
        <f t="shared" si="18"/>
        <v>13</v>
      </c>
      <c r="M20" s="79">
        <v>35</v>
      </c>
      <c r="N20" s="33">
        <f t="shared" si="22"/>
        <v>4477</v>
      </c>
      <c r="O20" s="277">
        <f>+N20/B12</f>
        <v>1.9844858156028369</v>
      </c>
      <c r="P20" s="19">
        <f t="shared" si="23"/>
        <v>48</v>
      </c>
      <c r="Q20" s="82">
        <v>0</v>
      </c>
      <c r="R20" s="9">
        <f t="shared" si="17"/>
        <v>48</v>
      </c>
      <c r="S20" s="9">
        <f t="shared" si="19"/>
        <v>1.92</v>
      </c>
      <c r="T20" s="9">
        <f t="shared" si="15"/>
        <v>96</v>
      </c>
      <c r="U20" s="12">
        <f t="shared" si="20"/>
        <v>1.0607734806629835E-2</v>
      </c>
      <c r="W20" s="115">
        <f t="shared" si="8"/>
        <v>181</v>
      </c>
      <c r="X20" s="116">
        <f t="shared" si="9"/>
        <v>180.48</v>
      </c>
      <c r="Y20" s="116">
        <f t="shared" si="10"/>
        <v>0.52</v>
      </c>
      <c r="Z20" s="116">
        <f t="shared" si="11"/>
        <v>1.4000000000000001</v>
      </c>
      <c r="AA20" s="284">
        <f t="shared" si="12"/>
        <v>0</v>
      </c>
      <c r="AB20" s="117">
        <f t="shared" si="16"/>
        <v>1.92</v>
      </c>
    </row>
    <row r="21" spans="1:29" ht="20.25" customHeight="1" thickBot="1" x14ac:dyDescent="0.4">
      <c r="A21" s="27"/>
      <c r="B21" s="28"/>
      <c r="C21" s="29"/>
      <c r="D21" s="15"/>
      <c r="E21" s="15"/>
      <c r="F21" s="15"/>
      <c r="G21" s="15"/>
      <c r="H21" s="74"/>
      <c r="I21" s="69"/>
      <c r="J21" s="16"/>
      <c r="K21" s="77"/>
      <c r="L21" s="15"/>
      <c r="M21" s="80"/>
      <c r="N21" s="14"/>
      <c r="O21" s="278">
        <f>SUM(O12:O19)+0.06</f>
        <v>0.87360815602836883</v>
      </c>
      <c r="P21" s="20"/>
      <c r="Q21" s="83"/>
      <c r="R21" s="15"/>
      <c r="S21" s="56">
        <f>SUM(S12:S20)</f>
        <v>131.51999999999998</v>
      </c>
      <c r="T21" s="56">
        <f>SUM(T12:T20)</f>
        <v>6431.2999999999993</v>
      </c>
      <c r="U21" s="16"/>
      <c r="W21" s="118">
        <f>SUM(W12:W20)</f>
        <v>2206.1</v>
      </c>
      <c r="X21" s="110">
        <f t="shared" ref="X21:AB21" si="24">SUM(X12:X20)</f>
        <v>2188.48</v>
      </c>
      <c r="Y21" s="114">
        <f t="shared" si="24"/>
        <v>17.619999999999994</v>
      </c>
      <c r="Z21" s="109">
        <f t="shared" si="24"/>
        <v>173.9</v>
      </c>
      <c r="AA21" s="286">
        <f>SUM(AA12:AA20)</f>
        <v>60</v>
      </c>
      <c r="AB21" s="109">
        <f t="shared" si="24"/>
        <v>131.51999999999998</v>
      </c>
      <c r="AC21" s="94"/>
    </row>
    <row r="22" spans="1:29" ht="20.25" customHeight="1" x14ac:dyDescent="0.35">
      <c r="A22" s="292" t="s">
        <v>39</v>
      </c>
      <c r="B22" s="295">
        <v>1864</v>
      </c>
      <c r="C22" s="34" t="s">
        <v>41</v>
      </c>
      <c r="D22" s="4">
        <v>3</v>
      </c>
      <c r="E22" s="4" t="s">
        <v>186</v>
      </c>
      <c r="F22" s="135">
        <v>4</v>
      </c>
      <c r="G22" s="5">
        <v>0.03</v>
      </c>
      <c r="H22" s="71">
        <f>+F22*B22</f>
        <v>7456</v>
      </c>
      <c r="I22" s="67">
        <v>7456</v>
      </c>
      <c r="J22" s="22">
        <f>I22-H22</f>
        <v>0</v>
      </c>
      <c r="K22" s="75">
        <v>7456</v>
      </c>
      <c r="L22" s="3">
        <f>+I22-K22</f>
        <v>0</v>
      </c>
      <c r="M22" s="78">
        <v>10</v>
      </c>
      <c r="N22" s="21">
        <f>+K22-M22</f>
        <v>7446</v>
      </c>
      <c r="O22" s="41">
        <f>+N22/B22</f>
        <v>3.994635193133047</v>
      </c>
      <c r="P22" s="18">
        <f>+L22+M22</f>
        <v>10</v>
      </c>
      <c r="Q22" s="81">
        <v>0</v>
      </c>
      <c r="R22" s="3">
        <f>+P22-Q22</f>
        <v>10</v>
      </c>
      <c r="S22" s="3">
        <f>+R22*G22</f>
        <v>0.3</v>
      </c>
      <c r="T22" s="3">
        <f>+R22*D22</f>
        <v>30</v>
      </c>
      <c r="U22" s="6">
        <f>+R22/I22</f>
        <v>1.3412017167381974E-3</v>
      </c>
      <c r="W22" s="111">
        <f t="shared" si="8"/>
        <v>223.67999999999998</v>
      </c>
      <c r="X22" s="112">
        <f t="shared" si="9"/>
        <v>223.67999999999998</v>
      </c>
      <c r="Y22" s="112">
        <f t="shared" si="10"/>
        <v>0</v>
      </c>
      <c r="Z22" s="112">
        <f>+M22*G22</f>
        <v>0.3</v>
      </c>
      <c r="AA22" s="284">
        <f t="shared" si="12"/>
        <v>0</v>
      </c>
      <c r="AB22" s="113">
        <f>+R22*G22</f>
        <v>0.3</v>
      </c>
    </row>
    <row r="23" spans="1:29" ht="20.25" customHeight="1" x14ac:dyDescent="0.35">
      <c r="A23" s="293"/>
      <c r="B23" s="296"/>
      <c r="C23" s="35" t="s">
        <v>13</v>
      </c>
      <c r="D23" s="10">
        <v>52</v>
      </c>
      <c r="E23" s="10" t="s">
        <v>186</v>
      </c>
      <c r="F23" s="279">
        <v>0.1</v>
      </c>
      <c r="G23" s="11">
        <v>1</v>
      </c>
      <c r="H23" s="70">
        <f>+F23*B22</f>
        <v>186.4</v>
      </c>
      <c r="I23" s="68">
        <v>187.5</v>
      </c>
      <c r="J23" s="13">
        <f>I23-H23</f>
        <v>1.0999999999999943</v>
      </c>
      <c r="K23" s="76">
        <v>186.4</v>
      </c>
      <c r="L23" s="9">
        <f t="shared" ref="L23:L25" si="25">+I23-K23</f>
        <v>1.0999999999999943</v>
      </c>
      <c r="M23" s="79">
        <v>3.5</v>
      </c>
      <c r="N23" s="23">
        <f>+K23-M23</f>
        <v>182.9</v>
      </c>
      <c r="O23" s="42">
        <f>+N23/B22</f>
        <v>9.8122317596566533E-2</v>
      </c>
      <c r="P23" s="19">
        <f>+L23+M23</f>
        <v>4.5999999999999943</v>
      </c>
      <c r="Q23" s="82">
        <v>0</v>
      </c>
      <c r="R23" s="9">
        <f t="shared" ref="R23:R25" si="26">+P23-Q23</f>
        <v>4.5999999999999943</v>
      </c>
      <c r="S23" s="9">
        <f>+R23*G23</f>
        <v>4.5999999999999943</v>
      </c>
      <c r="T23" s="9">
        <f>+R23*D23</f>
        <v>239.1999999999997</v>
      </c>
      <c r="U23" s="12">
        <f t="shared" ref="U23:U25" si="27">+R23/I23</f>
        <v>2.4533333333333303E-2</v>
      </c>
      <c r="W23" s="102">
        <f t="shared" si="8"/>
        <v>187.5</v>
      </c>
      <c r="X23" s="103">
        <f t="shared" si="9"/>
        <v>186.4</v>
      </c>
      <c r="Y23" s="103">
        <f t="shared" si="10"/>
        <v>1.0999999999999943</v>
      </c>
      <c r="Z23" s="103">
        <f>+M23*G23</f>
        <v>3.5</v>
      </c>
      <c r="AA23" s="284">
        <f t="shared" si="12"/>
        <v>0</v>
      </c>
      <c r="AB23" s="104">
        <f>+R23*G23</f>
        <v>4.5999999999999943</v>
      </c>
    </row>
    <row r="24" spans="1:29" ht="20.25" customHeight="1" x14ac:dyDescent="0.35">
      <c r="A24" s="293"/>
      <c r="B24" s="296"/>
      <c r="C24" s="35" t="s">
        <v>145</v>
      </c>
      <c r="D24" s="10">
        <v>6</v>
      </c>
      <c r="E24" s="10" t="s">
        <v>16</v>
      </c>
      <c r="F24" s="126">
        <v>1</v>
      </c>
      <c r="G24" s="11">
        <v>0.05</v>
      </c>
      <c r="H24" s="72">
        <f>+F24*B22</f>
        <v>1864</v>
      </c>
      <c r="I24" s="68">
        <v>1864</v>
      </c>
      <c r="J24" s="13">
        <f>I24-H24</f>
        <v>0</v>
      </c>
      <c r="K24" s="76">
        <v>1864</v>
      </c>
      <c r="L24" s="9">
        <f t="shared" si="25"/>
        <v>0</v>
      </c>
      <c r="M24" s="79">
        <v>15</v>
      </c>
      <c r="N24" s="33">
        <f t="shared" ref="N24:N25" si="28">+K24-M24</f>
        <v>1849</v>
      </c>
      <c r="O24" s="42">
        <f>+N24/B22</f>
        <v>0.99195278969957079</v>
      </c>
      <c r="P24" s="19">
        <f>+L24+M24</f>
        <v>15</v>
      </c>
      <c r="Q24" s="82">
        <v>0</v>
      </c>
      <c r="R24" s="9">
        <f t="shared" si="26"/>
        <v>15</v>
      </c>
      <c r="S24" s="9">
        <f>+R24*G24</f>
        <v>0.75</v>
      </c>
      <c r="T24" s="9">
        <f>+R24*D24</f>
        <v>90</v>
      </c>
      <c r="U24" s="12">
        <f t="shared" si="27"/>
        <v>8.0472103004291841E-3</v>
      </c>
      <c r="W24" s="102">
        <f t="shared" si="8"/>
        <v>93.2</v>
      </c>
      <c r="X24" s="103">
        <f t="shared" si="9"/>
        <v>93.2</v>
      </c>
      <c r="Y24" s="103">
        <f t="shared" si="10"/>
        <v>0</v>
      </c>
      <c r="Z24" s="103">
        <f t="shared" si="11"/>
        <v>0.75</v>
      </c>
      <c r="AA24" s="284">
        <f t="shared" si="12"/>
        <v>0</v>
      </c>
      <c r="AB24" s="104">
        <f>+R24*G24</f>
        <v>0.75</v>
      </c>
    </row>
    <row r="25" spans="1:29" ht="20.25" customHeight="1" x14ac:dyDescent="0.35">
      <c r="A25" s="293"/>
      <c r="B25" s="296"/>
      <c r="C25" s="35" t="s">
        <v>14</v>
      </c>
      <c r="D25" s="10">
        <v>60</v>
      </c>
      <c r="E25" s="10" t="s">
        <v>18</v>
      </c>
      <c r="F25" s="49">
        <v>0.1</v>
      </c>
      <c r="G25" s="11">
        <v>1</v>
      </c>
      <c r="H25" s="72">
        <f>+F25*B22</f>
        <v>186.4</v>
      </c>
      <c r="I25" s="68">
        <v>192</v>
      </c>
      <c r="J25" s="13">
        <f>I25-H25</f>
        <v>5.5999999999999943</v>
      </c>
      <c r="K25" s="76">
        <v>186.4</v>
      </c>
      <c r="L25" s="9">
        <f t="shared" si="25"/>
        <v>5.5999999999999943</v>
      </c>
      <c r="M25" s="79">
        <v>6.5</v>
      </c>
      <c r="N25" s="23">
        <f t="shared" si="28"/>
        <v>179.9</v>
      </c>
      <c r="O25" s="42">
        <f>+N25/B22</f>
        <v>9.6512875536480691E-2</v>
      </c>
      <c r="P25" s="19">
        <f t="shared" ref="P25" si="29">+L25+M25</f>
        <v>12.099999999999994</v>
      </c>
      <c r="Q25" s="82">
        <v>0</v>
      </c>
      <c r="R25" s="9">
        <f t="shared" si="26"/>
        <v>12.099999999999994</v>
      </c>
      <c r="S25" s="9">
        <f>+R25*G25</f>
        <v>12.099999999999994</v>
      </c>
      <c r="T25" s="9">
        <f>+R25*D25</f>
        <v>725.99999999999966</v>
      </c>
      <c r="U25" s="12">
        <f t="shared" si="27"/>
        <v>6.3020833333333304E-2</v>
      </c>
      <c r="W25" s="105">
        <f t="shared" si="8"/>
        <v>192</v>
      </c>
      <c r="X25" s="106">
        <f t="shared" si="9"/>
        <v>186.4</v>
      </c>
      <c r="Y25" s="106">
        <f t="shared" si="10"/>
        <v>5.5999999999999943</v>
      </c>
      <c r="Z25" s="106">
        <f t="shared" si="11"/>
        <v>6.5</v>
      </c>
      <c r="AA25" s="284">
        <f t="shared" si="12"/>
        <v>0</v>
      </c>
      <c r="AB25" s="107">
        <f>+R25*G25</f>
        <v>12.099999999999994</v>
      </c>
    </row>
    <row r="26" spans="1:29" ht="21.75" customHeight="1" thickBot="1" x14ac:dyDescent="0.4">
      <c r="A26" s="27"/>
      <c r="B26" s="55"/>
      <c r="C26" s="29"/>
      <c r="D26" s="15"/>
      <c r="E26" s="15"/>
      <c r="F26" s="15"/>
      <c r="G26" s="15"/>
      <c r="H26" s="74"/>
      <c r="I26" s="69"/>
      <c r="J26" s="16"/>
      <c r="K26" s="77"/>
      <c r="L26" s="15"/>
      <c r="M26" s="80"/>
      <c r="N26" s="14"/>
      <c r="O26" s="16"/>
      <c r="P26" s="20"/>
      <c r="Q26" s="83"/>
      <c r="R26" s="15"/>
      <c r="S26" s="56">
        <f>SUM(S22:S25)</f>
        <v>17.749999999999989</v>
      </c>
      <c r="T26" s="56">
        <f>SUM(T22:T25)</f>
        <v>1085.1999999999994</v>
      </c>
      <c r="U26" s="16"/>
      <c r="W26" s="123">
        <f>SUM(W22:W25)</f>
        <v>696.37999999999988</v>
      </c>
      <c r="X26" s="124">
        <f t="shared" ref="X26:AB26" si="30">SUM(X22:X25)</f>
        <v>689.68</v>
      </c>
      <c r="Y26" s="124">
        <f t="shared" si="30"/>
        <v>6.6999999999999886</v>
      </c>
      <c r="Z26" s="124">
        <f t="shared" si="30"/>
        <v>11.05</v>
      </c>
      <c r="AA26" s="287">
        <f>SUM(AA22:AA25)</f>
        <v>0</v>
      </c>
      <c r="AB26" s="125">
        <f t="shared" si="30"/>
        <v>17.749999999999989</v>
      </c>
    </row>
    <row r="27" spans="1:29" ht="20.25" customHeight="1" x14ac:dyDescent="0.35">
      <c r="A27" s="292" t="s">
        <v>40</v>
      </c>
      <c r="B27" s="295">
        <v>946</v>
      </c>
      <c r="C27" s="34" t="s">
        <v>31</v>
      </c>
      <c r="D27" s="4">
        <v>20</v>
      </c>
      <c r="E27" s="30" t="s">
        <v>17</v>
      </c>
      <c r="F27" s="52">
        <v>0.4</v>
      </c>
      <c r="G27" s="5">
        <v>1</v>
      </c>
      <c r="H27" s="71">
        <f>+F27*B27</f>
        <v>378.40000000000003</v>
      </c>
      <c r="I27" s="67">
        <v>390</v>
      </c>
      <c r="J27" s="22">
        <f t="shared" ref="J27:J35" si="31">I27-H27</f>
        <v>11.599999999999966</v>
      </c>
      <c r="K27" s="75">
        <f>946*0.4</f>
        <v>378.40000000000003</v>
      </c>
      <c r="L27" s="3">
        <f>+I27-K27</f>
        <v>11.599999999999966</v>
      </c>
      <c r="M27" s="78">
        <v>25</v>
      </c>
      <c r="N27" s="21">
        <f>+K27-M27</f>
        <v>353.40000000000003</v>
      </c>
      <c r="O27" s="41">
        <f>+N27/B27</f>
        <v>0.37357293868921781</v>
      </c>
      <c r="P27" s="18">
        <f>+L27+M27</f>
        <v>36.599999999999966</v>
      </c>
      <c r="Q27" s="81">
        <v>25</v>
      </c>
      <c r="R27" s="3">
        <f>+P27-Q27</f>
        <v>11.599999999999966</v>
      </c>
      <c r="S27" s="3">
        <f t="shared" ref="S27:S35" si="32">+R27*G27</f>
        <v>11.599999999999966</v>
      </c>
      <c r="T27" s="3">
        <f t="shared" ref="T27:T35" si="33">+R27*D27</f>
        <v>231.99999999999932</v>
      </c>
      <c r="U27" s="6">
        <f>+R27/I27</f>
        <v>2.9743589743589656E-2</v>
      </c>
      <c r="W27" s="111">
        <f t="shared" si="8"/>
        <v>390</v>
      </c>
      <c r="X27" s="112">
        <f t="shared" si="9"/>
        <v>378.40000000000003</v>
      </c>
      <c r="Y27" s="112">
        <f t="shared" si="10"/>
        <v>11.599999999999966</v>
      </c>
      <c r="Z27" s="112">
        <f t="shared" si="11"/>
        <v>25</v>
      </c>
      <c r="AA27" s="284">
        <f t="shared" si="12"/>
        <v>25</v>
      </c>
      <c r="AB27" s="113">
        <f t="shared" ref="AB27:AB35" si="34">+R27*G27</f>
        <v>11.599999999999966</v>
      </c>
    </row>
    <row r="28" spans="1:29" ht="20.25" customHeight="1" x14ac:dyDescent="0.35">
      <c r="A28" s="293"/>
      <c r="B28" s="296"/>
      <c r="C28" s="35" t="s">
        <v>160</v>
      </c>
      <c r="D28" s="10">
        <v>65</v>
      </c>
      <c r="E28" s="31" t="s">
        <v>17</v>
      </c>
      <c r="F28" s="49">
        <v>0.08</v>
      </c>
      <c r="G28" s="11">
        <v>1</v>
      </c>
      <c r="H28" s="70">
        <f>+F28*B27</f>
        <v>75.680000000000007</v>
      </c>
      <c r="I28" s="68">
        <v>78</v>
      </c>
      <c r="J28" s="13">
        <f t="shared" si="31"/>
        <v>2.3199999999999932</v>
      </c>
      <c r="K28" s="76">
        <f>946*0.08</f>
        <v>75.680000000000007</v>
      </c>
      <c r="L28" s="9">
        <f t="shared" ref="L28:L35" si="35">+I28-K28</f>
        <v>2.3199999999999932</v>
      </c>
      <c r="M28" s="79">
        <v>4</v>
      </c>
      <c r="N28" s="23">
        <f t="shared" ref="N28:N35" si="36">+K28-M28</f>
        <v>71.680000000000007</v>
      </c>
      <c r="O28" s="42">
        <f>+N28/B27</f>
        <v>7.5771670190274851E-2</v>
      </c>
      <c r="P28" s="19">
        <f>+L28+M28</f>
        <v>6.3199999999999932</v>
      </c>
      <c r="Q28" s="82"/>
      <c r="R28" s="9">
        <f>+P28-Q28</f>
        <v>6.3199999999999932</v>
      </c>
      <c r="S28" s="9">
        <f t="shared" si="32"/>
        <v>6.3199999999999932</v>
      </c>
      <c r="T28" s="9">
        <f t="shared" si="33"/>
        <v>410.79999999999956</v>
      </c>
      <c r="U28" s="12">
        <f t="shared" ref="U28:U35" si="37">+R28/I28</f>
        <v>8.1025641025640943E-2</v>
      </c>
      <c r="W28" s="102">
        <f t="shared" si="8"/>
        <v>78</v>
      </c>
      <c r="X28" s="103">
        <f t="shared" si="9"/>
        <v>75.680000000000007</v>
      </c>
      <c r="Y28" s="103">
        <f t="shared" si="10"/>
        <v>2.3199999999999932</v>
      </c>
      <c r="Z28" s="103">
        <f t="shared" si="11"/>
        <v>4</v>
      </c>
      <c r="AA28" s="284">
        <f t="shared" si="12"/>
        <v>0</v>
      </c>
      <c r="AB28" s="104">
        <f t="shared" si="34"/>
        <v>6.3199999999999932</v>
      </c>
    </row>
    <row r="29" spans="1:29" ht="20.25" customHeight="1" x14ac:dyDescent="0.35">
      <c r="A29" s="293"/>
      <c r="B29" s="296"/>
      <c r="C29" s="35" t="s">
        <v>228</v>
      </c>
      <c r="D29" s="10">
        <v>90</v>
      </c>
      <c r="E29" s="31" t="s">
        <v>17</v>
      </c>
      <c r="F29" s="49">
        <v>0.05</v>
      </c>
      <c r="G29" s="11">
        <v>1</v>
      </c>
      <c r="H29" s="72">
        <f>+F29*B27</f>
        <v>47.300000000000004</v>
      </c>
      <c r="I29" s="68">
        <v>77</v>
      </c>
      <c r="J29" s="13">
        <f t="shared" si="31"/>
        <v>29.699999999999996</v>
      </c>
      <c r="K29" s="76">
        <f>946*0.08</f>
        <v>75.680000000000007</v>
      </c>
      <c r="L29" s="9">
        <f t="shared" si="35"/>
        <v>1.3199999999999932</v>
      </c>
      <c r="M29" s="79">
        <v>5</v>
      </c>
      <c r="N29" s="33">
        <f t="shared" si="36"/>
        <v>70.680000000000007</v>
      </c>
      <c r="O29" s="42">
        <f>+N29/B27</f>
        <v>7.4714587737843563E-2</v>
      </c>
      <c r="P29" s="19">
        <f>+L29+M29</f>
        <v>6.3199999999999932</v>
      </c>
      <c r="Q29" s="82"/>
      <c r="R29" s="9">
        <f t="shared" ref="R29:R35" si="38">+P29-Q29</f>
        <v>6.3199999999999932</v>
      </c>
      <c r="S29" s="9">
        <f t="shared" si="32"/>
        <v>6.3199999999999932</v>
      </c>
      <c r="T29" s="9">
        <f t="shared" si="33"/>
        <v>568.79999999999939</v>
      </c>
      <c r="U29" s="12">
        <f t="shared" si="37"/>
        <v>8.2077922077921986E-2</v>
      </c>
      <c r="W29" s="102">
        <f t="shared" si="8"/>
        <v>77</v>
      </c>
      <c r="X29" s="103">
        <f t="shared" si="9"/>
        <v>75.680000000000007</v>
      </c>
      <c r="Y29" s="103">
        <f t="shared" si="10"/>
        <v>1.3199999999999932</v>
      </c>
      <c r="Z29" s="103">
        <f t="shared" si="11"/>
        <v>5</v>
      </c>
      <c r="AA29" s="284">
        <f t="shared" si="12"/>
        <v>0</v>
      </c>
      <c r="AB29" s="104">
        <f t="shared" si="34"/>
        <v>6.3199999999999932</v>
      </c>
    </row>
    <row r="30" spans="1:29" ht="20.25" customHeight="1" x14ac:dyDescent="0.35">
      <c r="A30" s="293"/>
      <c r="B30" s="296"/>
      <c r="C30" s="35" t="s">
        <v>92</v>
      </c>
      <c r="D30" s="10">
        <v>55</v>
      </c>
      <c r="E30" s="31" t="s">
        <v>17</v>
      </c>
      <c r="F30" s="49">
        <v>0.08</v>
      </c>
      <c r="G30" s="11">
        <v>1</v>
      </c>
      <c r="H30" s="72">
        <f>+F30*B27</f>
        <v>75.680000000000007</v>
      </c>
      <c r="I30" s="68">
        <v>79</v>
      </c>
      <c r="J30" s="13">
        <f t="shared" si="31"/>
        <v>3.3199999999999932</v>
      </c>
      <c r="K30" s="76">
        <v>76</v>
      </c>
      <c r="L30" s="9">
        <f t="shared" si="35"/>
        <v>3</v>
      </c>
      <c r="M30" s="79">
        <v>4</v>
      </c>
      <c r="N30" s="23">
        <f t="shared" si="36"/>
        <v>72</v>
      </c>
      <c r="O30" s="42">
        <f>+N30/B27</f>
        <v>7.6109936575052856E-2</v>
      </c>
      <c r="P30" s="19">
        <f t="shared" ref="P30:P35" si="39">+L30+M30</f>
        <v>7</v>
      </c>
      <c r="Q30" s="82"/>
      <c r="R30" s="9">
        <f t="shared" si="38"/>
        <v>7</v>
      </c>
      <c r="S30" s="9">
        <f t="shared" si="32"/>
        <v>7</v>
      </c>
      <c r="T30" s="9">
        <f t="shared" si="33"/>
        <v>385</v>
      </c>
      <c r="U30" s="12">
        <f t="shared" si="37"/>
        <v>8.8607594936708861E-2</v>
      </c>
      <c r="W30" s="102">
        <f t="shared" si="8"/>
        <v>79</v>
      </c>
      <c r="X30" s="103">
        <f t="shared" si="9"/>
        <v>76</v>
      </c>
      <c r="Y30" s="103">
        <f t="shared" si="10"/>
        <v>3</v>
      </c>
      <c r="Z30" s="103">
        <f t="shared" si="11"/>
        <v>4</v>
      </c>
      <c r="AA30" s="284">
        <f t="shared" si="12"/>
        <v>0</v>
      </c>
      <c r="AB30" s="104">
        <f t="shared" si="34"/>
        <v>7</v>
      </c>
    </row>
    <row r="31" spans="1:29" ht="20.25" customHeight="1" x14ac:dyDescent="0.35">
      <c r="A31" s="293"/>
      <c r="B31" s="296"/>
      <c r="C31" s="35" t="s">
        <v>32</v>
      </c>
      <c r="D31" s="10">
        <v>48</v>
      </c>
      <c r="E31" s="31" t="s">
        <v>18</v>
      </c>
      <c r="F31" s="49">
        <v>0.06</v>
      </c>
      <c r="G31" s="11">
        <v>1</v>
      </c>
      <c r="H31" s="72">
        <f>+F31*B27</f>
        <v>56.76</v>
      </c>
      <c r="I31" s="68">
        <v>58</v>
      </c>
      <c r="J31" s="13">
        <f t="shared" si="31"/>
        <v>1.240000000000002</v>
      </c>
      <c r="K31" s="76">
        <f>946*0.06</f>
        <v>56.76</v>
      </c>
      <c r="L31" s="9">
        <f t="shared" si="35"/>
        <v>1.240000000000002</v>
      </c>
      <c r="M31" s="79">
        <v>6</v>
      </c>
      <c r="N31" s="33">
        <f t="shared" si="36"/>
        <v>50.76</v>
      </c>
      <c r="O31" s="42">
        <f>+N31/B27</f>
        <v>5.3657505285412258E-2</v>
      </c>
      <c r="P31" s="19">
        <f t="shared" si="39"/>
        <v>7.240000000000002</v>
      </c>
      <c r="Q31" s="82"/>
      <c r="R31" s="9">
        <f t="shared" si="38"/>
        <v>7.240000000000002</v>
      </c>
      <c r="S31" s="9">
        <f t="shared" si="32"/>
        <v>7.240000000000002</v>
      </c>
      <c r="T31" s="9">
        <f t="shared" si="33"/>
        <v>347.5200000000001</v>
      </c>
      <c r="U31" s="12">
        <f t="shared" si="37"/>
        <v>0.12482758620689659</v>
      </c>
      <c r="W31" s="102">
        <f t="shared" si="8"/>
        <v>58</v>
      </c>
      <c r="X31" s="103">
        <f t="shared" si="9"/>
        <v>56.76</v>
      </c>
      <c r="Y31" s="103">
        <f t="shared" si="10"/>
        <v>1.240000000000002</v>
      </c>
      <c r="Z31" s="103">
        <f t="shared" si="11"/>
        <v>6</v>
      </c>
      <c r="AA31" s="284">
        <f t="shared" si="12"/>
        <v>0</v>
      </c>
      <c r="AB31" s="104">
        <f t="shared" si="34"/>
        <v>7.240000000000002</v>
      </c>
    </row>
    <row r="32" spans="1:29" ht="20.25" customHeight="1" x14ac:dyDescent="0.35">
      <c r="A32" s="293"/>
      <c r="B32" s="296"/>
      <c r="C32" s="35" t="s">
        <v>54</v>
      </c>
      <c r="D32" s="10">
        <v>35</v>
      </c>
      <c r="E32" s="31" t="s">
        <v>18</v>
      </c>
      <c r="F32" s="49">
        <v>0.06</v>
      </c>
      <c r="G32" s="11">
        <v>1</v>
      </c>
      <c r="H32" s="73">
        <f>+F32*B27</f>
        <v>56.76</v>
      </c>
      <c r="I32" s="68">
        <v>59</v>
      </c>
      <c r="J32" s="13">
        <f t="shared" si="31"/>
        <v>2.240000000000002</v>
      </c>
      <c r="K32" s="76">
        <v>57</v>
      </c>
      <c r="L32" s="9">
        <f t="shared" si="35"/>
        <v>2</v>
      </c>
      <c r="M32" s="79">
        <v>7</v>
      </c>
      <c r="N32" s="23">
        <f t="shared" si="36"/>
        <v>50</v>
      </c>
      <c r="O32" s="42">
        <f>+N32/B27</f>
        <v>5.2854122621564484E-2</v>
      </c>
      <c r="P32" s="19">
        <f t="shared" si="39"/>
        <v>9</v>
      </c>
      <c r="Q32" s="82"/>
      <c r="R32" s="9">
        <f t="shared" si="38"/>
        <v>9</v>
      </c>
      <c r="S32" s="9">
        <f t="shared" si="32"/>
        <v>9</v>
      </c>
      <c r="T32" s="9">
        <f t="shared" si="33"/>
        <v>315</v>
      </c>
      <c r="U32" s="12">
        <f t="shared" si="37"/>
        <v>0.15254237288135594</v>
      </c>
      <c r="W32" s="102">
        <f t="shared" si="8"/>
        <v>59</v>
      </c>
      <c r="X32" s="103">
        <f t="shared" si="9"/>
        <v>57</v>
      </c>
      <c r="Y32" s="103">
        <f t="shared" si="10"/>
        <v>2</v>
      </c>
      <c r="Z32" s="103">
        <f t="shared" si="11"/>
        <v>7</v>
      </c>
      <c r="AA32" s="284">
        <f t="shared" si="12"/>
        <v>0</v>
      </c>
      <c r="AB32" s="104">
        <f t="shared" si="34"/>
        <v>9</v>
      </c>
    </row>
    <row r="33" spans="1:29" ht="20.25" customHeight="1" x14ac:dyDescent="0.35">
      <c r="A33" s="293"/>
      <c r="B33" s="296"/>
      <c r="C33" s="35" t="s">
        <v>33</v>
      </c>
      <c r="D33" s="10">
        <v>50</v>
      </c>
      <c r="E33" s="31" t="s">
        <v>17</v>
      </c>
      <c r="F33" s="49">
        <v>0.03</v>
      </c>
      <c r="G33" s="11">
        <v>1</v>
      </c>
      <c r="H33" s="72">
        <f>+F33*B27</f>
        <v>28.38</v>
      </c>
      <c r="I33" s="68">
        <v>30</v>
      </c>
      <c r="J33" s="13">
        <f t="shared" si="31"/>
        <v>1.620000000000001</v>
      </c>
      <c r="K33" s="76">
        <f>946*0.03</f>
        <v>28.38</v>
      </c>
      <c r="L33" s="9">
        <f t="shared" si="35"/>
        <v>1.620000000000001</v>
      </c>
      <c r="M33" s="79">
        <v>2</v>
      </c>
      <c r="N33" s="23">
        <f t="shared" si="36"/>
        <v>26.38</v>
      </c>
      <c r="O33" s="42">
        <f>+N33/B27</f>
        <v>2.788583509513742E-2</v>
      </c>
      <c r="P33" s="19">
        <f t="shared" si="39"/>
        <v>3.620000000000001</v>
      </c>
      <c r="Q33" s="82"/>
      <c r="R33" s="9">
        <f t="shared" si="38"/>
        <v>3.620000000000001</v>
      </c>
      <c r="S33" s="9">
        <f t="shared" si="32"/>
        <v>3.620000000000001</v>
      </c>
      <c r="T33" s="9">
        <f t="shared" si="33"/>
        <v>181.00000000000006</v>
      </c>
      <c r="U33" s="12">
        <f t="shared" si="37"/>
        <v>0.1206666666666667</v>
      </c>
      <c r="W33" s="102">
        <f t="shared" si="8"/>
        <v>30</v>
      </c>
      <c r="X33" s="103">
        <f t="shared" si="9"/>
        <v>28.38</v>
      </c>
      <c r="Y33" s="103">
        <f t="shared" si="10"/>
        <v>1.620000000000001</v>
      </c>
      <c r="Z33" s="103">
        <f t="shared" si="11"/>
        <v>2</v>
      </c>
      <c r="AA33" s="284">
        <f t="shared" si="12"/>
        <v>0</v>
      </c>
      <c r="AB33" s="104">
        <f t="shared" si="34"/>
        <v>3.620000000000001</v>
      </c>
    </row>
    <row r="34" spans="1:29" ht="20.25" customHeight="1" x14ac:dyDescent="0.35">
      <c r="A34" s="293"/>
      <c r="B34" s="296"/>
      <c r="C34" s="35" t="s">
        <v>34</v>
      </c>
      <c r="D34" s="31">
        <v>70</v>
      </c>
      <c r="E34" s="31" t="s">
        <v>17</v>
      </c>
      <c r="F34" s="11">
        <v>0.1</v>
      </c>
      <c r="G34" s="11">
        <v>1</v>
      </c>
      <c r="H34" s="72">
        <f>+F34*B27</f>
        <v>94.600000000000009</v>
      </c>
      <c r="I34" s="68">
        <v>94.6</v>
      </c>
      <c r="J34" s="13">
        <f t="shared" si="31"/>
        <v>0</v>
      </c>
      <c r="K34" s="76">
        <v>94.6</v>
      </c>
      <c r="L34" s="9">
        <f t="shared" si="35"/>
        <v>0</v>
      </c>
      <c r="M34" s="79">
        <v>0</v>
      </c>
      <c r="N34" s="23">
        <f t="shared" si="36"/>
        <v>94.6</v>
      </c>
      <c r="O34" s="42">
        <f>+N34/B27</f>
        <v>9.9999999999999992E-2</v>
      </c>
      <c r="P34" s="19">
        <f t="shared" si="39"/>
        <v>0</v>
      </c>
      <c r="Q34" s="82"/>
      <c r="R34" s="9">
        <f t="shared" si="38"/>
        <v>0</v>
      </c>
      <c r="S34" s="9">
        <f t="shared" si="32"/>
        <v>0</v>
      </c>
      <c r="T34" s="9">
        <f t="shared" si="33"/>
        <v>0</v>
      </c>
      <c r="U34" s="12">
        <f t="shared" si="37"/>
        <v>0</v>
      </c>
      <c r="W34" s="102">
        <f t="shared" si="8"/>
        <v>94.6</v>
      </c>
      <c r="X34" s="103">
        <f t="shared" si="9"/>
        <v>94.6</v>
      </c>
      <c r="Y34" s="103">
        <f t="shared" si="10"/>
        <v>0</v>
      </c>
      <c r="Z34" s="103">
        <f t="shared" si="11"/>
        <v>0</v>
      </c>
      <c r="AA34" s="284">
        <f t="shared" si="12"/>
        <v>0</v>
      </c>
      <c r="AB34" s="104">
        <f t="shared" si="34"/>
        <v>0</v>
      </c>
    </row>
    <row r="35" spans="1:29" ht="20.25" customHeight="1" x14ac:dyDescent="0.35">
      <c r="A35" s="294"/>
      <c r="B35" s="297"/>
      <c r="C35" s="40" t="s">
        <v>35</v>
      </c>
      <c r="D35" s="44">
        <v>2</v>
      </c>
      <c r="E35" s="44" t="s">
        <v>16</v>
      </c>
      <c r="F35" s="53">
        <v>2</v>
      </c>
      <c r="G35" s="45">
        <v>0.04</v>
      </c>
      <c r="H35" s="72">
        <f>+F35*B27</f>
        <v>1892</v>
      </c>
      <c r="I35" s="68">
        <v>1905</v>
      </c>
      <c r="J35" s="13">
        <f t="shared" si="31"/>
        <v>13</v>
      </c>
      <c r="K35" s="76">
        <f>946*2</f>
        <v>1892</v>
      </c>
      <c r="L35" s="9">
        <f t="shared" si="35"/>
        <v>13</v>
      </c>
      <c r="M35" s="79">
        <v>20</v>
      </c>
      <c r="N35" s="33">
        <f t="shared" si="36"/>
        <v>1872</v>
      </c>
      <c r="O35" s="42">
        <f>+N35/B27</f>
        <v>1.9788583509513742</v>
      </c>
      <c r="P35" s="19">
        <f t="shared" si="39"/>
        <v>33</v>
      </c>
      <c r="Q35" s="82">
        <v>0</v>
      </c>
      <c r="R35" s="9">
        <f t="shared" si="38"/>
        <v>33</v>
      </c>
      <c r="S35" s="9">
        <f t="shared" si="32"/>
        <v>1.32</v>
      </c>
      <c r="T35" s="9">
        <f t="shared" si="33"/>
        <v>66</v>
      </c>
      <c r="U35" s="12">
        <f t="shared" si="37"/>
        <v>1.7322834645669291E-2</v>
      </c>
      <c r="W35" s="105">
        <f t="shared" si="8"/>
        <v>76.2</v>
      </c>
      <c r="X35" s="106">
        <f t="shared" si="9"/>
        <v>75.680000000000007</v>
      </c>
      <c r="Y35" s="106">
        <f t="shared" si="10"/>
        <v>0.52</v>
      </c>
      <c r="Z35" s="106">
        <f t="shared" si="11"/>
        <v>0.8</v>
      </c>
      <c r="AA35" s="284">
        <f t="shared" si="12"/>
        <v>0</v>
      </c>
      <c r="AB35" s="107">
        <f t="shared" si="34"/>
        <v>1.32</v>
      </c>
    </row>
    <row r="36" spans="1:29" ht="23.25" customHeight="1" thickBot="1" x14ac:dyDescent="0.4">
      <c r="A36" s="27"/>
      <c r="B36" s="57"/>
      <c r="C36" s="29"/>
      <c r="D36" s="15"/>
      <c r="E36" s="15"/>
      <c r="F36" s="15"/>
      <c r="G36" s="15"/>
      <c r="H36" s="14"/>
      <c r="I36" s="15"/>
      <c r="J36" s="16"/>
      <c r="K36" s="14"/>
      <c r="L36" s="15"/>
      <c r="M36" s="16"/>
      <c r="N36" s="14"/>
      <c r="O36" s="16"/>
      <c r="P36" s="20"/>
      <c r="Q36" s="15"/>
      <c r="R36" s="15"/>
      <c r="S36" s="56">
        <f>SUM(S27:S35)</f>
        <v>52.419999999999952</v>
      </c>
      <c r="T36" s="56">
        <f>SUM(T27:T35)</f>
        <v>2506.1199999999981</v>
      </c>
      <c r="U36" s="16"/>
      <c r="W36" s="122">
        <f>SUM(W27:W35)</f>
        <v>941.80000000000007</v>
      </c>
      <c r="X36" s="109">
        <f t="shared" ref="X36:AB36" si="40">SUM(X27:X35)</f>
        <v>918.18000000000006</v>
      </c>
      <c r="Y36" s="109">
        <f t="shared" si="40"/>
        <v>23.619999999999955</v>
      </c>
      <c r="Z36" s="110">
        <f t="shared" si="40"/>
        <v>53.8</v>
      </c>
      <c r="AA36" s="285">
        <f>SUM(AA27:AA35)</f>
        <v>25</v>
      </c>
      <c r="AB36" s="288">
        <f t="shared" si="40"/>
        <v>52.419999999999952</v>
      </c>
      <c r="AC36" s="94"/>
    </row>
    <row r="37" spans="1:29" ht="31.5" customHeight="1" thickBot="1" x14ac:dyDescent="0.4">
      <c r="A37" s="58" t="s">
        <v>42</v>
      </c>
      <c r="B37" s="32">
        <f>+B4+B12+B22+B27</f>
        <v>7440</v>
      </c>
      <c r="C37" s="29"/>
      <c r="D37" s="15"/>
      <c r="E37" s="15"/>
      <c r="F37" s="15"/>
      <c r="G37" s="15"/>
      <c r="H37" s="14"/>
      <c r="I37" s="15"/>
      <c r="J37" s="16"/>
      <c r="K37" s="14"/>
      <c r="L37" s="15"/>
      <c r="M37" s="16"/>
      <c r="N37" s="14"/>
      <c r="O37" s="16"/>
      <c r="P37" s="20"/>
      <c r="Q37" s="15"/>
      <c r="R37" s="17"/>
      <c r="S37" s="85">
        <f>+S36+S26+S21+S11</f>
        <v>267.4899999999999</v>
      </c>
      <c r="T37" s="85">
        <f>+T36+T26+T21+T11</f>
        <v>13619.819999999994</v>
      </c>
      <c r="U37" s="62"/>
      <c r="W37" s="108">
        <f>+W11+W21+W26+W36</f>
        <v>5637.58</v>
      </c>
      <c r="X37" s="119">
        <f t="shared" ref="X37:AB37" si="41">+X11+X21+X26+X36</f>
        <v>5576.8400000000011</v>
      </c>
      <c r="Y37" s="119">
        <f t="shared" si="41"/>
        <v>60.739999999999888</v>
      </c>
      <c r="Z37" s="121">
        <f>+Z11+Z21+Z26+Z36</f>
        <v>299.25</v>
      </c>
      <c r="AA37" s="121">
        <f>+AA11+AA21+AA26+AA36</f>
        <v>92.5</v>
      </c>
      <c r="AB37" s="120">
        <f t="shared" si="41"/>
        <v>267.4899999999999</v>
      </c>
      <c r="AC37" s="94"/>
    </row>
    <row r="38" spans="1:29" x14ac:dyDescent="0.35">
      <c r="B38" s="59"/>
      <c r="Y38" s="63"/>
    </row>
    <row r="39" spans="1:29" ht="15" thickBot="1" x14ac:dyDescent="0.4">
      <c r="W39" s="63"/>
      <c r="X39" s="63"/>
      <c r="Y39" s="63"/>
      <c r="Z39" s="63"/>
      <c r="AA39" s="63"/>
    </row>
    <row r="40" spans="1:29" ht="23.25" customHeight="1" x14ac:dyDescent="0.35">
      <c r="A40" s="271"/>
      <c r="B40" s="271"/>
      <c r="C40" s="271"/>
      <c r="D40" s="271"/>
      <c r="E40" s="271"/>
      <c r="F40" s="271"/>
      <c r="S40" s="298" t="s">
        <v>235</v>
      </c>
      <c r="T40" s="299"/>
      <c r="U40" s="299"/>
      <c r="V40" s="299"/>
      <c r="W40" s="299"/>
      <c r="X40" s="299"/>
      <c r="Y40" s="299"/>
      <c r="Z40" s="299"/>
      <c r="AA40" s="299"/>
      <c r="AB40" s="300"/>
    </row>
    <row r="41" spans="1:29" ht="45.75" customHeight="1" x14ac:dyDescent="0.35">
      <c r="A41" s="255"/>
      <c r="B41" s="255"/>
      <c r="C41" s="255"/>
      <c r="D41" s="260"/>
      <c r="E41" s="260"/>
      <c r="F41" s="261"/>
      <c r="O41" s="255"/>
      <c r="P41" s="255"/>
      <c r="S41" s="7" t="s">
        <v>6</v>
      </c>
      <c r="T41" s="8" t="s">
        <v>7</v>
      </c>
      <c r="U41" s="60" t="s">
        <v>162</v>
      </c>
      <c r="V41" s="60" t="s">
        <v>3</v>
      </c>
      <c r="W41" s="60" t="s">
        <v>28</v>
      </c>
      <c r="X41" s="60" t="s">
        <v>163</v>
      </c>
      <c r="Y41" s="60" t="s">
        <v>234</v>
      </c>
      <c r="Z41" s="60" t="s">
        <v>164</v>
      </c>
      <c r="AA41" s="258" t="s">
        <v>165</v>
      </c>
      <c r="AB41" s="61" t="s">
        <v>166</v>
      </c>
    </row>
    <row r="42" spans="1:29" ht="31.5" customHeight="1" x14ac:dyDescent="0.35">
      <c r="A42" s="262"/>
      <c r="B42" s="263"/>
      <c r="C42" s="264"/>
      <c r="D42" s="264"/>
      <c r="E42" s="265"/>
      <c r="F42" s="266"/>
      <c r="O42" s="256"/>
      <c r="P42" s="256"/>
      <c r="S42" s="91" t="s">
        <v>47</v>
      </c>
      <c r="T42" s="35">
        <f>+B4</f>
        <v>2374</v>
      </c>
      <c r="U42" s="254">
        <f t="shared" ref="U42:Z42" si="42">+W11</f>
        <v>1793.3</v>
      </c>
      <c r="V42" s="254">
        <f t="shared" si="42"/>
        <v>1780.5000000000005</v>
      </c>
      <c r="W42" s="254">
        <f t="shared" si="42"/>
        <v>12.799999999999955</v>
      </c>
      <c r="X42" s="254">
        <f t="shared" si="42"/>
        <v>60.5</v>
      </c>
      <c r="Y42" s="291">
        <f t="shared" si="42"/>
        <v>7.5</v>
      </c>
      <c r="Z42" s="254">
        <f t="shared" si="42"/>
        <v>65.799999999999955</v>
      </c>
      <c r="AA42" s="95">
        <f>+Z42/T42</f>
        <v>2.7716933445661313E-2</v>
      </c>
      <c r="AB42" s="253">
        <f>+Z42/U42</f>
        <v>3.6692131824011577E-2</v>
      </c>
    </row>
    <row r="43" spans="1:29" ht="31.5" customHeight="1" x14ac:dyDescent="0.35">
      <c r="A43" s="262"/>
      <c r="B43" s="263"/>
      <c r="C43" s="263"/>
      <c r="D43" s="264"/>
      <c r="E43" s="265"/>
      <c r="F43" s="266"/>
      <c r="O43" s="256"/>
      <c r="P43" s="256"/>
      <c r="Q43" s="133"/>
      <c r="R43" s="134"/>
      <c r="S43" s="91" t="s">
        <v>48</v>
      </c>
      <c r="T43" s="35">
        <f>+B12</f>
        <v>2256</v>
      </c>
      <c r="U43" s="254">
        <f t="shared" ref="U43:Z43" si="43">+W21</f>
        <v>2206.1</v>
      </c>
      <c r="V43" s="254">
        <f t="shared" si="43"/>
        <v>2188.48</v>
      </c>
      <c r="W43" s="254">
        <f t="shared" si="43"/>
        <v>17.619999999999994</v>
      </c>
      <c r="X43" s="254">
        <f t="shared" si="43"/>
        <v>173.9</v>
      </c>
      <c r="Y43" s="291">
        <f t="shared" si="43"/>
        <v>60</v>
      </c>
      <c r="Z43" s="254">
        <f t="shared" si="43"/>
        <v>131.51999999999998</v>
      </c>
      <c r="AA43" s="95">
        <f>+Z43/T43</f>
        <v>5.8297872340425522E-2</v>
      </c>
      <c r="AB43" s="253">
        <f>+Z43/U43</f>
        <v>5.9616517836906753E-2</v>
      </c>
    </row>
    <row r="44" spans="1:29" ht="31.5" customHeight="1" x14ac:dyDescent="0.35">
      <c r="A44" s="262"/>
      <c r="B44" s="263"/>
      <c r="C44" s="263"/>
      <c r="D44" s="264"/>
      <c r="E44" s="265"/>
      <c r="F44" s="266"/>
      <c r="O44" s="256"/>
      <c r="P44" s="256"/>
      <c r="S44" s="91" t="s">
        <v>49</v>
      </c>
      <c r="T44" s="35">
        <f>+B22</f>
        <v>1864</v>
      </c>
      <c r="U44" s="254">
        <f t="shared" ref="U44:Z44" si="44">+W26</f>
        <v>696.37999999999988</v>
      </c>
      <c r="V44" s="254">
        <f t="shared" si="44"/>
        <v>689.68</v>
      </c>
      <c r="W44" s="254">
        <f t="shared" si="44"/>
        <v>6.6999999999999886</v>
      </c>
      <c r="X44" s="254">
        <f t="shared" si="44"/>
        <v>11.05</v>
      </c>
      <c r="Y44" s="291">
        <f t="shared" si="44"/>
        <v>0</v>
      </c>
      <c r="Z44" s="254">
        <f t="shared" si="44"/>
        <v>17.749999999999989</v>
      </c>
      <c r="AA44" s="95">
        <f>+Z44/T44</f>
        <v>9.5225321888411964E-3</v>
      </c>
      <c r="AB44" s="253">
        <f>+Z44/U44</f>
        <v>2.548895717855193E-2</v>
      </c>
    </row>
    <row r="45" spans="1:29" ht="31.5" customHeight="1" x14ac:dyDescent="0.35">
      <c r="A45" s="262"/>
      <c r="B45" s="263"/>
      <c r="C45" s="264"/>
      <c r="D45" s="264"/>
      <c r="E45" s="265"/>
      <c r="F45" s="266"/>
      <c r="O45" s="256"/>
      <c r="P45" s="256"/>
      <c r="S45" s="91" t="s">
        <v>50</v>
      </c>
      <c r="T45" s="35">
        <f>+B27</f>
        <v>946</v>
      </c>
      <c r="U45" s="254">
        <f t="shared" ref="U45:Z45" si="45">+W36</f>
        <v>941.80000000000007</v>
      </c>
      <c r="V45" s="254">
        <f t="shared" si="45"/>
        <v>918.18000000000006</v>
      </c>
      <c r="W45" s="254">
        <f t="shared" si="45"/>
        <v>23.619999999999955</v>
      </c>
      <c r="X45" s="254">
        <f t="shared" si="45"/>
        <v>53.8</v>
      </c>
      <c r="Y45" s="291">
        <f t="shared" si="45"/>
        <v>25</v>
      </c>
      <c r="Z45" s="254">
        <f t="shared" si="45"/>
        <v>52.419999999999952</v>
      </c>
      <c r="AA45" s="95">
        <f>+Z45/T45</f>
        <v>5.541226215644815E-2</v>
      </c>
      <c r="AB45" s="253">
        <f>+Z45/U45</f>
        <v>5.5659375663622793E-2</v>
      </c>
    </row>
    <row r="46" spans="1:29" ht="31.5" customHeight="1" thickBot="1" x14ac:dyDescent="0.4">
      <c r="A46" s="267"/>
      <c r="B46" s="268"/>
      <c r="C46" s="268"/>
      <c r="D46" s="269"/>
      <c r="E46" s="270"/>
      <c r="F46" s="266"/>
      <c r="G46" s="259"/>
      <c r="O46" s="257"/>
      <c r="P46" s="257"/>
      <c r="S46" s="93" t="s">
        <v>51</v>
      </c>
      <c r="T46" s="96">
        <f>SUM(T42:T45)</f>
        <v>7440</v>
      </c>
      <c r="U46" s="272">
        <f>SUM(U42:U45)</f>
        <v>5637.58</v>
      </c>
      <c r="V46" s="272">
        <f t="shared" ref="V46:Z46" si="46">SUM(V42:V45)</f>
        <v>5576.8400000000011</v>
      </c>
      <c r="W46" s="272">
        <f t="shared" si="46"/>
        <v>60.739999999999888</v>
      </c>
      <c r="X46" s="272">
        <f t="shared" si="46"/>
        <v>299.25</v>
      </c>
      <c r="Y46" s="272">
        <f t="shared" si="46"/>
        <v>92.5</v>
      </c>
      <c r="Z46" s="272">
        <f t="shared" si="46"/>
        <v>267.4899999999999</v>
      </c>
      <c r="AA46" s="273">
        <f>+Z46/T46</f>
        <v>3.5952956989247296E-2</v>
      </c>
      <c r="AB46" s="274">
        <f>+Z46/U46</f>
        <v>4.7447663713863025E-2</v>
      </c>
    </row>
    <row r="47" spans="1:29" x14ac:dyDescent="0.35">
      <c r="S47" s="290" t="s">
        <v>236</v>
      </c>
      <c r="T47" s="262">
        <v>410</v>
      </c>
      <c r="U47">
        <v>368</v>
      </c>
    </row>
    <row r="48" spans="1:29" x14ac:dyDescent="0.35">
      <c r="T48" s="262">
        <f>+T46+T47</f>
        <v>7850</v>
      </c>
      <c r="U48" s="63">
        <f>+U47+U46</f>
        <v>6005.58</v>
      </c>
    </row>
  </sheetData>
  <mergeCells count="15">
    <mergeCell ref="P2:U2"/>
    <mergeCell ref="A1:F1"/>
    <mergeCell ref="A2:G2"/>
    <mergeCell ref="H2:J2"/>
    <mergeCell ref="K2:M2"/>
    <mergeCell ref="N2:O2"/>
    <mergeCell ref="A27:A35"/>
    <mergeCell ref="B27:B35"/>
    <mergeCell ref="S40:AB40"/>
    <mergeCell ref="A4:A10"/>
    <mergeCell ref="B4:B10"/>
    <mergeCell ref="A12:A20"/>
    <mergeCell ref="B12:B20"/>
    <mergeCell ref="A22:A25"/>
    <mergeCell ref="B22:B25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9165D-8E01-4353-8C59-76334872CA68}">
  <dimension ref="A1:AC48"/>
  <sheetViews>
    <sheetView zoomScaleNormal="100" workbookViewId="0">
      <pane xSplit="7" ySplit="3" topLeftCell="P37" activePane="bottomRight" state="frozen"/>
      <selection pane="topRight" activeCell="H1" sqref="H1"/>
      <selection pane="bottomLeft" activeCell="A4" sqref="A4"/>
      <selection pane="bottomRight" activeCell="P41" sqref="P41"/>
    </sheetView>
  </sheetViews>
  <sheetFormatPr defaultRowHeight="14.5" x14ac:dyDescent="0.35"/>
  <cols>
    <col min="1" max="1" width="11" customWidth="1"/>
    <col min="2" max="2" width="7.81640625" customWidth="1"/>
    <col min="3" max="3" width="20" customWidth="1"/>
    <col min="4" max="4" width="9.1796875" customWidth="1"/>
    <col min="5" max="5" width="9.26953125" customWidth="1"/>
    <col min="6" max="6" width="10" customWidth="1"/>
    <col min="7" max="7" width="8.1796875" customWidth="1"/>
    <col min="8" max="8" width="12.54296875" customWidth="1"/>
    <col min="9" max="9" width="12.453125" customWidth="1"/>
    <col min="10" max="10" width="11" customWidth="1"/>
    <col min="11" max="11" width="9.453125" customWidth="1"/>
    <col min="12" max="12" width="11" customWidth="1"/>
    <col min="13" max="13" width="13.54296875" customWidth="1"/>
    <col min="14" max="14" width="14.81640625" customWidth="1"/>
    <col min="15" max="15" width="16" customWidth="1"/>
    <col min="16" max="16" width="11.26953125" customWidth="1"/>
    <col min="17" max="18" width="9.54296875" customWidth="1"/>
    <col min="19" max="19" width="12.54296875" customWidth="1"/>
    <col min="20" max="20" width="9.453125" customWidth="1"/>
    <col min="21" max="21" width="12.7265625" customWidth="1"/>
    <col min="22" max="22" width="10" customWidth="1"/>
    <col min="23" max="23" width="12.26953125" customWidth="1"/>
    <col min="24" max="24" width="11" customWidth="1"/>
    <col min="25" max="25" width="10.54296875" customWidth="1"/>
    <col min="26" max="26" width="11.26953125" customWidth="1"/>
    <col min="27" max="27" width="9.81640625" customWidth="1"/>
    <col min="28" max="28" width="11.26953125" customWidth="1"/>
  </cols>
  <sheetData>
    <row r="1" spans="1:29" ht="22.5" customHeight="1" thickBot="1" x14ac:dyDescent="0.4">
      <c r="A1" s="308" t="s">
        <v>36</v>
      </c>
      <c r="B1" s="309"/>
      <c r="C1" s="309"/>
      <c r="D1" s="309"/>
      <c r="E1" s="309"/>
      <c r="F1" s="310"/>
    </row>
    <row r="2" spans="1:29" ht="22.5" customHeight="1" thickBot="1" x14ac:dyDescent="0.4">
      <c r="A2" s="311" t="s">
        <v>237</v>
      </c>
      <c r="B2" s="312"/>
      <c r="C2" s="312"/>
      <c r="D2" s="312"/>
      <c r="E2" s="312"/>
      <c r="F2" s="312"/>
      <c r="G2" s="313"/>
      <c r="H2" s="314" t="s">
        <v>22</v>
      </c>
      <c r="I2" s="315"/>
      <c r="J2" s="316"/>
      <c r="K2" s="317" t="s">
        <v>23</v>
      </c>
      <c r="L2" s="318"/>
      <c r="M2" s="319"/>
      <c r="N2" s="320" t="s">
        <v>24</v>
      </c>
      <c r="O2" s="321"/>
      <c r="P2" s="305" t="s">
        <v>25</v>
      </c>
      <c r="Q2" s="306"/>
      <c r="R2" s="306"/>
      <c r="S2" s="306"/>
      <c r="T2" s="306"/>
      <c r="U2" s="307"/>
      <c r="W2" s="280" t="s">
        <v>43</v>
      </c>
      <c r="X2" s="281"/>
      <c r="Y2" s="281"/>
      <c r="Z2" s="281"/>
      <c r="AA2" s="283"/>
      <c r="AB2" s="282"/>
    </row>
    <row r="3" spans="1:29" ht="58.5" thickBot="1" x14ac:dyDescent="0.4">
      <c r="A3" s="39" t="s">
        <v>6</v>
      </c>
      <c r="B3" s="38" t="s">
        <v>7</v>
      </c>
      <c r="C3" s="38" t="s">
        <v>0</v>
      </c>
      <c r="D3" s="37" t="s">
        <v>15</v>
      </c>
      <c r="E3" s="38" t="s">
        <v>1</v>
      </c>
      <c r="F3" s="36" t="s">
        <v>27</v>
      </c>
      <c r="G3" s="37" t="s">
        <v>19</v>
      </c>
      <c r="H3" s="25" t="s">
        <v>4</v>
      </c>
      <c r="I3" s="89" t="s">
        <v>44</v>
      </c>
      <c r="J3" s="26" t="s">
        <v>29</v>
      </c>
      <c r="K3" s="88" t="s">
        <v>3</v>
      </c>
      <c r="L3" s="1" t="s">
        <v>28</v>
      </c>
      <c r="M3" s="87" t="s">
        <v>5</v>
      </c>
      <c r="N3" s="25" t="s">
        <v>20</v>
      </c>
      <c r="O3" s="275" t="s">
        <v>226</v>
      </c>
      <c r="P3" s="24" t="s">
        <v>8</v>
      </c>
      <c r="Q3" s="86" t="s">
        <v>9</v>
      </c>
      <c r="R3" s="2" t="s">
        <v>10</v>
      </c>
      <c r="S3" s="1" t="s">
        <v>26</v>
      </c>
      <c r="T3" s="1" t="s">
        <v>11</v>
      </c>
      <c r="U3" s="1" t="s">
        <v>30</v>
      </c>
      <c r="W3" s="43" t="s">
        <v>2</v>
      </c>
      <c r="X3" s="60" t="s">
        <v>3</v>
      </c>
      <c r="Y3" s="60" t="s">
        <v>28</v>
      </c>
      <c r="Z3" s="60" t="s">
        <v>5</v>
      </c>
      <c r="AA3" s="60" t="s">
        <v>233</v>
      </c>
      <c r="AB3" s="61" t="s">
        <v>26</v>
      </c>
    </row>
    <row r="4" spans="1:29" ht="20.25" customHeight="1" x14ac:dyDescent="0.35">
      <c r="A4" s="301" t="s">
        <v>37</v>
      </c>
      <c r="B4" s="303">
        <v>2542</v>
      </c>
      <c r="C4" s="34" t="s">
        <v>55</v>
      </c>
      <c r="D4" s="4">
        <v>2</v>
      </c>
      <c r="E4" s="30" t="s">
        <v>16</v>
      </c>
      <c r="F4" s="47">
        <v>2</v>
      </c>
      <c r="G4" s="5">
        <v>0.05</v>
      </c>
      <c r="H4" s="71">
        <f>+F4*B4</f>
        <v>5084</v>
      </c>
      <c r="I4" s="67">
        <v>5095</v>
      </c>
      <c r="J4" s="64">
        <f>I4-H4</f>
        <v>11</v>
      </c>
      <c r="K4" s="75">
        <f>2542*2</f>
        <v>5084</v>
      </c>
      <c r="L4" s="127">
        <f>+I4-K4</f>
        <v>11</v>
      </c>
      <c r="M4" s="78">
        <v>110</v>
      </c>
      <c r="N4" s="128">
        <f>+K4-M4</f>
        <v>4974</v>
      </c>
      <c r="O4" s="64">
        <f>+N4/B4</f>
        <v>1.956726986624705</v>
      </c>
      <c r="P4" s="18">
        <f>+L4+M4</f>
        <v>121</v>
      </c>
      <c r="Q4" s="81">
        <v>0</v>
      </c>
      <c r="R4" s="3">
        <f t="shared" ref="R4:R10" si="0">+P4-Q4</f>
        <v>121</v>
      </c>
      <c r="S4" s="3">
        <f t="shared" ref="S4:S10" si="1">+R4*G4</f>
        <v>6.0500000000000007</v>
      </c>
      <c r="T4" s="3">
        <f t="shared" ref="T4:T10" si="2">+R4*D4</f>
        <v>242</v>
      </c>
      <c r="U4" s="6">
        <f>+R4/I4</f>
        <v>2.3748773307163885E-2</v>
      </c>
      <c r="W4" s="102">
        <f>+I4*G4</f>
        <v>254.75</v>
      </c>
      <c r="X4" s="103">
        <f>+K4*G4</f>
        <v>254.20000000000002</v>
      </c>
      <c r="Y4" s="103">
        <f>+L4*G4</f>
        <v>0.55000000000000004</v>
      </c>
      <c r="Z4" s="103">
        <f>+M4*G4</f>
        <v>5.5</v>
      </c>
      <c r="AA4" s="284">
        <f>+Q4*G4</f>
        <v>0</v>
      </c>
      <c r="AB4" s="104">
        <f t="shared" ref="AB4:AB10" si="3">+R4*G4</f>
        <v>6.0500000000000007</v>
      </c>
    </row>
    <row r="5" spans="1:29" ht="20.25" customHeight="1" x14ac:dyDescent="0.35">
      <c r="A5" s="302"/>
      <c r="B5" s="304"/>
      <c r="C5" s="35" t="s">
        <v>198</v>
      </c>
      <c r="D5" s="10">
        <v>4</v>
      </c>
      <c r="E5" s="31" t="s">
        <v>16</v>
      </c>
      <c r="F5" s="48">
        <v>2</v>
      </c>
      <c r="G5" s="11">
        <v>0.05</v>
      </c>
      <c r="H5" s="70">
        <f>+F5*B4</f>
        <v>5084</v>
      </c>
      <c r="I5" s="68">
        <v>5090</v>
      </c>
      <c r="J5" s="13">
        <f t="shared" ref="J5:J10" si="4">I5-H5</f>
        <v>6</v>
      </c>
      <c r="K5" s="76">
        <v>5084</v>
      </c>
      <c r="L5" s="9">
        <f t="shared" ref="L5:L10" si="5">+I5-K5</f>
        <v>6</v>
      </c>
      <c r="M5" s="79">
        <v>160</v>
      </c>
      <c r="N5" s="23">
        <f t="shared" ref="N5:N10" si="6">+K5-M5</f>
        <v>4924</v>
      </c>
      <c r="O5" s="65">
        <f>+N5/B4</f>
        <v>1.9370574350904799</v>
      </c>
      <c r="P5" s="19">
        <f>+L5+M5</f>
        <v>166</v>
      </c>
      <c r="Q5" s="82">
        <v>0</v>
      </c>
      <c r="R5" s="9">
        <f t="shared" si="0"/>
        <v>166</v>
      </c>
      <c r="S5" s="9">
        <f>+R5*G5</f>
        <v>8.3000000000000007</v>
      </c>
      <c r="T5" s="9">
        <f t="shared" si="2"/>
        <v>664</v>
      </c>
      <c r="U5" s="12">
        <f t="shared" ref="U5:U9" si="7">+R5/I5</f>
        <v>3.2612966601178781E-2</v>
      </c>
      <c r="W5" s="102">
        <f t="shared" ref="W5:W35" si="8">+I5*G5</f>
        <v>254.5</v>
      </c>
      <c r="X5" s="103">
        <f t="shared" ref="X5:X35" si="9">+K5*G5</f>
        <v>254.20000000000002</v>
      </c>
      <c r="Y5" s="103">
        <f t="shared" ref="Y5:Y35" si="10">+L5*G5</f>
        <v>0.30000000000000004</v>
      </c>
      <c r="Z5" s="103">
        <f t="shared" ref="Z5:Z35" si="11">+M5*G5</f>
        <v>8</v>
      </c>
      <c r="AA5" s="284">
        <f t="shared" ref="AA5:AA35" si="12">+Q5*G5</f>
        <v>0</v>
      </c>
      <c r="AB5" s="104">
        <f t="shared" si="3"/>
        <v>8.3000000000000007</v>
      </c>
    </row>
    <row r="6" spans="1:29" ht="20.25" customHeight="1" x14ac:dyDescent="0.35">
      <c r="A6" s="302"/>
      <c r="B6" s="304"/>
      <c r="C6" s="35" t="s">
        <v>101</v>
      </c>
      <c r="D6" s="10">
        <v>40</v>
      </c>
      <c r="E6" s="31" t="s">
        <v>17</v>
      </c>
      <c r="F6" s="49">
        <v>0.15</v>
      </c>
      <c r="G6" s="11">
        <v>1</v>
      </c>
      <c r="H6" s="72">
        <f>+F6*B4</f>
        <v>381.3</v>
      </c>
      <c r="I6" s="68">
        <v>385</v>
      </c>
      <c r="J6" s="13">
        <f t="shared" si="4"/>
        <v>3.6999999999999886</v>
      </c>
      <c r="K6" s="76">
        <f>2542*0.15</f>
        <v>381.3</v>
      </c>
      <c r="L6" s="9">
        <f t="shared" si="5"/>
        <v>3.6999999999999886</v>
      </c>
      <c r="M6" s="79">
        <v>19</v>
      </c>
      <c r="N6" s="33">
        <f t="shared" si="6"/>
        <v>362.3</v>
      </c>
      <c r="O6" s="42">
        <f>+N6/B4</f>
        <v>0.14252557041699448</v>
      </c>
      <c r="P6" s="19">
        <f>+L6+M6</f>
        <v>22.699999999999989</v>
      </c>
      <c r="Q6" s="82">
        <v>0</v>
      </c>
      <c r="R6" s="9">
        <f t="shared" si="0"/>
        <v>22.699999999999989</v>
      </c>
      <c r="S6" s="9">
        <f t="shared" si="1"/>
        <v>22.699999999999989</v>
      </c>
      <c r="T6" s="9">
        <f t="shared" si="2"/>
        <v>907.99999999999955</v>
      </c>
      <c r="U6" s="12">
        <f t="shared" si="7"/>
        <v>5.8961038961038929E-2</v>
      </c>
      <c r="W6" s="102">
        <f t="shared" si="8"/>
        <v>385</v>
      </c>
      <c r="X6" s="103">
        <f t="shared" si="9"/>
        <v>381.3</v>
      </c>
      <c r="Y6" s="103">
        <f t="shared" si="10"/>
        <v>3.6999999999999886</v>
      </c>
      <c r="Z6" s="103">
        <f t="shared" si="11"/>
        <v>19</v>
      </c>
      <c r="AA6" s="284">
        <f t="shared" si="12"/>
        <v>0</v>
      </c>
      <c r="AB6" s="104">
        <f t="shared" si="3"/>
        <v>22.699999999999989</v>
      </c>
    </row>
    <row r="7" spans="1:29" ht="20.25" customHeight="1" x14ac:dyDescent="0.35">
      <c r="A7" s="302"/>
      <c r="B7" s="304"/>
      <c r="C7" s="35" t="s">
        <v>12</v>
      </c>
      <c r="D7" s="10">
        <v>45</v>
      </c>
      <c r="E7" s="31" t="s">
        <v>17</v>
      </c>
      <c r="F7" s="49">
        <v>0.1</v>
      </c>
      <c r="G7" s="11">
        <v>1</v>
      </c>
      <c r="H7" s="72">
        <f>+F7*B4</f>
        <v>254.20000000000002</v>
      </c>
      <c r="I7" s="68">
        <v>256</v>
      </c>
      <c r="J7" s="13">
        <f t="shared" si="4"/>
        <v>1.7999999999999829</v>
      </c>
      <c r="K7" s="76">
        <v>254.2</v>
      </c>
      <c r="L7" s="9">
        <f t="shared" si="5"/>
        <v>1.8000000000000114</v>
      </c>
      <c r="M7" s="79">
        <v>12</v>
      </c>
      <c r="N7" s="23">
        <f t="shared" si="6"/>
        <v>242.2</v>
      </c>
      <c r="O7" s="42">
        <f>+N7/B4</f>
        <v>9.5279307631785992E-2</v>
      </c>
      <c r="P7" s="19">
        <f t="shared" ref="P7:P10" si="13">+L7+M7</f>
        <v>13.800000000000011</v>
      </c>
      <c r="Q7" s="82">
        <v>0</v>
      </c>
      <c r="R7" s="9">
        <f t="shared" si="0"/>
        <v>13.800000000000011</v>
      </c>
      <c r="S7" s="9">
        <f t="shared" si="1"/>
        <v>13.800000000000011</v>
      </c>
      <c r="T7" s="9">
        <f t="shared" si="2"/>
        <v>621.00000000000045</v>
      </c>
      <c r="U7" s="12">
        <f t="shared" si="7"/>
        <v>5.3906250000000044E-2</v>
      </c>
      <c r="W7" s="102">
        <f t="shared" si="8"/>
        <v>256</v>
      </c>
      <c r="X7" s="103">
        <f t="shared" si="9"/>
        <v>254.2</v>
      </c>
      <c r="Y7" s="103">
        <f t="shared" si="10"/>
        <v>1.8000000000000114</v>
      </c>
      <c r="Z7" s="103">
        <f t="shared" si="11"/>
        <v>12</v>
      </c>
      <c r="AA7" s="284">
        <f t="shared" si="12"/>
        <v>0</v>
      </c>
      <c r="AB7" s="104">
        <f t="shared" si="3"/>
        <v>13.800000000000011</v>
      </c>
    </row>
    <row r="8" spans="1:29" ht="20.25" customHeight="1" x14ac:dyDescent="0.35">
      <c r="A8" s="302"/>
      <c r="B8" s="304"/>
      <c r="C8" s="35" t="s">
        <v>13</v>
      </c>
      <c r="D8" s="10">
        <v>52</v>
      </c>
      <c r="E8" s="31" t="s">
        <v>17</v>
      </c>
      <c r="F8" s="49">
        <v>0.1</v>
      </c>
      <c r="G8" s="11">
        <v>1</v>
      </c>
      <c r="H8" s="72">
        <f>+F8*B4</f>
        <v>254.20000000000002</v>
      </c>
      <c r="I8" s="68">
        <v>257</v>
      </c>
      <c r="J8" s="13">
        <f t="shared" si="4"/>
        <v>2.7999999999999829</v>
      </c>
      <c r="K8" s="76">
        <v>254.2</v>
      </c>
      <c r="L8" s="9">
        <f>+I8-K8</f>
        <v>2.8000000000000114</v>
      </c>
      <c r="M8" s="79">
        <v>12</v>
      </c>
      <c r="N8" s="33">
        <f t="shared" si="6"/>
        <v>242.2</v>
      </c>
      <c r="O8" s="42">
        <f>+N8/B4</f>
        <v>9.5279307631785992E-2</v>
      </c>
      <c r="P8" s="19">
        <f t="shared" si="13"/>
        <v>14.800000000000011</v>
      </c>
      <c r="Q8" s="82">
        <v>0</v>
      </c>
      <c r="R8" s="9">
        <f t="shared" si="0"/>
        <v>14.800000000000011</v>
      </c>
      <c r="S8" s="9">
        <f t="shared" si="1"/>
        <v>14.800000000000011</v>
      </c>
      <c r="T8" s="9">
        <f t="shared" si="2"/>
        <v>769.60000000000059</v>
      </c>
      <c r="U8" s="12">
        <f t="shared" si="7"/>
        <v>5.7587548638132341E-2</v>
      </c>
      <c r="W8" s="102">
        <f t="shared" si="8"/>
        <v>257</v>
      </c>
      <c r="X8" s="103">
        <f t="shared" si="9"/>
        <v>254.2</v>
      </c>
      <c r="Y8" s="103">
        <f t="shared" si="10"/>
        <v>2.8000000000000114</v>
      </c>
      <c r="Z8" s="103">
        <f t="shared" si="11"/>
        <v>12</v>
      </c>
      <c r="AA8" s="284">
        <f t="shared" si="12"/>
        <v>0</v>
      </c>
      <c r="AB8" s="104">
        <f t="shared" si="3"/>
        <v>14.800000000000011</v>
      </c>
    </row>
    <row r="9" spans="1:29" ht="20.25" customHeight="1" x14ac:dyDescent="0.35">
      <c r="A9" s="302"/>
      <c r="B9" s="304"/>
      <c r="C9" s="35" t="s">
        <v>102</v>
      </c>
      <c r="D9" s="10">
        <v>90</v>
      </c>
      <c r="E9" s="31" t="s">
        <v>17</v>
      </c>
      <c r="F9" s="49">
        <v>0.05</v>
      </c>
      <c r="G9" s="11">
        <v>1</v>
      </c>
      <c r="H9" s="73">
        <f>+F9*B4</f>
        <v>127.10000000000001</v>
      </c>
      <c r="I9" s="68">
        <v>128</v>
      </c>
      <c r="J9" s="13">
        <f t="shared" si="4"/>
        <v>0.89999999999999147</v>
      </c>
      <c r="K9" s="76">
        <f>2542*0.05</f>
        <v>127.10000000000001</v>
      </c>
      <c r="L9" s="54">
        <f>+I9-K9</f>
        <v>0.89999999999999147</v>
      </c>
      <c r="M9" s="79">
        <v>7</v>
      </c>
      <c r="N9" s="23">
        <f t="shared" si="6"/>
        <v>120.10000000000001</v>
      </c>
      <c r="O9" s="42">
        <f>+N9/B4</f>
        <v>4.72462627852085E-2</v>
      </c>
      <c r="P9" s="19">
        <f t="shared" si="13"/>
        <v>7.8999999999999915</v>
      </c>
      <c r="Q9" s="82">
        <v>0</v>
      </c>
      <c r="R9" s="9">
        <f t="shared" si="0"/>
        <v>7.8999999999999915</v>
      </c>
      <c r="S9" s="9">
        <f t="shared" si="1"/>
        <v>7.8999999999999915</v>
      </c>
      <c r="T9" s="9">
        <f t="shared" si="2"/>
        <v>710.9999999999992</v>
      </c>
      <c r="U9" s="12">
        <f t="shared" si="7"/>
        <v>6.1718749999999933E-2</v>
      </c>
      <c r="W9" s="102">
        <f t="shared" si="8"/>
        <v>128</v>
      </c>
      <c r="X9" s="103">
        <f t="shared" si="9"/>
        <v>127.10000000000001</v>
      </c>
      <c r="Y9" s="103">
        <f t="shared" si="10"/>
        <v>0.89999999999999147</v>
      </c>
      <c r="Z9" s="103">
        <f t="shared" si="11"/>
        <v>7</v>
      </c>
      <c r="AA9" s="284">
        <f t="shared" si="12"/>
        <v>0</v>
      </c>
      <c r="AB9" s="104">
        <f t="shared" si="3"/>
        <v>7.8999999999999915</v>
      </c>
    </row>
    <row r="10" spans="1:29" ht="20.25" customHeight="1" x14ac:dyDescent="0.35">
      <c r="A10" s="302"/>
      <c r="B10" s="304"/>
      <c r="C10" s="35" t="s">
        <v>14</v>
      </c>
      <c r="D10" s="10">
        <v>60</v>
      </c>
      <c r="E10" s="31" t="s">
        <v>18</v>
      </c>
      <c r="F10" s="49">
        <v>0.1</v>
      </c>
      <c r="G10" s="11">
        <v>1</v>
      </c>
      <c r="H10" s="72">
        <f>+F10*B4</f>
        <v>254.20000000000002</v>
      </c>
      <c r="I10" s="68">
        <v>255</v>
      </c>
      <c r="J10" s="13">
        <f t="shared" si="4"/>
        <v>0.79999999999998295</v>
      </c>
      <c r="K10" s="76">
        <v>254.2</v>
      </c>
      <c r="L10" s="9">
        <f t="shared" si="5"/>
        <v>0.80000000000001137</v>
      </c>
      <c r="M10" s="79">
        <v>7</v>
      </c>
      <c r="N10" s="33">
        <f t="shared" si="6"/>
        <v>247.2</v>
      </c>
      <c r="O10" s="42">
        <f>+N10/B4</f>
        <v>9.7246262785208495E-2</v>
      </c>
      <c r="P10" s="19">
        <f t="shared" si="13"/>
        <v>7.8000000000000114</v>
      </c>
      <c r="Q10" s="82">
        <v>0</v>
      </c>
      <c r="R10" s="9">
        <f t="shared" si="0"/>
        <v>7.8000000000000114</v>
      </c>
      <c r="S10" s="9">
        <f t="shared" si="1"/>
        <v>7.8000000000000114</v>
      </c>
      <c r="T10" s="9">
        <f t="shared" si="2"/>
        <v>468.00000000000068</v>
      </c>
      <c r="U10" s="12">
        <f>+R10/I10</f>
        <v>3.058823529411769E-2</v>
      </c>
      <c r="W10" s="115">
        <f t="shared" si="8"/>
        <v>255</v>
      </c>
      <c r="X10" s="116">
        <f t="shared" si="9"/>
        <v>254.2</v>
      </c>
      <c r="Y10" s="116">
        <f t="shared" si="10"/>
        <v>0.80000000000001137</v>
      </c>
      <c r="Z10" s="116">
        <f t="shared" si="11"/>
        <v>7</v>
      </c>
      <c r="AA10" s="284">
        <f t="shared" si="12"/>
        <v>0</v>
      </c>
      <c r="AB10" s="117">
        <f t="shared" si="3"/>
        <v>7.8000000000000114</v>
      </c>
    </row>
    <row r="11" spans="1:29" ht="20.25" customHeight="1" thickBot="1" x14ac:dyDescent="0.4">
      <c r="A11" s="27"/>
      <c r="B11" s="51"/>
      <c r="C11" s="50"/>
      <c r="D11" s="15"/>
      <c r="E11" s="15"/>
      <c r="F11" s="15"/>
      <c r="G11" s="15"/>
      <c r="H11" s="74"/>
      <c r="I11" s="69"/>
      <c r="J11" s="16"/>
      <c r="K11" s="77"/>
      <c r="L11" s="15"/>
      <c r="M11" s="80"/>
      <c r="N11" s="14"/>
      <c r="O11" s="16"/>
      <c r="P11" s="20"/>
      <c r="Q11" s="83"/>
      <c r="R11" s="15"/>
      <c r="S11" s="84">
        <f>SUM(S4:S10)</f>
        <v>81.350000000000009</v>
      </c>
      <c r="T11" s="56">
        <f>SUM(T4:T10)</f>
        <v>4383.6000000000004</v>
      </c>
      <c r="U11" s="16"/>
      <c r="W11" s="118">
        <f>SUM(W4:W10)</f>
        <v>1790.25</v>
      </c>
      <c r="X11" s="109">
        <f t="shared" ref="X11:AB11" si="14">SUM(X4:X10)</f>
        <v>1779.4</v>
      </c>
      <c r="Y11" s="109">
        <f t="shared" si="14"/>
        <v>10.850000000000014</v>
      </c>
      <c r="Z11" s="110">
        <f t="shared" si="14"/>
        <v>70.5</v>
      </c>
      <c r="AA11" s="289">
        <f>SUM(AA4:AA10)</f>
        <v>0</v>
      </c>
      <c r="AB11" s="114">
        <f t="shared" si="14"/>
        <v>81.350000000000009</v>
      </c>
      <c r="AC11" s="94"/>
    </row>
    <row r="12" spans="1:29" ht="20.25" customHeight="1" x14ac:dyDescent="0.35">
      <c r="A12" s="292" t="s">
        <v>38</v>
      </c>
      <c r="B12" s="295">
        <v>2172</v>
      </c>
      <c r="C12" s="34" t="s">
        <v>31</v>
      </c>
      <c r="D12" s="4">
        <v>20</v>
      </c>
      <c r="E12" s="30" t="s">
        <v>17</v>
      </c>
      <c r="F12" s="52">
        <v>0.45</v>
      </c>
      <c r="G12" s="5">
        <v>1</v>
      </c>
      <c r="H12" s="71">
        <f>+F12*B12</f>
        <v>977.4</v>
      </c>
      <c r="I12" s="67">
        <v>998</v>
      </c>
      <c r="J12" s="64">
        <f>I12-H12</f>
        <v>20.600000000000023</v>
      </c>
      <c r="K12" s="75">
        <v>977.4</v>
      </c>
      <c r="L12" s="3">
        <f>+I12-K12</f>
        <v>20.600000000000023</v>
      </c>
      <c r="M12" s="78">
        <v>40</v>
      </c>
      <c r="N12" s="21">
        <f>+K12-M12</f>
        <v>937.4</v>
      </c>
      <c r="O12" s="276">
        <f>+N12/B12</f>
        <v>0.43158379373848987</v>
      </c>
      <c r="P12" s="18">
        <f>+L12+M12</f>
        <v>60.600000000000023</v>
      </c>
      <c r="Q12" s="81">
        <v>40</v>
      </c>
      <c r="R12" s="3">
        <f>+P12-Q12</f>
        <v>20.600000000000023</v>
      </c>
      <c r="S12" s="3">
        <f>+R12*G12</f>
        <v>20.600000000000023</v>
      </c>
      <c r="T12" s="3">
        <f t="shared" ref="T12:T20" si="15">+R12*D12</f>
        <v>412.00000000000045</v>
      </c>
      <c r="U12" s="6">
        <f>+R12/I12</f>
        <v>2.0641282565130283E-2</v>
      </c>
      <c r="W12" s="111">
        <f>+I12*G12</f>
        <v>998</v>
      </c>
      <c r="X12" s="112">
        <f t="shared" si="9"/>
        <v>977.4</v>
      </c>
      <c r="Y12" s="112">
        <f t="shared" si="10"/>
        <v>20.600000000000023</v>
      </c>
      <c r="Z12" s="112">
        <f t="shared" si="11"/>
        <v>40</v>
      </c>
      <c r="AA12" s="284">
        <f t="shared" si="12"/>
        <v>40</v>
      </c>
      <c r="AB12" s="113">
        <f t="shared" ref="AB12:AB20" si="16">+R12*G12</f>
        <v>20.600000000000023</v>
      </c>
    </row>
    <row r="13" spans="1:29" ht="20.25" customHeight="1" x14ac:dyDescent="0.35">
      <c r="A13" s="293"/>
      <c r="B13" s="296"/>
      <c r="C13" s="35" t="s">
        <v>239</v>
      </c>
      <c r="D13" s="10">
        <v>65</v>
      </c>
      <c r="E13" s="31" t="s">
        <v>17</v>
      </c>
      <c r="F13" s="49">
        <v>0.08</v>
      </c>
      <c r="G13" s="11">
        <v>1</v>
      </c>
      <c r="H13" s="70">
        <f>+F13*B12</f>
        <v>173.76</v>
      </c>
      <c r="I13" s="68">
        <v>175.5</v>
      </c>
      <c r="J13" s="65">
        <f>+I13-H13</f>
        <v>1.7400000000000091</v>
      </c>
      <c r="K13" s="76">
        <v>173.4</v>
      </c>
      <c r="L13" s="9">
        <f>+I13-K13</f>
        <v>2.0999999999999943</v>
      </c>
      <c r="M13" s="79">
        <v>9.5</v>
      </c>
      <c r="N13" s="23">
        <f>+K13-M13</f>
        <v>163.9</v>
      </c>
      <c r="O13" s="277">
        <f>+N13/B12</f>
        <v>7.5460405156537749E-2</v>
      </c>
      <c r="P13" s="19">
        <f>+L13+M13</f>
        <v>11.599999999999994</v>
      </c>
      <c r="Q13" s="82">
        <v>0</v>
      </c>
      <c r="R13" s="9">
        <f t="shared" ref="R13:R20" si="17">+P13-Q13</f>
        <v>11.599999999999994</v>
      </c>
      <c r="S13" s="9">
        <f>+R13*G13</f>
        <v>11.599999999999994</v>
      </c>
      <c r="T13" s="9">
        <f t="shared" si="15"/>
        <v>753.99999999999966</v>
      </c>
      <c r="U13" s="12">
        <f>+R13/I13</f>
        <v>6.6096866096866061E-2</v>
      </c>
      <c r="W13" s="102">
        <f>+I13*G13</f>
        <v>175.5</v>
      </c>
      <c r="X13" s="103">
        <f t="shared" si="9"/>
        <v>173.4</v>
      </c>
      <c r="Y13" s="103">
        <f t="shared" si="10"/>
        <v>2.0999999999999943</v>
      </c>
      <c r="Z13" s="103">
        <f>+M13*G13</f>
        <v>9.5</v>
      </c>
      <c r="AA13" s="284">
        <f t="shared" si="12"/>
        <v>0</v>
      </c>
      <c r="AB13" s="104">
        <f t="shared" si="16"/>
        <v>11.599999999999994</v>
      </c>
    </row>
    <row r="14" spans="1:29" ht="20.25" customHeight="1" x14ac:dyDescent="0.35">
      <c r="A14" s="293"/>
      <c r="B14" s="296"/>
      <c r="C14" s="35" t="s">
        <v>240</v>
      </c>
      <c r="D14" s="10">
        <v>85</v>
      </c>
      <c r="E14" s="31" t="s">
        <v>17</v>
      </c>
      <c r="F14" s="49">
        <v>0.08</v>
      </c>
      <c r="G14" s="11">
        <v>1</v>
      </c>
      <c r="H14" s="72">
        <f>+F14*B12</f>
        <v>173.76</v>
      </c>
      <c r="I14" s="68">
        <v>175</v>
      </c>
      <c r="J14" s="65">
        <f>+I14-H14</f>
        <v>1.2400000000000091</v>
      </c>
      <c r="K14" s="76">
        <v>173.8</v>
      </c>
      <c r="L14" s="9">
        <f t="shared" ref="L14:L20" si="18">+I14-K14</f>
        <v>1.1999999999999886</v>
      </c>
      <c r="M14" s="79">
        <v>6</v>
      </c>
      <c r="N14" s="33">
        <f>+K14-M14</f>
        <v>167.8</v>
      </c>
      <c r="O14" s="277">
        <f>+N14/B12</f>
        <v>7.7255985267034991E-2</v>
      </c>
      <c r="P14" s="19">
        <f>+L14+M14</f>
        <v>7.1999999999999886</v>
      </c>
      <c r="Q14" s="82">
        <v>0</v>
      </c>
      <c r="R14" s="9">
        <f t="shared" si="17"/>
        <v>7.1999999999999886</v>
      </c>
      <c r="S14" s="9">
        <f t="shared" ref="S14:S20" si="19">+R14*G14</f>
        <v>7.1999999999999886</v>
      </c>
      <c r="T14" s="9">
        <f t="shared" si="15"/>
        <v>611.99999999999909</v>
      </c>
      <c r="U14" s="12">
        <f t="shared" ref="U14:U20" si="20">+R14/I14</f>
        <v>4.1142857142857078E-2</v>
      </c>
      <c r="W14" s="102">
        <f t="shared" si="8"/>
        <v>175</v>
      </c>
      <c r="X14" s="103">
        <f t="shared" si="9"/>
        <v>173.8</v>
      </c>
      <c r="Y14" s="103">
        <f t="shared" si="10"/>
        <v>1.1999999999999886</v>
      </c>
      <c r="Z14" s="103">
        <f>+M14*G14</f>
        <v>6</v>
      </c>
      <c r="AA14" s="284">
        <f t="shared" si="12"/>
        <v>0</v>
      </c>
      <c r="AB14" s="104">
        <f t="shared" si="16"/>
        <v>7.1999999999999886</v>
      </c>
    </row>
    <row r="15" spans="1:29" ht="20.25" customHeight="1" x14ac:dyDescent="0.35">
      <c r="A15" s="293"/>
      <c r="B15" s="296"/>
      <c r="C15" s="35" t="s">
        <v>92</v>
      </c>
      <c r="D15" s="10">
        <v>55</v>
      </c>
      <c r="E15" s="31" t="s">
        <v>17</v>
      </c>
      <c r="F15" s="49">
        <v>0.08</v>
      </c>
      <c r="G15" s="11">
        <v>1</v>
      </c>
      <c r="H15" s="72">
        <f>+F15*B12</f>
        <v>173.76</v>
      </c>
      <c r="I15" s="68">
        <v>176</v>
      </c>
      <c r="J15" s="13">
        <f t="shared" ref="J15:J20" si="21">I15-H15</f>
        <v>2.2400000000000091</v>
      </c>
      <c r="K15" s="76">
        <v>173.8</v>
      </c>
      <c r="L15" s="9">
        <f t="shared" si="18"/>
        <v>2.1999999999999886</v>
      </c>
      <c r="M15" s="79">
        <v>9</v>
      </c>
      <c r="N15" s="23">
        <f t="shared" ref="N15:N20" si="22">+K15-M15</f>
        <v>164.8</v>
      </c>
      <c r="O15" s="277">
        <f>+N15/B12</f>
        <v>7.5874769797421734E-2</v>
      </c>
      <c r="P15" s="19">
        <f t="shared" ref="P15:P20" si="23">+L15+M15</f>
        <v>11.199999999999989</v>
      </c>
      <c r="Q15" s="82">
        <v>0</v>
      </c>
      <c r="R15" s="9">
        <f t="shared" si="17"/>
        <v>11.199999999999989</v>
      </c>
      <c r="S15" s="9">
        <f t="shared" si="19"/>
        <v>11.199999999999989</v>
      </c>
      <c r="T15" s="9">
        <f t="shared" si="15"/>
        <v>615.99999999999932</v>
      </c>
      <c r="U15" s="12">
        <f t="shared" si="20"/>
        <v>6.3636363636363574E-2</v>
      </c>
      <c r="W15" s="102">
        <f t="shared" si="8"/>
        <v>176</v>
      </c>
      <c r="X15" s="103">
        <f t="shared" si="9"/>
        <v>173.8</v>
      </c>
      <c r="Y15" s="103">
        <f t="shared" si="10"/>
        <v>2.1999999999999886</v>
      </c>
      <c r="Z15" s="103">
        <f t="shared" si="11"/>
        <v>9</v>
      </c>
      <c r="AA15" s="284">
        <f t="shared" si="12"/>
        <v>0</v>
      </c>
      <c r="AB15" s="104">
        <f t="shared" si="16"/>
        <v>11.199999999999989</v>
      </c>
    </row>
    <row r="16" spans="1:29" ht="20.25" customHeight="1" x14ac:dyDescent="0.35">
      <c r="A16" s="293"/>
      <c r="B16" s="296"/>
      <c r="C16" s="35" t="s">
        <v>32</v>
      </c>
      <c r="D16" s="10">
        <v>48</v>
      </c>
      <c r="E16" s="31" t="s">
        <v>18</v>
      </c>
      <c r="F16" s="49">
        <v>0.06</v>
      </c>
      <c r="G16" s="11">
        <v>1</v>
      </c>
      <c r="H16" s="72">
        <f>+F16*B12</f>
        <v>130.32</v>
      </c>
      <c r="I16" s="68">
        <v>134</v>
      </c>
      <c r="J16" s="13">
        <f t="shared" si="21"/>
        <v>3.6800000000000068</v>
      </c>
      <c r="K16" s="76">
        <v>130.30000000000001</v>
      </c>
      <c r="L16" s="9">
        <f t="shared" si="18"/>
        <v>3.6999999999999886</v>
      </c>
      <c r="M16" s="79">
        <v>8.5</v>
      </c>
      <c r="N16" s="33">
        <f t="shared" si="22"/>
        <v>121.80000000000001</v>
      </c>
      <c r="O16" s="277">
        <f>+N16/B12</f>
        <v>5.6077348066298348E-2</v>
      </c>
      <c r="P16" s="19">
        <f t="shared" si="23"/>
        <v>12.199999999999989</v>
      </c>
      <c r="Q16" s="82">
        <v>0</v>
      </c>
      <c r="R16" s="9">
        <f t="shared" si="17"/>
        <v>12.199999999999989</v>
      </c>
      <c r="S16" s="9">
        <f t="shared" si="19"/>
        <v>12.199999999999989</v>
      </c>
      <c r="T16" s="9">
        <f t="shared" si="15"/>
        <v>585.59999999999945</v>
      </c>
      <c r="U16" s="12">
        <f t="shared" si="20"/>
        <v>9.1044776119402898E-2</v>
      </c>
      <c r="W16" s="102">
        <f t="shared" si="8"/>
        <v>134</v>
      </c>
      <c r="X16" s="103">
        <f t="shared" si="9"/>
        <v>130.30000000000001</v>
      </c>
      <c r="Y16" s="103">
        <f t="shared" si="10"/>
        <v>3.6999999999999886</v>
      </c>
      <c r="Z16" s="103">
        <f t="shared" si="11"/>
        <v>8.5</v>
      </c>
      <c r="AA16" s="284">
        <f t="shared" si="12"/>
        <v>0</v>
      </c>
      <c r="AB16" s="104">
        <f t="shared" si="16"/>
        <v>12.199999999999989</v>
      </c>
    </row>
    <row r="17" spans="1:29" ht="20.25" customHeight="1" x14ac:dyDescent="0.35">
      <c r="A17" s="293"/>
      <c r="B17" s="296"/>
      <c r="C17" s="35" t="s">
        <v>155</v>
      </c>
      <c r="D17" s="10">
        <v>35</v>
      </c>
      <c r="E17" s="31" t="s">
        <v>18</v>
      </c>
      <c r="F17" s="49">
        <v>0.06</v>
      </c>
      <c r="G17" s="11">
        <v>1</v>
      </c>
      <c r="H17" s="73">
        <f>+F17*B12</f>
        <v>130.32</v>
      </c>
      <c r="I17" s="68">
        <v>135</v>
      </c>
      <c r="J17" s="66">
        <f t="shared" si="21"/>
        <v>4.6800000000000068</v>
      </c>
      <c r="K17" s="76">
        <v>130.30000000000001</v>
      </c>
      <c r="L17" s="9">
        <f t="shared" si="18"/>
        <v>4.6999999999999886</v>
      </c>
      <c r="M17" s="79">
        <v>7.5</v>
      </c>
      <c r="N17" s="23">
        <f t="shared" si="22"/>
        <v>122.80000000000001</v>
      </c>
      <c r="O17" s="277">
        <f>+N17/B12</f>
        <v>5.65377532228361E-2</v>
      </c>
      <c r="P17" s="19">
        <f t="shared" si="23"/>
        <v>12.199999999999989</v>
      </c>
      <c r="Q17" s="82">
        <v>0</v>
      </c>
      <c r="R17" s="9">
        <f t="shared" si="17"/>
        <v>12.199999999999989</v>
      </c>
      <c r="S17" s="9">
        <f t="shared" si="19"/>
        <v>12.199999999999989</v>
      </c>
      <c r="T17" s="9">
        <f t="shared" si="15"/>
        <v>426.9999999999996</v>
      </c>
      <c r="U17" s="12">
        <f t="shared" si="20"/>
        <v>9.0370370370370282E-2</v>
      </c>
      <c r="W17" s="102">
        <f t="shared" si="8"/>
        <v>135</v>
      </c>
      <c r="X17" s="103">
        <f t="shared" si="9"/>
        <v>130.30000000000001</v>
      </c>
      <c r="Y17" s="103">
        <f t="shared" si="10"/>
        <v>4.6999999999999886</v>
      </c>
      <c r="Z17" s="103">
        <f t="shared" si="11"/>
        <v>7.5</v>
      </c>
      <c r="AA17" s="284">
        <f t="shared" si="12"/>
        <v>0</v>
      </c>
      <c r="AB17" s="104">
        <f t="shared" si="16"/>
        <v>12.199999999999989</v>
      </c>
    </row>
    <row r="18" spans="1:29" ht="20.25" customHeight="1" x14ac:dyDescent="0.35">
      <c r="A18" s="293"/>
      <c r="B18" s="296"/>
      <c r="C18" s="35" t="s">
        <v>33</v>
      </c>
      <c r="D18" s="10">
        <v>50</v>
      </c>
      <c r="E18" s="31" t="s">
        <v>17</v>
      </c>
      <c r="F18" s="49">
        <v>0.03</v>
      </c>
      <c r="G18" s="11">
        <v>1</v>
      </c>
      <c r="H18" s="72">
        <f>+F18*B12</f>
        <v>65.16</v>
      </c>
      <c r="I18" s="68">
        <v>67</v>
      </c>
      <c r="J18" s="13">
        <f t="shared" si="21"/>
        <v>1.8400000000000034</v>
      </c>
      <c r="K18" s="76">
        <v>65.2</v>
      </c>
      <c r="L18" s="9">
        <f t="shared" si="18"/>
        <v>1.7999999999999972</v>
      </c>
      <c r="M18" s="79">
        <v>14</v>
      </c>
      <c r="N18" s="23">
        <f t="shared" si="22"/>
        <v>51.2</v>
      </c>
      <c r="O18" s="277">
        <f>+N18/B12</f>
        <v>2.3572744014732968E-2</v>
      </c>
      <c r="P18" s="19">
        <f t="shared" si="23"/>
        <v>15.799999999999997</v>
      </c>
      <c r="Q18" s="82">
        <v>0</v>
      </c>
      <c r="R18" s="9">
        <f t="shared" si="17"/>
        <v>15.799999999999997</v>
      </c>
      <c r="S18" s="9">
        <f t="shared" si="19"/>
        <v>15.799999999999997</v>
      </c>
      <c r="T18" s="9">
        <f t="shared" si="15"/>
        <v>789.99999999999989</v>
      </c>
      <c r="U18" s="12">
        <f t="shared" si="20"/>
        <v>0.23582089552238802</v>
      </c>
      <c r="W18" s="102">
        <f t="shared" si="8"/>
        <v>67</v>
      </c>
      <c r="X18" s="103">
        <f t="shared" si="9"/>
        <v>65.2</v>
      </c>
      <c r="Y18" s="103">
        <f t="shared" si="10"/>
        <v>1.7999999999999972</v>
      </c>
      <c r="Z18" s="103">
        <f t="shared" si="11"/>
        <v>14</v>
      </c>
      <c r="AA18" s="284">
        <f t="shared" si="12"/>
        <v>0</v>
      </c>
      <c r="AB18" s="104">
        <f t="shared" si="16"/>
        <v>15.799999999999997</v>
      </c>
    </row>
    <row r="19" spans="1:29" ht="20.25" customHeight="1" x14ac:dyDescent="0.35">
      <c r="A19" s="293"/>
      <c r="B19" s="296"/>
      <c r="C19" s="35" t="s">
        <v>34</v>
      </c>
      <c r="D19" s="31">
        <v>70</v>
      </c>
      <c r="E19" s="31" t="s">
        <v>17</v>
      </c>
      <c r="F19" s="11">
        <v>0.1</v>
      </c>
      <c r="G19" s="11">
        <v>1</v>
      </c>
      <c r="H19" s="72">
        <f>+F19*B12</f>
        <v>217.20000000000002</v>
      </c>
      <c r="I19" s="68">
        <v>217.5</v>
      </c>
      <c r="J19" s="13">
        <f t="shared" si="21"/>
        <v>0.29999999999998295</v>
      </c>
      <c r="K19" s="76">
        <v>217.2</v>
      </c>
      <c r="L19" s="9">
        <f t="shared" si="18"/>
        <v>0.30000000000001137</v>
      </c>
      <c r="M19" s="79">
        <v>0</v>
      </c>
      <c r="N19" s="23">
        <f t="shared" si="22"/>
        <v>217.2</v>
      </c>
      <c r="O19" s="277">
        <f>+N19/B12</f>
        <v>9.9999999999999992E-2</v>
      </c>
      <c r="P19" s="19">
        <f t="shared" si="23"/>
        <v>0.30000000000001137</v>
      </c>
      <c r="Q19" s="82">
        <v>0</v>
      </c>
      <c r="R19" s="9">
        <f t="shared" si="17"/>
        <v>0.30000000000001137</v>
      </c>
      <c r="S19" s="9">
        <f t="shared" si="19"/>
        <v>0.30000000000001137</v>
      </c>
      <c r="T19" s="9">
        <f t="shared" si="15"/>
        <v>21.000000000000796</v>
      </c>
      <c r="U19" s="12">
        <f t="shared" si="20"/>
        <v>1.3793103448276386E-3</v>
      </c>
      <c r="W19" s="102">
        <f t="shared" si="8"/>
        <v>217.5</v>
      </c>
      <c r="X19" s="103">
        <f t="shared" si="9"/>
        <v>217.2</v>
      </c>
      <c r="Y19" s="103">
        <f t="shared" si="10"/>
        <v>0.30000000000001137</v>
      </c>
      <c r="Z19" s="103">
        <f t="shared" si="11"/>
        <v>0</v>
      </c>
      <c r="AA19" s="284">
        <f t="shared" si="12"/>
        <v>0</v>
      </c>
      <c r="AB19" s="104">
        <f t="shared" si="16"/>
        <v>0.30000000000001137</v>
      </c>
    </row>
    <row r="20" spans="1:29" ht="20.25" customHeight="1" x14ac:dyDescent="0.35">
      <c r="A20" s="294"/>
      <c r="B20" s="297"/>
      <c r="C20" s="40" t="s">
        <v>35</v>
      </c>
      <c r="D20" s="44">
        <v>2</v>
      </c>
      <c r="E20" s="44" t="s">
        <v>16</v>
      </c>
      <c r="F20" s="53">
        <v>2</v>
      </c>
      <c r="G20" s="45">
        <v>0.04</v>
      </c>
      <c r="H20" s="72">
        <f>+F20*B12</f>
        <v>4344</v>
      </c>
      <c r="I20" s="68">
        <v>4365</v>
      </c>
      <c r="J20" s="13">
        <f t="shared" si="21"/>
        <v>21</v>
      </c>
      <c r="K20" s="76">
        <v>4344</v>
      </c>
      <c r="L20" s="9">
        <f t="shared" si="18"/>
        <v>21</v>
      </c>
      <c r="M20" s="79">
        <v>40</v>
      </c>
      <c r="N20" s="33">
        <f t="shared" si="22"/>
        <v>4304</v>
      </c>
      <c r="O20" s="277">
        <f>+N20/B12</f>
        <v>1.9815837937384899</v>
      </c>
      <c r="P20" s="19">
        <f t="shared" si="23"/>
        <v>61</v>
      </c>
      <c r="Q20" s="82">
        <v>0</v>
      </c>
      <c r="R20" s="9">
        <f t="shared" si="17"/>
        <v>61</v>
      </c>
      <c r="S20" s="9">
        <f t="shared" si="19"/>
        <v>2.44</v>
      </c>
      <c r="T20" s="9">
        <f t="shared" si="15"/>
        <v>122</v>
      </c>
      <c r="U20" s="12">
        <f t="shared" si="20"/>
        <v>1.3974799541809852E-2</v>
      </c>
      <c r="W20" s="115">
        <f t="shared" si="8"/>
        <v>174.6</v>
      </c>
      <c r="X20" s="116">
        <f t="shared" si="9"/>
        <v>173.76</v>
      </c>
      <c r="Y20" s="116">
        <f t="shared" si="10"/>
        <v>0.84</v>
      </c>
      <c r="Z20" s="116">
        <f t="shared" si="11"/>
        <v>1.6</v>
      </c>
      <c r="AA20" s="284">
        <f t="shared" si="12"/>
        <v>0</v>
      </c>
      <c r="AB20" s="117">
        <f t="shared" si="16"/>
        <v>2.44</v>
      </c>
    </row>
    <row r="21" spans="1:29" ht="20.25" customHeight="1" thickBot="1" x14ac:dyDescent="0.4">
      <c r="A21" s="27"/>
      <c r="B21" s="28"/>
      <c r="C21" s="29"/>
      <c r="D21" s="15"/>
      <c r="E21" s="15"/>
      <c r="F21" s="15"/>
      <c r="G21" s="15"/>
      <c r="H21" s="74"/>
      <c r="I21" s="69"/>
      <c r="J21" s="16"/>
      <c r="K21" s="77"/>
      <c r="L21" s="15"/>
      <c r="M21" s="80"/>
      <c r="N21" s="14"/>
      <c r="O21" s="278">
        <f>SUM(O12:O19)+0.06</f>
        <v>0.95636279926335166</v>
      </c>
      <c r="P21" s="20"/>
      <c r="Q21" s="83"/>
      <c r="R21" s="15"/>
      <c r="S21" s="56">
        <f>SUM(S12:S20)</f>
        <v>93.539999999999978</v>
      </c>
      <c r="T21" s="56">
        <f>SUM(T12:T20)</f>
        <v>4339.5999999999976</v>
      </c>
      <c r="U21" s="16"/>
      <c r="W21" s="118">
        <f>SUM(W12:W20)</f>
        <v>2252.6</v>
      </c>
      <c r="X21" s="110">
        <f t="shared" ref="X21:AB21" si="24">SUM(X12:X20)</f>
        <v>2215.16</v>
      </c>
      <c r="Y21" s="114">
        <f t="shared" si="24"/>
        <v>37.439999999999984</v>
      </c>
      <c r="Z21" s="109">
        <f t="shared" si="24"/>
        <v>96.1</v>
      </c>
      <c r="AA21" s="286">
        <f>SUM(AA12:AA20)</f>
        <v>40</v>
      </c>
      <c r="AB21" s="109">
        <f t="shared" si="24"/>
        <v>93.539999999999978</v>
      </c>
      <c r="AC21" s="94"/>
    </row>
    <row r="22" spans="1:29" ht="20.25" customHeight="1" x14ac:dyDescent="0.35">
      <c r="A22" s="292" t="s">
        <v>39</v>
      </c>
      <c r="B22" s="295">
        <v>2450</v>
      </c>
      <c r="C22" s="34" t="s">
        <v>126</v>
      </c>
      <c r="D22" s="4">
        <v>3</v>
      </c>
      <c r="E22" s="4" t="s">
        <v>186</v>
      </c>
      <c r="F22" s="135">
        <v>4</v>
      </c>
      <c r="G22" s="5">
        <v>0.03</v>
      </c>
      <c r="H22" s="71">
        <f>+F22*B22</f>
        <v>9800</v>
      </c>
      <c r="I22" s="67">
        <v>9840</v>
      </c>
      <c r="J22" s="22">
        <f>I22-H22</f>
        <v>40</v>
      </c>
      <c r="K22" s="75">
        <v>9800</v>
      </c>
      <c r="L22" s="3">
        <f>+I22-K22</f>
        <v>40</v>
      </c>
      <c r="M22" s="78">
        <v>15</v>
      </c>
      <c r="N22" s="21">
        <f>+K22-M22</f>
        <v>9785</v>
      </c>
      <c r="O22" s="41">
        <f>+N22/B22</f>
        <v>3.9938775510204083</v>
      </c>
      <c r="P22" s="18">
        <f>+L22+M22</f>
        <v>55</v>
      </c>
      <c r="Q22" s="81">
        <v>21</v>
      </c>
      <c r="R22" s="3">
        <f>+P22-Q22</f>
        <v>34</v>
      </c>
      <c r="S22" s="3">
        <f>+R22*G22</f>
        <v>1.02</v>
      </c>
      <c r="T22" s="3">
        <f>+R22*D22</f>
        <v>102</v>
      </c>
      <c r="U22" s="6">
        <f>+R22/I22</f>
        <v>3.4552845528455283E-3</v>
      </c>
      <c r="W22" s="111">
        <f t="shared" si="8"/>
        <v>295.2</v>
      </c>
      <c r="X22" s="112">
        <f t="shared" si="9"/>
        <v>294</v>
      </c>
      <c r="Y22" s="112">
        <f t="shared" si="10"/>
        <v>1.2</v>
      </c>
      <c r="Z22" s="112">
        <f>+M22*G22</f>
        <v>0.44999999999999996</v>
      </c>
      <c r="AA22" s="284">
        <f t="shared" si="12"/>
        <v>0.63</v>
      </c>
      <c r="AB22" s="113">
        <f>+R22*G22</f>
        <v>1.02</v>
      </c>
    </row>
    <row r="23" spans="1:29" ht="20.25" customHeight="1" x14ac:dyDescent="0.35">
      <c r="A23" s="293"/>
      <c r="B23" s="296"/>
      <c r="C23" s="35" t="s">
        <v>112</v>
      </c>
      <c r="D23" s="10">
        <v>52</v>
      </c>
      <c r="E23" s="10" t="s">
        <v>186</v>
      </c>
      <c r="F23" s="279">
        <v>0.1</v>
      </c>
      <c r="G23" s="11">
        <v>1</v>
      </c>
      <c r="H23" s="70">
        <f>+F23*B22</f>
        <v>245</v>
      </c>
      <c r="I23" s="68">
        <v>245</v>
      </c>
      <c r="J23" s="13">
        <f>I23-H23</f>
        <v>0</v>
      </c>
      <c r="K23" s="76">
        <v>245</v>
      </c>
      <c r="L23" s="9">
        <f t="shared" ref="L23:L25" si="25">+I23-K23</f>
        <v>0</v>
      </c>
      <c r="M23" s="79">
        <v>2</v>
      </c>
      <c r="N23" s="23">
        <f>+K23-M23</f>
        <v>243</v>
      </c>
      <c r="O23" s="42">
        <f>+N23/B22</f>
        <v>9.9183673469387751E-2</v>
      </c>
      <c r="P23" s="19">
        <f>+L23+M23</f>
        <v>2</v>
      </c>
      <c r="Q23" s="82">
        <v>0</v>
      </c>
      <c r="R23" s="9">
        <f t="shared" ref="R23:R25" si="26">+P23-Q23</f>
        <v>2</v>
      </c>
      <c r="S23" s="9">
        <f>+R23*G23</f>
        <v>2</v>
      </c>
      <c r="T23" s="9">
        <f>+R23*D23</f>
        <v>104</v>
      </c>
      <c r="U23" s="12">
        <f t="shared" ref="U23:U25" si="27">+R23/I23</f>
        <v>8.1632653061224497E-3</v>
      </c>
      <c r="W23" s="102">
        <f t="shared" si="8"/>
        <v>245</v>
      </c>
      <c r="X23" s="103">
        <f t="shared" si="9"/>
        <v>245</v>
      </c>
      <c r="Y23" s="103">
        <f t="shared" si="10"/>
        <v>0</v>
      </c>
      <c r="Z23" s="103">
        <f>+M23*G23</f>
        <v>2</v>
      </c>
      <c r="AA23" s="284">
        <f t="shared" si="12"/>
        <v>0</v>
      </c>
      <c r="AB23" s="104">
        <f>+R23*G23</f>
        <v>2</v>
      </c>
    </row>
    <row r="24" spans="1:29" ht="20.25" customHeight="1" x14ac:dyDescent="0.35">
      <c r="A24" s="293"/>
      <c r="B24" s="296"/>
      <c r="C24" s="35" t="s">
        <v>245</v>
      </c>
      <c r="D24" s="10">
        <v>6</v>
      </c>
      <c r="E24" s="10" t="s">
        <v>16</v>
      </c>
      <c r="F24" s="126">
        <v>1</v>
      </c>
      <c r="G24" s="11">
        <v>0.05</v>
      </c>
      <c r="H24" s="72">
        <f>+F24*B22</f>
        <v>2450</v>
      </c>
      <c r="I24" s="68">
        <v>2460</v>
      </c>
      <c r="J24" s="13">
        <f>I24-H24</f>
        <v>10</v>
      </c>
      <c r="K24" s="76">
        <v>2450</v>
      </c>
      <c r="L24" s="9">
        <f t="shared" si="25"/>
        <v>10</v>
      </c>
      <c r="M24" s="79">
        <v>0</v>
      </c>
      <c r="N24" s="33">
        <f t="shared" ref="N24:N25" si="28">+K24-M24</f>
        <v>2450</v>
      </c>
      <c r="O24" s="42">
        <f>+N24/B22</f>
        <v>1</v>
      </c>
      <c r="P24" s="19">
        <f>+L24+M24</f>
        <v>10</v>
      </c>
      <c r="Q24" s="82">
        <v>0</v>
      </c>
      <c r="R24" s="9">
        <f t="shared" si="26"/>
        <v>10</v>
      </c>
      <c r="S24" s="9">
        <f>+R24*G24</f>
        <v>0.5</v>
      </c>
      <c r="T24" s="9">
        <f>+R24*D24</f>
        <v>60</v>
      </c>
      <c r="U24" s="12">
        <f t="shared" si="27"/>
        <v>4.0650406504065045E-3</v>
      </c>
      <c r="W24" s="102">
        <f t="shared" si="8"/>
        <v>123</v>
      </c>
      <c r="X24" s="103">
        <f t="shared" si="9"/>
        <v>122.5</v>
      </c>
      <c r="Y24" s="103">
        <f t="shared" si="10"/>
        <v>0.5</v>
      </c>
      <c r="Z24" s="103">
        <f t="shared" si="11"/>
        <v>0</v>
      </c>
      <c r="AA24" s="284">
        <f t="shared" si="12"/>
        <v>0</v>
      </c>
      <c r="AB24" s="104">
        <f>+R24*G24</f>
        <v>0.5</v>
      </c>
    </row>
    <row r="25" spans="1:29" ht="20.25" customHeight="1" x14ac:dyDescent="0.35">
      <c r="A25" s="293"/>
      <c r="B25" s="296"/>
      <c r="C25" s="35" t="s">
        <v>14</v>
      </c>
      <c r="D25" s="10">
        <v>60</v>
      </c>
      <c r="E25" s="10" t="s">
        <v>18</v>
      </c>
      <c r="F25" s="49">
        <v>0.1</v>
      </c>
      <c r="G25" s="11">
        <v>1</v>
      </c>
      <c r="H25" s="72">
        <f>+F25*B22</f>
        <v>245</v>
      </c>
      <c r="I25" s="68">
        <v>246</v>
      </c>
      <c r="J25" s="13">
        <f>I25-H25</f>
        <v>1</v>
      </c>
      <c r="K25" s="76">
        <v>245</v>
      </c>
      <c r="L25" s="9">
        <f t="shared" si="25"/>
        <v>1</v>
      </c>
      <c r="M25" s="79">
        <v>5.5</v>
      </c>
      <c r="N25" s="23">
        <f t="shared" si="28"/>
        <v>239.5</v>
      </c>
      <c r="O25" s="42">
        <f>+N25/B22</f>
        <v>9.7755102040816333E-2</v>
      </c>
      <c r="P25" s="19">
        <f t="shared" ref="P25" si="29">+L25+M25</f>
        <v>6.5</v>
      </c>
      <c r="Q25" s="82">
        <v>0</v>
      </c>
      <c r="R25" s="9">
        <f t="shared" si="26"/>
        <v>6.5</v>
      </c>
      <c r="S25" s="9">
        <f>+R25*G25</f>
        <v>6.5</v>
      </c>
      <c r="T25" s="9">
        <f>+R25*D25</f>
        <v>390</v>
      </c>
      <c r="U25" s="12">
        <f t="shared" si="27"/>
        <v>2.6422764227642278E-2</v>
      </c>
      <c r="W25" s="105">
        <f t="shared" si="8"/>
        <v>246</v>
      </c>
      <c r="X25" s="106">
        <f t="shared" si="9"/>
        <v>245</v>
      </c>
      <c r="Y25" s="106">
        <f t="shared" si="10"/>
        <v>1</v>
      </c>
      <c r="Z25" s="106">
        <f t="shared" si="11"/>
        <v>5.5</v>
      </c>
      <c r="AA25" s="284">
        <f t="shared" si="12"/>
        <v>0</v>
      </c>
      <c r="AB25" s="107">
        <f>+R25*G25</f>
        <v>6.5</v>
      </c>
    </row>
    <row r="26" spans="1:29" ht="21.75" customHeight="1" thickBot="1" x14ac:dyDescent="0.4">
      <c r="A26" s="27"/>
      <c r="B26" s="55"/>
      <c r="C26" s="29"/>
      <c r="D26" s="15"/>
      <c r="E26" s="15"/>
      <c r="F26" s="15"/>
      <c r="G26" s="15"/>
      <c r="H26" s="74"/>
      <c r="I26" s="69"/>
      <c r="J26" s="16"/>
      <c r="K26" s="77"/>
      <c r="L26" s="15"/>
      <c r="M26" s="80"/>
      <c r="N26" s="14"/>
      <c r="O26" s="16"/>
      <c r="P26" s="20"/>
      <c r="Q26" s="83"/>
      <c r="R26" s="15"/>
      <c r="S26" s="56">
        <f>SUM(S22:S25)</f>
        <v>10.02</v>
      </c>
      <c r="T26" s="56">
        <f>SUM(T22:T25)</f>
        <v>656</v>
      </c>
      <c r="U26" s="16"/>
      <c r="W26" s="123">
        <f>SUM(W22:W25)</f>
        <v>909.2</v>
      </c>
      <c r="X26" s="124">
        <f t="shared" ref="X26:AB26" si="30">SUM(X22:X25)</f>
        <v>906.5</v>
      </c>
      <c r="Y26" s="124">
        <f t="shared" si="30"/>
        <v>2.7</v>
      </c>
      <c r="Z26" s="124">
        <f t="shared" si="30"/>
        <v>7.95</v>
      </c>
      <c r="AA26" s="287">
        <f>SUM(AA22:AA25)</f>
        <v>0.63</v>
      </c>
      <c r="AB26" s="125">
        <f t="shared" si="30"/>
        <v>10.02</v>
      </c>
    </row>
    <row r="27" spans="1:29" ht="20.25" customHeight="1" x14ac:dyDescent="0.35">
      <c r="A27" s="292" t="s">
        <v>40</v>
      </c>
      <c r="B27" s="295">
        <v>1094</v>
      </c>
      <c r="C27" s="34" t="s">
        <v>31</v>
      </c>
      <c r="D27" s="4">
        <v>20</v>
      </c>
      <c r="E27" s="30" t="s">
        <v>17</v>
      </c>
      <c r="F27" s="52">
        <v>0.4</v>
      </c>
      <c r="G27" s="5">
        <v>1</v>
      </c>
      <c r="H27" s="71">
        <f>+F27*B27</f>
        <v>437.6</v>
      </c>
      <c r="I27" s="67">
        <v>447</v>
      </c>
      <c r="J27" s="22">
        <f t="shared" ref="J27:J35" si="31">I27-H27</f>
        <v>9.3999999999999773</v>
      </c>
      <c r="K27" s="75">
        <v>437.6</v>
      </c>
      <c r="L27" s="9">
        <f t="shared" ref="L27:L35" si="32">+I27-K27</f>
        <v>9.3999999999999773</v>
      </c>
      <c r="M27" s="78">
        <v>30</v>
      </c>
      <c r="N27" s="21">
        <f>+K27-M27</f>
        <v>407.6</v>
      </c>
      <c r="O27" s="41">
        <f>+N27/B27</f>
        <v>0.37257769652650824</v>
      </c>
      <c r="P27" s="18">
        <f>+L27+M27</f>
        <v>39.399999999999977</v>
      </c>
      <c r="Q27" s="81">
        <v>15</v>
      </c>
      <c r="R27" s="3">
        <f>+P27-Q27</f>
        <v>24.399999999999977</v>
      </c>
      <c r="S27" s="3">
        <f t="shared" ref="S27:S35" si="33">+R27*G27</f>
        <v>24.399999999999977</v>
      </c>
      <c r="T27" s="3">
        <f t="shared" ref="T27:T35" si="34">+R27*D27</f>
        <v>487.99999999999955</v>
      </c>
      <c r="U27" s="6">
        <f>+R27/I27</f>
        <v>5.4586129753914935E-2</v>
      </c>
      <c r="W27" s="111">
        <f t="shared" si="8"/>
        <v>447</v>
      </c>
      <c r="X27" s="112">
        <f t="shared" si="9"/>
        <v>437.6</v>
      </c>
      <c r="Y27" s="112">
        <f t="shared" si="10"/>
        <v>9.3999999999999773</v>
      </c>
      <c r="Z27" s="112">
        <f t="shared" si="11"/>
        <v>30</v>
      </c>
      <c r="AA27" s="284">
        <f t="shared" si="12"/>
        <v>15</v>
      </c>
      <c r="AB27" s="113">
        <f t="shared" ref="AB27:AB35" si="35">+R27*G27</f>
        <v>24.399999999999977</v>
      </c>
    </row>
    <row r="28" spans="1:29" ht="20.25" customHeight="1" x14ac:dyDescent="0.35">
      <c r="A28" s="293"/>
      <c r="B28" s="296"/>
      <c r="C28" s="35" t="s">
        <v>246</v>
      </c>
      <c r="D28" s="10">
        <v>65</v>
      </c>
      <c r="E28" s="31" t="s">
        <v>17</v>
      </c>
      <c r="F28" s="49">
        <v>0.08</v>
      </c>
      <c r="G28" s="11">
        <v>1</v>
      </c>
      <c r="H28" s="70">
        <f>+F28*B27</f>
        <v>87.52</v>
      </c>
      <c r="I28" s="68">
        <v>91.3</v>
      </c>
      <c r="J28" s="13">
        <f t="shared" si="31"/>
        <v>3.7800000000000011</v>
      </c>
      <c r="K28" s="76">
        <v>87.5</v>
      </c>
      <c r="L28" s="9">
        <f t="shared" si="32"/>
        <v>3.7999999999999972</v>
      </c>
      <c r="M28" s="79">
        <v>4</v>
      </c>
      <c r="N28" s="23">
        <f t="shared" ref="N28:N35" si="36">+K28-M28</f>
        <v>83.5</v>
      </c>
      <c r="O28" s="42">
        <f>+N28/B27</f>
        <v>7.6325411334552104E-2</v>
      </c>
      <c r="P28" s="19">
        <f>+L28+M28</f>
        <v>7.7999999999999972</v>
      </c>
      <c r="Q28" s="82">
        <v>0</v>
      </c>
      <c r="R28" s="9">
        <f>+P28-Q28</f>
        <v>7.7999999999999972</v>
      </c>
      <c r="S28" s="9">
        <f t="shared" si="33"/>
        <v>7.7999999999999972</v>
      </c>
      <c r="T28" s="9">
        <f t="shared" si="34"/>
        <v>506.99999999999983</v>
      </c>
      <c r="U28" s="12">
        <f t="shared" ref="U28:U35" si="37">+R28/I28</f>
        <v>8.5432639649507092E-2</v>
      </c>
      <c r="W28" s="102">
        <f t="shared" si="8"/>
        <v>91.3</v>
      </c>
      <c r="X28" s="103">
        <f t="shared" si="9"/>
        <v>87.5</v>
      </c>
      <c r="Y28" s="103">
        <f t="shared" si="10"/>
        <v>3.7999999999999972</v>
      </c>
      <c r="Z28" s="103">
        <f t="shared" si="11"/>
        <v>4</v>
      </c>
      <c r="AA28" s="284">
        <f t="shared" si="12"/>
        <v>0</v>
      </c>
      <c r="AB28" s="104">
        <f t="shared" si="35"/>
        <v>7.7999999999999972</v>
      </c>
    </row>
    <row r="29" spans="1:29" ht="20.25" customHeight="1" x14ac:dyDescent="0.35">
      <c r="A29" s="293"/>
      <c r="B29" s="296"/>
      <c r="C29" s="35" t="s">
        <v>97</v>
      </c>
      <c r="D29" s="10">
        <v>130</v>
      </c>
      <c r="E29" s="31" t="s">
        <v>17</v>
      </c>
      <c r="F29" s="49">
        <v>0.05</v>
      </c>
      <c r="G29" s="11">
        <v>1</v>
      </c>
      <c r="H29" s="72">
        <f>+F29*B27</f>
        <v>54.7</v>
      </c>
      <c r="I29" s="68">
        <v>54.6</v>
      </c>
      <c r="J29" s="13">
        <f t="shared" si="31"/>
        <v>-0.10000000000000142</v>
      </c>
      <c r="K29" s="76">
        <v>54</v>
      </c>
      <c r="L29" s="9">
        <f t="shared" si="32"/>
        <v>0.60000000000000142</v>
      </c>
      <c r="M29" s="79">
        <v>5.3</v>
      </c>
      <c r="N29" s="33">
        <f t="shared" si="36"/>
        <v>48.7</v>
      </c>
      <c r="O29" s="42">
        <f>+N29/B27</f>
        <v>4.4515539305301645E-2</v>
      </c>
      <c r="P29" s="19">
        <f>+L29+M29</f>
        <v>5.9000000000000012</v>
      </c>
      <c r="Q29" s="82">
        <v>0</v>
      </c>
      <c r="R29" s="9">
        <f t="shared" ref="R29:R35" si="38">+P29-Q29</f>
        <v>5.9000000000000012</v>
      </c>
      <c r="S29" s="9">
        <f t="shared" si="33"/>
        <v>5.9000000000000012</v>
      </c>
      <c r="T29" s="9">
        <f t="shared" si="34"/>
        <v>767.00000000000011</v>
      </c>
      <c r="U29" s="12">
        <f t="shared" si="37"/>
        <v>0.10805860805860808</v>
      </c>
      <c r="W29" s="102">
        <f t="shared" si="8"/>
        <v>54.6</v>
      </c>
      <c r="X29" s="103">
        <f t="shared" si="9"/>
        <v>54</v>
      </c>
      <c r="Y29" s="103">
        <f t="shared" si="10"/>
        <v>0.60000000000000142</v>
      </c>
      <c r="Z29" s="103">
        <f t="shared" si="11"/>
        <v>5.3</v>
      </c>
      <c r="AA29" s="284">
        <f t="shared" si="12"/>
        <v>0</v>
      </c>
      <c r="AB29" s="104">
        <f t="shared" si="35"/>
        <v>5.9000000000000012</v>
      </c>
    </row>
    <row r="30" spans="1:29" ht="20.25" customHeight="1" x14ac:dyDescent="0.35">
      <c r="A30" s="293"/>
      <c r="B30" s="296"/>
      <c r="C30" s="35" t="s">
        <v>92</v>
      </c>
      <c r="D30" s="10">
        <v>55</v>
      </c>
      <c r="E30" s="31" t="s">
        <v>17</v>
      </c>
      <c r="F30" s="49">
        <v>0.08</v>
      </c>
      <c r="G30" s="11">
        <v>1</v>
      </c>
      <c r="H30" s="72">
        <f>+F30*B27</f>
        <v>87.52</v>
      </c>
      <c r="I30" s="68">
        <v>89.5</v>
      </c>
      <c r="J30" s="13">
        <f t="shared" si="31"/>
        <v>1.980000000000004</v>
      </c>
      <c r="K30" s="76">
        <v>87.5</v>
      </c>
      <c r="L30" s="9">
        <f t="shared" si="32"/>
        <v>2</v>
      </c>
      <c r="M30" s="79">
        <v>4.5</v>
      </c>
      <c r="N30" s="23">
        <f t="shared" si="36"/>
        <v>83</v>
      </c>
      <c r="O30" s="42">
        <f>+N30/B27</f>
        <v>7.5868372943327239E-2</v>
      </c>
      <c r="P30" s="19">
        <f t="shared" ref="P30:P35" si="39">+L30+M30</f>
        <v>6.5</v>
      </c>
      <c r="Q30" s="82">
        <v>0</v>
      </c>
      <c r="R30" s="9">
        <f t="shared" si="38"/>
        <v>6.5</v>
      </c>
      <c r="S30" s="9">
        <f t="shared" si="33"/>
        <v>6.5</v>
      </c>
      <c r="T30" s="9">
        <f t="shared" si="34"/>
        <v>357.5</v>
      </c>
      <c r="U30" s="12">
        <f t="shared" si="37"/>
        <v>7.2625698324022353E-2</v>
      </c>
      <c r="W30" s="102">
        <f t="shared" si="8"/>
        <v>89.5</v>
      </c>
      <c r="X30" s="103">
        <f t="shared" si="9"/>
        <v>87.5</v>
      </c>
      <c r="Y30" s="103">
        <f t="shared" si="10"/>
        <v>2</v>
      </c>
      <c r="Z30" s="103">
        <f t="shared" si="11"/>
        <v>4.5</v>
      </c>
      <c r="AA30" s="284">
        <f t="shared" si="12"/>
        <v>0</v>
      </c>
      <c r="AB30" s="104">
        <f t="shared" si="35"/>
        <v>6.5</v>
      </c>
    </row>
    <row r="31" spans="1:29" ht="20.25" customHeight="1" x14ac:dyDescent="0.35">
      <c r="A31" s="293"/>
      <c r="B31" s="296"/>
      <c r="C31" s="35" t="s">
        <v>32</v>
      </c>
      <c r="D31" s="10">
        <v>48</v>
      </c>
      <c r="E31" s="31" t="s">
        <v>18</v>
      </c>
      <c r="F31" s="49">
        <v>0.06</v>
      </c>
      <c r="G31" s="11">
        <v>1</v>
      </c>
      <c r="H31" s="72">
        <f>+F31*B27</f>
        <v>65.64</v>
      </c>
      <c r="I31" s="68">
        <v>67.5</v>
      </c>
      <c r="J31" s="13">
        <f t="shared" si="31"/>
        <v>1.8599999999999994</v>
      </c>
      <c r="K31" s="76">
        <v>65.599999999999994</v>
      </c>
      <c r="L31" s="9">
        <f t="shared" si="32"/>
        <v>1.9000000000000057</v>
      </c>
      <c r="M31" s="79">
        <v>4</v>
      </c>
      <c r="N31" s="33">
        <f t="shared" si="36"/>
        <v>61.599999999999994</v>
      </c>
      <c r="O31" s="42">
        <f>+N31/B27</f>
        <v>5.6307129798903101E-2</v>
      </c>
      <c r="P31" s="19">
        <f t="shared" si="39"/>
        <v>5.9000000000000057</v>
      </c>
      <c r="Q31" s="82">
        <v>0</v>
      </c>
      <c r="R31" s="9">
        <f t="shared" si="38"/>
        <v>5.9000000000000057</v>
      </c>
      <c r="S31" s="9">
        <f t="shared" si="33"/>
        <v>5.9000000000000057</v>
      </c>
      <c r="T31" s="9">
        <f t="shared" si="34"/>
        <v>283.20000000000027</v>
      </c>
      <c r="U31" s="12">
        <f t="shared" si="37"/>
        <v>8.7407407407407489E-2</v>
      </c>
      <c r="W31" s="102">
        <f t="shared" si="8"/>
        <v>67.5</v>
      </c>
      <c r="X31" s="103">
        <f t="shared" si="9"/>
        <v>65.599999999999994</v>
      </c>
      <c r="Y31" s="103">
        <f t="shared" si="10"/>
        <v>1.9000000000000057</v>
      </c>
      <c r="Z31" s="103">
        <f t="shared" si="11"/>
        <v>4</v>
      </c>
      <c r="AA31" s="284">
        <f t="shared" si="12"/>
        <v>0</v>
      </c>
      <c r="AB31" s="104">
        <f t="shared" si="35"/>
        <v>5.9000000000000057</v>
      </c>
    </row>
    <row r="32" spans="1:29" ht="20.25" customHeight="1" x14ac:dyDescent="0.35">
      <c r="A32" s="293"/>
      <c r="B32" s="296"/>
      <c r="C32" s="35" t="s">
        <v>54</v>
      </c>
      <c r="D32" s="10">
        <v>35</v>
      </c>
      <c r="E32" s="31" t="s">
        <v>18</v>
      </c>
      <c r="F32" s="49">
        <v>0.06</v>
      </c>
      <c r="G32" s="11">
        <v>1</v>
      </c>
      <c r="H32" s="73">
        <f>+F32*B27</f>
        <v>65.64</v>
      </c>
      <c r="I32" s="68">
        <v>66</v>
      </c>
      <c r="J32" s="13">
        <f t="shared" si="31"/>
        <v>0.35999999999999943</v>
      </c>
      <c r="K32" s="76">
        <v>65.599999999999994</v>
      </c>
      <c r="L32" s="9">
        <f t="shared" si="32"/>
        <v>0.40000000000000568</v>
      </c>
      <c r="M32" s="79">
        <v>3.5</v>
      </c>
      <c r="N32" s="23">
        <f t="shared" si="36"/>
        <v>62.099999999999994</v>
      </c>
      <c r="O32" s="42">
        <f>+N32/B27</f>
        <v>5.6764168190127966E-2</v>
      </c>
      <c r="P32" s="19">
        <f t="shared" si="39"/>
        <v>3.9000000000000057</v>
      </c>
      <c r="Q32" s="82">
        <v>0</v>
      </c>
      <c r="R32" s="9">
        <f t="shared" si="38"/>
        <v>3.9000000000000057</v>
      </c>
      <c r="S32" s="9">
        <f t="shared" si="33"/>
        <v>3.9000000000000057</v>
      </c>
      <c r="T32" s="9">
        <f t="shared" si="34"/>
        <v>136.5000000000002</v>
      </c>
      <c r="U32" s="12">
        <f t="shared" si="37"/>
        <v>5.909090909090918E-2</v>
      </c>
      <c r="W32" s="102">
        <f t="shared" si="8"/>
        <v>66</v>
      </c>
      <c r="X32" s="103">
        <f t="shared" si="9"/>
        <v>65.599999999999994</v>
      </c>
      <c r="Y32" s="103">
        <f t="shared" si="10"/>
        <v>0.40000000000000568</v>
      </c>
      <c r="Z32" s="103">
        <f t="shared" si="11"/>
        <v>3.5</v>
      </c>
      <c r="AA32" s="284">
        <f t="shared" si="12"/>
        <v>0</v>
      </c>
      <c r="AB32" s="104">
        <f t="shared" si="35"/>
        <v>3.9000000000000057</v>
      </c>
    </row>
    <row r="33" spans="1:29" ht="20.25" customHeight="1" x14ac:dyDescent="0.35">
      <c r="A33" s="293"/>
      <c r="B33" s="296"/>
      <c r="C33" s="35" t="s">
        <v>33</v>
      </c>
      <c r="D33" s="10">
        <v>50</v>
      </c>
      <c r="E33" s="31" t="s">
        <v>17</v>
      </c>
      <c r="F33" s="49">
        <v>0.03</v>
      </c>
      <c r="G33" s="11">
        <v>1</v>
      </c>
      <c r="H33" s="72">
        <f>+F33*B27</f>
        <v>32.82</v>
      </c>
      <c r="I33" s="68">
        <v>34.5</v>
      </c>
      <c r="J33" s="13">
        <f t="shared" si="31"/>
        <v>1.6799999999999997</v>
      </c>
      <c r="K33" s="76">
        <v>32.799999999999997</v>
      </c>
      <c r="L33" s="9">
        <f t="shared" si="32"/>
        <v>1.7000000000000028</v>
      </c>
      <c r="M33" s="79">
        <v>2.5</v>
      </c>
      <c r="N33" s="23">
        <f t="shared" si="36"/>
        <v>30.299999999999997</v>
      </c>
      <c r="O33" s="42">
        <f>+N33/B27</f>
        <v>2.7696526508226689E-2</v>
      </c>
      <c r="P33" s="19">
        <f t="shared" si="39"/>
        <v>4.2000000000000028</v>
      </c>
      <c r="Q33" s="82">
        <v>0</v>
      </c>
      <c r="R33" s="9">
        <f t="shared" si="38"/>
        <v>4.2000000000000028</v>
      </c>
      <c r="S33" s="9">
        <f t="shared" si="33"/>
        <v>4.2000000000000028</v>
      </c>
      <c r="T33" s="9">
        <f t="shared" si="34"/>
        <v>210.00000000000014</v>
      </c>
      <c r="U33" s="12">
        <f t="shared" si="37"/>
        <v>0.1217391304347827</v>
      </c>
      <c r="W33" s="102">
        <f t="shared" si="8"/>
        <v>34.5</v>
      </c>
      <c r="X33" s="103">
        <f t="shared" si="9"/>
        <v>32.799999999999997</v>
      </c>
      <c r="Y33" s="103">
        <f t="shared" si="10"/>
        <v>1.7000000000000028</v>
      </c>
      <c r="Z33" s="103">
        <f t="shared" si="11"/>
        <v>2.5</v>
      </c>
      <c r="AA33" s="284">
        <f t="shared" si="12"/>
        <v>0</v>
      </c>
      <c r="AB33" s="104">
        <f t="shared" si="35"/>
        <v>4.2000000000000028</v>
      </c>
    </row>
    <row r="34" spans="1:29" ht="20.25" customHeight="1" x14ac:dyDescent="0.35">
      <c r="A34" s="293"/>
      <c r="B34" s="296"/>
      <c r="C34" s="35" t="s">
        <v>34</v>
      </c>
      <c r="D34" s="31">
        <v>70</v>
      </c>
      <c r="E34" s="31" t="s">
        <v>17</v>
      </c>
      <c r="F34" s="11">
        <v>0.1</v>
      </c>
      <c r="G34" s="11">
        <v>1</v>
      </c>
      <c r="H34" s="72">
        <f>+F34*B27</f>
        <v>109.4</v>
      </c>
      <c r="I34" s="68">
        <v>110</v>
      </c>
      <c r="J34" s="13">
        <f t="shared" si="31"/>
        <v>0.59999999999999432</v>
      </c>
      <c r="K34" s="76">
        <v>109.4</v>
      </c>
      <c r="L34" s="9">
        <f t="shared" si="32"/>
        <v>0.59999999999999432</v>
      </c>
      <c r="M34" s="79">
        <v>0</v>
      </c>
      <c r="N34" s="23">
        <f t="shared" si="36"/>
        <v>109.4</v>
      </c>
      <c r="O34" s="42">
        <f>+N34/B27</f>
        <v>0.1</v>
      </c>
      <c r="P34" s="19">
        <f t="shared" si="39"/>
        <v>0.59999999999999432</v>
      </c>
      <c r="Q34" s="82">
        <v>0</v>
      </c>
      <c r="R34" s="9">
        <f t="shared" si="38"/>
        <v>0.59999999999999432</v>
      </c>
      <c r="S34" s="9">
        <f t="shared" si="33"/>
        <v>0.59999999999999432</v>
      </c>
      <c r="T34" s="9">
        <f t="shared" si="34"/>
        <v>41.999999999999602</v>
      </c>
      <c r="U34" s="12">
        <f t="shared" si="37"/>
        <v>5.4545454545454029E-3</v>
      </c>
      <c r="W34" s="102">
        <f t="shared" si="8"/>
        <v>110</v>
      </c>
      <c r="X34" s="103">
        <f t="shared" si="9"/>
        <v>109.4</v>
      </c>
      <c r="Y34" s="103">
        <f t="shared" si="10"/>
        <v>0.59999999999999432</v>
      </c>
      <c r="Z34" s="103">
        <f t="shared" si="11"/>
        <v>0</v>
      </c>
      <c r="AA34" s="284">
        <f t="shared" si="12"/>
        <v>0</v>
      </c>
      <c r="AB34" s="104">
        <f t="shared" si="35"/>
        <v>0.59999999999999432</v>
      </c>
    </row>
    <row r="35" spans="1:29" ht="20.25" customHeight="1" x14ac:dyDescent="0.35">
      <c r="A35" s="294"/>
      <c r="B35" s="297"/>
      <c r="C35" s="40" t="s">
        <v>35</v>
      </c>
      <c r="D35" s="44">
        <v>2</v>
      </c>
      <c r="E35" s="44" t="s">
        <v>16</v>
      </c>
      <c r="F35" s="53">
        <v>2</v>
      </c>
      <c r="G35" s="45">
        <v>0.04</v>
      </c>
      <c r="H35" s="72">
        <f>+F35*B27</f>
        <v>2188</v>
      </c>
      <c r="I35" s="68">
        <v>2205</v>
      </c>
      <c r="J35" s="13">
        <f t="shared" si="31"/>
        <v>17</v>
      </c>
      <c r="K35" s="76">
        <v>2188</v>
      </c>
      <c r="L35" s="9">
        <f t="shared" si="32"/>
        <v>17</v>
      </c>
      <c r="M35" s="79">
        <v>35</v>
      </c>
      <c r="N35" s="33">
        <f t="shared" si="36"/>
        <v>2153</v>
      </c>
      <c r="O35" s="42">
        <f>+N35/B27</f>
        <v>1.9680073126142597</v>
      </c>
      <c r="P35" s="19">
        <f t="shared" si="39"/>
        <v>52</v>
      </c>
      <c r="Q35" s="82">
        <v>0</v>
      </c>
      <c r="R35" s="9">
        <f t="shared" si="38"/>
        <v>52</v>
      </c>
      <c r="S35" s="9">
        <f t="shared" si="33"/>
        <v>2.08</v>
      </c>
      <c r="T35" s="9">
        <f t="shared" si="34"/>
        <v>104</v>
      </c>
      <c r="U35" s="12">
        <f t="shared" si="37"/>
        <v>2.3582766439909298E-2</v>
      </c>
      <c r="W35" s="105">
        <f t="shared" si="8"/>
        <v>88.2</v>
      </c>
      <c r="X35" s="106">
        <f t="shared" si="9"/>
        <v>87.52</v>
      </c>
      <c r="Y35" s="106">
        <f t="shared" si="10"/>
        <v>0.68</v>
      </c>
      <c r="Z35" s="106">
        <f t="shared" si="11"/>
        <v>1.4000000000000001</v>
      </c>
      <c r="AA35" s="284">
        <f t="shared" si="12"/>
        <v>0</v>
      </c>
      <c r="AB35" s="107">
        <f t="shared" si="35"/>
        <v>2.08</v>
      </c>
    </row>
    <row r="36" spans="1:29" ht="23.25" customHeight="1" thickBot="1" x14ac:dyDescent="0.4">
      <c r="A36" s="27"/>
      <c r="B36" s="57"/>
      <c r="C36" s="29"/>
      <c r="D36" s="15"/>
      <c r="E36" s="15"/>
      <c r="F36" s="15"/>
      <c r="G36" s="15"/>
      <c r="H36" s="14"/>
      <c r="I36" s="15"/>
      <c r="J36" s="16"/>
      <c r="K36" s="14"/>
      <c r="L36" s="15"/>
      <c r="M36" s="16"/>
      <c r="N36" s="14"/>
      <c r="O36" s="16"/>
      <c r="P36" s="20"/>
      <c r="Q36" s="15"/>
      <c r="R36" s="15"/>
      <c r="S36" s="56">
        <f>SUM(S27:S35)</f>
        <v>61.27999999999998</v>
      </c>
      <c r="T36" s="56">
        <f>SUM(T27:T35)</f>
        <v>2895.1999999999994</v>
      </c>
      <c r="U36" s="16"/>
      <c r="W36" s="122">
        <f>SUM(W27:W35)</f>
        <v>1048.5999999999999</v>
      </c>
      <c r="X36" s="109">
        <f t="shared" ref="X36:AB36" si="40">SUM(X27:X35)</f>
        <v>1027.52</v>
      </c>
      <c r="Y36" s="109">
        <f t="shared" si="40"/>
        <v>21.079999999999984</v>
      </c>
      <c r="Z36" s="110">
        <f t="shared" si="40"/>
        <v>55.199999999999996</v>
      </c>
      <c r="AA36" s="285">
        <f>SUM(AA27:AA35)</f>
        <v>15</v>
      </c>
      <c r="AB36" s="288">
        <f t="shared" si="40"/>
        <v>61.27999999999998</v>
      </c>
      <c r="AC36" s="94"/>
    </row>
    <row r="37" spans="1:29" ht="31.5" customHeight="1" thickBot="1" x14ac:dyDescent="0.4">
      <c r="A37" s="58" t="s">
        <v>42</v>
      </c>
      <c r="B37" s="32">
        <f>+B4+B12+B22+B27</f>
        <v>8258</v>
      </c>
      <c r="C37" s="29"/>
      <c r="D37" s="15"/>
      <c r="E37" s="15"/>
      <c r="F37" s="15"/>
      <c r="G37" s="15"/>
      <c r="H37" s="14"/>
      <c r="I37" s="15"/>
      <c r="J37" s="16"/>
      <c r="K37" s="14"/>
      <c r="L37" s="15"/>
      <c r="M37" s="16"/>
      <c r="N37" s="14"/>
      <c r="O37" s="16"/>
      <c r="P37" s="20"/>
      <c r="Q37" s="15"/>
      <c r="R37" s="17"/>
      <c r="S37" s="85">
        <f>+S36+S26+S21+S11</f>
        <v>246.19</v>
      </c>
      <c r="T37" s="85">
        <f>+T36+T26+T21+T11</f>
        <v>12274.399999999998</v>
      </c>
      <c r="U37" s="62"/>
      <c r="W37" s="108">
        <f>+W11+W21+W26+W36</f>
        <v>6000.65</v>
      </c>
      <c r="X37" s="119">
        <f t="shared" ref="X37:AB37" si="41">+X11+X21+X26+X36</f>
        <v>5928.58</v>
      </c>
      <c r="Y37" s="119">
        <f t="shared" si="41"/>
        <v>72.069999999999993</v>
      </c>
      <c r="Z37" s="121">
        <f>+Z11+Z21+Z26+Z36</f>
        <v>229.74999999999997</v>
      </c>
      <c r="AA37" s="121">
        <f>+AA11+AA21+AA26+AA36</f>
        <v>55.63</v>
      </c>
      <c r="AB37" s="120">
        <f t="shared" si="41"/>
        <v>246.18999999999997</v>
      </c>
      <c r="AC37" s="94"/>
    </row>
    <row r="38" spans="1:29" x14ac:dyDescent="0.35">
      <c r="B38" s="59"/>
      <c r="Y38" s="63"/>
    </row>
    <row r="39" spans="1:29" ht="15" thickBot="1" x14ac:dyDescent="0.4">
      <c r="W39" s="63"/>
      <c r="X39" s="63"/>
      <c r="Y39" s="63"/>
      <c r="Z39" s="63"/>
      <c r="AA39" s="63"/>
    </row>
    <row r="40" spans="1:29" ht="23.25" customHeight="1" x14ac:dyDescent="0.35">
      <c r="A40" s="271"/>
      <c r="B40" s="271"/>
      <c r="C40" s="271"/>
      <c r="D40" s="271"/>
      <c r="E40" s="271"/>
      <c r="F40" s="271"/>
      <c r="S40" s="298" t="s">
        <v>238</v>
      </c>
      <c r="T40" s="299"/>
      <c r="U40" s="299"/>
      <c r="V40" s="299"/>
      <c r="W40" s="299"/>
      <c r="X40" s="299"/>
      <c r="Y40" s="299"/>
      <c r="Z40" s="299"/>
      <c r="AA40" s="299"/>
      <c r="AB40" s="300"/>
    </row>
    <row r="41" spans="1:29" ht="45.75" customHeight="1" x14ac:dyDescent="0.35">
      <c r="A41" s="255"/>
      <c r="B41" s="255"/>
      <c r="C41" s="255"/>
      <c r="D41" s="260"/>
      <c r="E41" s="260"/>
      <c r="F41" s="261"/>
      <c r="O41" s="255"/>
      <c r="P41" s="255"/>
      <c r="S41" s="7" t="s">
        <v>6</v>
      </c>
      <c r="T41" s="8" t="s">
        <v>7</v>
      </c>
      <c r="U41" s="60" t="s">
        <v>241</v>
      </c>
      <c r="V41" s="60" t="s">
        <v>242</v>
      </c>
      <c r="W41" s="60" t="s">
        <v>243</v>
      </c>
      <c r="X41" s="60" t="s">
        <v>244</v>
      </c>
      <c r="Y41" s="60" t="s">
        <v>234</v>
      </c>
      <c r="Z41" s="60" t="s">
        <v>164</v>
      </c>
      <c r="AA41" s="60" t="s">
        <v>165</v>
      </c>
      <c r="AB41" s="61" t="s">
        <v>166</v>
      </c>
    </row>
    <row r="42" spans="1:29" ht="31.5" customHeight="1" x14ac:dyDescent="0.35">
      <c r="A42" s="262"/>
      <c r="B42" s="263"/>
      <c r="C42" s="264"/>
      <c r="D42" s="264"/>
      <c r="E42" s="265"/>
      <c r="F42" s="266"/>
      <c r="O42" s="256"/>
      <c r="P42" s="256"/>
      <c r="S42" s="91" t="s">
        <v>47</v>
      </c>
      <c r="T42" s="35">
        <f>+B4</f>
        <v>2542</v>
      </c>
      <c r="U42" s="254">
        <f t="shared" ref="U42:Z42" si="42">+W11</f>
        <v>1790.25</v>
      </c>
      <c r="V42" s="254">
        <f t="shared" si="42"/>
        <v>1779.4</v>
      </c>
      <c r="W42" s="254">
        <f t="shared" si="42"/>
        <v>10.850000000000014</v>
      </c>
      <c r="X42" s="254">
        <f t="shared" si="42"/>
        <v>70.5</v>
      </c>
      <c r="Y42" s="291">
        <f t="shared" si="42"/>
        <v>0</v>
      </c>
      <c r="Z42" s="254">
        <f t="shared" si="42"/>
        <v>81.350000000000009</v>
      </c>
      <c r="AA42" s="95">
        <f>+Z42/T42</f>
        <v>3.200236034618411E-2</v>
      </c>
      <c r="AB42" s="253">
        <f>+Z42/U42</f>
        <v>4.5440580924451898E-2</v>
      </c>
    </row>
    <row r="43" spans="1:29" ht="31.5" customHeight="1" x14ac:dyDescent="0.35">
      <c r="A43" s="262"/>
      <c r="B43" s="263"/>
      <c r="C43" s="263"/>
      <c r="D43" s="264"/>
      <c r="E43" s="265"/>
      <c r="F43" s="266"/>
      <c r="O43" s="256"/>
      <c r="P43" s="256"/>
      <c r="Q43" s="133"/>
      <c r="R43" s="134"/>
      <c r="S43" s="91" t="s">
        <v>48</v>
      </c>
      <c r="T43" s="35">
        <f>+B12</f>
        <v>2172</v>
      </c>
      <c r="U43" s="254">
        <f t="shared" ref="U43:Z43" si="43">+W21</f>
        <v>2252.6</v>
      </c>
      <c r="V43" s="254">
        <f t="shared" si="43"/>
        <v>2215.16</v>
      </c>
      <c r="W43" s="254">
        <f t="shared" si="43"/>
        <v>37.439999999999984</v>
      </c>
      <c r="X43" s="254">
        <f t="shared" si="43"/>
        <v>96.1</v>
      </c>
      <c r="Y43" s="291">
        <f t="shared" si="43"/>
        <v>40</v>
      </c>
      <c r="Z43" s="254">
        <f t="shared" si="43"/>
        <v>93.539999999999978</v>
      </c>
      <c r="AA43" s="95">
        <f>+Z43/T43</f>
        <v>4.3066298342541429E-2</v>
      </c>
      <c r="AB43" s="253">
        <f>+Z43/U43</f>
        <v>4.1525348486193721E-2</v>
      </c>
    </row>
    <row r="44" spans="1:29" ht="31.5" customHeight="1" x14ac:dyDescent="0.35">
      <c r="A44" s="262"/>
      <c r="B44" s="263"/>
      <c r="C44" s="263"/>
      <c r="D44" s="264"/>
      <c r="E44" s="265"/>
      <c r="F44" s="266"/>
      <c r="O44" s="256"/>
      <c r="P44" s="256"/>
      <c r="S44" s="91" t="s">
        <v>49</v>
      </c>
      <c r="T44" s="35">
        <f>+B22</f>
        <v>2450</v>
      </c>
      <c r="U44" s="254">
        <f t="shared" ref="U44:Z44" si="44">+W26</f>
        <v>909.2</v>
      </c>
      <c r="V44" s="254">
        <f t="shared" si="44"/>
        <v>906.5</v>
      </c>
      <c r="W44" s="254">
        <f t="shared" si="44"/>
        <v>2.7</v>
      </c>
      <c r="X44" s="254">
        <f t="shared" si="44"/>
        <v>7.95</v>
      </c>
      <c r="Y44" s="291">
        <f t="shared" si="44"/>
        <v>0.63</v>
      </c>
      <c r="Z44" s="254">
        <f t="shared" si="44"/>
        <v>10.02</v>
      </c>
      <c r="AA44" s="95">
        <f>+Z44/T44</f>
        <v>4.0897959183673468E-3</v>
      </c>
      <c r="AB44" s="253">
        <f>+Z44/U44</f>
        <v>1.1020677518697754E-2</v>
      </c>
    </row>
    <row r="45" spans="1:29" ht="31.5" customHeight="1" x14ac:dyDescent="0.35">
      <c r="A45" s="262"/>
      <c r="B45" s="263"/>
      <c r="C45" s="264"/>
      <c r="D45" s="264"/>
      <c r="E45" s="265"/>
      <c r="F45" s="266"/>
      <c r="O45" s="256"/>
      <c r="P45" s="256"/>
      <c r="S45" s="91" t="s">
        <v>50</v>
      </c>
      <c r="T45" s="35">
        <f>+B27</f>
        <v>1094</v>
      </c>
      <c r="U45" s="254">
        <f t="shared" ref="U45:Z45" si="45">+W36</f>
        <v>1048.5999999999999</v>
      </c>
      <c r="V45" s="254">
        <f t="shared" si="45"/>
        <v>1027.52</v>
      </c>
      <c r="W45" s="254">
        <f t="shared" si="45"/>
        <v>21.079999999999984</v>
      </c>
      <c r="X45" s="254">
        <f t="shared" si="45"/>
        <v>55.199999999999996</v>
      </c>
      <c r="Y45" s="291">
        <f t="shared" si="45"/>
        <v>15</v>
      </c>
      <c r="Z45" s="254">
        <f t="shared" si="45"/>
        <v>61.27999999999998</v>
      </c>
      <c r="AA45" s="95">
        <f>+Z45/T45</f>
        <v>5.6014625228519174E-2</v>
      </c>
      <c r="AB45" s="253">
        <f>+Z45/U45</f>
        <v>5.8439824527942004E-2</v>
      </c>
    </row>
    <row r="46" spans="1:29" ht="31.5" customHeight="1" thickBot="1" x14ac:dyDescent="0.4">
      <c r="A46" s="267"/>
      <c r="B46" s="268"/>
      <c r="C46" s="268"/>
      <c r="D46" s="269"/>
      <c r="E46" s="270"/>
      <c r="F46" s="266"/>
      <c r="G46" s="259"/>
      <c r="O46" s="257"/>
      <c r="P46" s="257"/>
      <c r="S46" s="93" t="s">
        <v>51</v>
      </c>
      <c r="T46" s="96">
        <f>SUM(T42:T45)</f>
        <v>8258</v>
      </c>
      <c r="U46" s="272">
        <f>SUM(U42:U45)</f>
        <v>6000.65</v>
      </c>
      <c r="V46" s="272">
        <f t="shared" ref="V46:Z46" si="46">SUM(V42:V45)</f>
        <v>5928.58</v>
      </c>
      <c r="W46" s="272">
        <f t="shared" si="46"/>
        <v>72.069999999999993</v>
      </c>
      <c r="X46" s="272">
        <f t="shared" si="46"/>
        <v>229.74999999999997</v>
      </c>
      <c r="Y46" s="272">
        <f t="shared" si="46"/>
        <v>55.63</v>
      </c>
      <c r="Z46" s="272">
        <f t="shared" si="46"/>
        <v>246.18999999999997</v>
      </c>
      <c r="AA46" s="273">
        <f>+Z46/T46</f>
        <v>2.981230322111891E-2</v>
      </c>
      <c r="AB46" s="274">
        <f>+Z46/U46</f>
        <v>4.102722205094448E-2</v>
      </c>
    </row>
    <row r="47" spans="1:29" x14ac:dyDescent="0.35">
      <c r="S47" s="290" t="s">
        <v>236</v>
      </c>
      <c r="T47" s="262">
        <v>410</v>
      </c>
    </row>
    <row r="48" spans="1:29" x14ac:dyDescent="0.35">
      <c r="T48" s="262">
        <f>+T46+T47</f>
        <v>8668</v>
      </c>
    </row>
  </sheetData>
  <mergeCells count="15">
    <mergeCell ref="S40:AB40"/>
    <mergeCell ref="A27:A35"/>
    <mergeCell ref="B27:B35"/>
    <mergeCell ref="A4:A10"/>
    <mergeCell ref="B4:B10"/>
    <mergeCell ref="A12:A20"/>
    <mergeCell ref="B12:B20"/>
    <mergeCell ref="A22:A25"/>
    <mergeCell ref="B22:B25"/>
    <mergeCell ref="P2:U2"/>
    <mergeCell ref="A1:F1"/>
    <mergeCell ref="A2:G2"/>
    <mergeCell ref="H2:J2"/>
    <mergeCell ref="K2:M2"/>
    <mergeCell ref="N2:O2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1192B-5FF3-4048-8B0C-29A81F0EE9DC}">
  <dimension ref="A1:AC48"/>
  <sheetViews>
    <sheetView zoomScaleNormal="100" workbookViewId="0">
      <pane xSplit="7" ySplit="3" topLeftCell="Q37" activePane="bottomRight" state="frozen"/>
      <selection pane="topRight" activeCell="H1" sqref="H1"/>
      <selection pane="bottomLeft" activeCell="A4" sqref="A4"/>
      <selection pane="bottomRight" activeCell="AC46" sqref="AC46"/>
    </sheetView>
  </sheetViews>
  <sheetFormatPr defaultRowHeight="14.5" x14ac:dyDescent="0.35"/>
  <cols>
    <col min="1" max="1" width="11" customWidth="1"/>
    <col min="2" max="2" width="7.81640625" customWidth="1"/>
    <col min="3" max="3" width="20" customWidth="1"/>
    <col min="4" max="4" width="9.1796875" customWidth="1"/>
    <col min="5" max="5" width="9.26953125" customWidth="1"/>
    <col min="6" max="6" width="10" customWidth="1"/>
    <col min="7" max="7" width="8.1796875" customWidth="1"/>
    <col min="8" max="8" width="12.54296875" customWidth="1"/>
    <col min="9" max="9" width="12.453125" customWidth="1"/>
    <col min="10" max="10" width="11" customWidth="1"/>
    <col min="11" max="11" width="9.453125" customWidth="1"/>
    <col min="12" max="12" width="11" customWidth="1"/>
    <col min="13" max="13" width="13.54296875" customWidth="1"/>
    <col min="14" max="14" width="14.81640625" customWidth="1"/>
    <col min="15" max="15" width="16" customWidth="1"/>
    <col min="16" max="16" width="11.26953125" customWidth="1"/>
    <col min="17" max="18" width="9.54296875" customWidth="1"/>
    <col min="19" max="19" width="12.54296875" customWidth="1"/>
    <col min="20" max="20" width="9.453125" customWidth="1"/>
    <col min="21" max="21" width="12.7265625" customWidth="1"/>
    <col min="22" max="22" width="10" customWidth="1"/>
    <col min="23" max="23" width="12.26953125" customWidth="1"/>
    <col min="24" max="24" width="11" customWidth="1"/>
    <col min="25" max="25" width="10.54296875" customWidth="1"/>
    <col min="26" max="26" width="11.26953125" customWidth="1"/>
    <col min="27" max="27" width="9.81640625" customWidth="1"/>
    <col min="28" max="28" width="11.26953125" customWidth="1"/>
  </cols>
  <sheetData>
    <row r="1" spans="1:29" ht="22.5" customHeight="1" thickBot="1" x14ac:dyDescent="0.4">
      <c r="A1" s="308" t="s">
        <v>36</v>
      </c>
      <c r="B1" s="309"/>
      <c r="C1" s="309"/>
      <c r="D1" s="309"/>
      <c r="E1" s="309"/>
      <c r="F1" s="310"/>
    </row>
    <row r="2" spans="1:29" ht="22.5" customHeight="1" thickBot="1" x14ac:dyDescent="0.4">
      <c r="A2" s="311" t="s">
        <v>247</v>
      </c>
      <c r="B2" s="312"/>
      <c r="C2" s="312"/>
      <c r="D2" s="312"/>
      <c r="E2" s="312"/>
      <c r="F2" s="312"/>
      <c r="G2" s="313"/>
      <c r="H2" s="314" t="s">
        <v>22</v>
      </c>
      <c r="I2" s="315"/>
      <c r="J2" s="316"/>
      <c r="K2" s="317" t="s">
        <v>23</v>
      </c>
      <c r="L2" s="318"/>
      <c r="M2" s="319"/>
      <c r="N2" s="320" t="s">
        <v>24</v>
      </c>
      <c r="O2" s="321"/>
      <c r="P2" s="305" t="s">
        <v>25</v>
      </c>
      <c r="Q2" s="306"/>
      <c r="R2" s="306"/>
      <c r="S2" s="306"/>
      <c r="T2" s="306"/>
      <c r="U2" s="307"/>
      <c r="W2" s="280" t="s">
        <v>43</v>
      </c>
      <c r="X2" s="281"/>
      <c r="Y2" s="281"/>
      <c r="Z2" s="281"/>
      <c r="AA2" s="283"/>
      <c r="AB2" s="282"/>
    </row>
    <row r="3" spans="1:29" ht="58.5" thickBot="1" x14ac:dyDescent="0.4">
      <c r="A3" s="39" t="s">
        <v>6</v>
      </c>
      <c r="B3" s="38" t="s">
        <v>7</v>
      </c>
      <c r="C3" s="38" t="s">
        <v>0</v>
      </c>
      <c r="D3" s="37" t="s">
        <v>15</v>
      </c>
      <c r="E3" s="38" t="s">
        <v>1</v>
      </c>
      <c r="F3" s="36" t="s">
        <v>27</v>
      </c>
      <c r="G3" s="37" t="s">
        <v>19</v>
      </c>
      <c r="H3" s="25" t="s">
        <v>4</v>
      </c>
      <c r="I3" s="89" t="s">
        <v>44</v>
      </c>
      <c r="J3" s="26" t="s">
        <v>29</v>
      </c>
      <c r="K3" s="88" t="s">
        <v>3</v>
      </c>
      <c r="L3" s="1" t="s">
        <v>28</v>
      </c>
      <c r="M3" s="87" t="s">
        <v>5</v>
      </c>
      <c r="N3" s="25" t="s">
        <v>20</v>
      </c>
      <c r="O3" s="275" t="s">
        <v>226</v>
      </c>
      <c r="P3" s="24" t="s">
        <v>8</v>
      </c>
      <c r="Q3" s="86" t="s">
        <v>9</v>
      </c>
      <c r="R3" s="2" t="s">
        <v>10</v>
      </c>
      <c r="S3" s="1" t="s">
        <v>26</v>
      </c>
      <c r="T3" s="1" t="s">
        <v>11</v>
      </c>
      <c r="U3" s="1" t="s">
        <v>30</v>
      </c>
      <c r="W3" s="43" t="s">
        <v>2</v>
      </c>
      <c r="X3" s="60" t="s">
        <v>3</v>
      </c>
      <c r="Y3" s="60" t="s">
        <v>28</v>
      </c>
      <c r="Z3" s="60" t="s">
        <v>5</v>
      </c>
      <c r="AA3" s="60" t="s">
        <v>233</v>
      </c>
      <c r="AB3" s="61" t="s">
        <v>26</v>
      </c>
    </row>
    <row r="4" spans="1:29" ht="20.25" customHeight="1" x14ac:dyDescent="0.35">
      <c r="A4" s="301" t="s">
        <v>37</v>
      </c>
      <c r="B4" s="303">
        <v>1747</v>
      </c>
      <c r="C4" s="34" t="s">
        <v>55</v>
      </c>
      <c r="D4" s="4">
        <v>2</v>
      </c>
      <c r="E4" s="30" t="s">
        <v>16</v>
      </c>
      <c r="F4" s="47">
        <v>2</v>
      </c>
      <c r="G4" s="5">
        <v>0.05</v>
      </c>
      <c r="H4" s="71">
        <f>+F4*B4</f>
        <v>3494</v>
      </c>
      <c r="I4" s="67">
        <v>3512</v>
      </c>
      <c r="J4" s="64">
        <f>I4-H4</f>
        <v>18</v>
      </c>
      <c r="K4" s="75">
        <v>3494</v>
      </c>
      <c r="L4" s="127">
        <f>+I4-K4</f>
        <v>18</v>
      </c>
      <c r="M4" s="78">
        <v>45</v>
      </c>
      <c r="N4" s="128">
        <f>+K4-M4</f>
        <v>3449</v>
      </c>
      <c r="O4" s="64">
        <f>+N4/B4</f>
        <v>1.9742415569547795</v>
      </c>
      <c r="P4" s="18">
        <f>+L4+M4</f>
        <v>63</v>
      </c>
      <c r="Q4" s="81">
        <v>0</v>
      </c>
      <c r="R4" s="3">
        <f t="shared" ref="R4:R10" si="0">+P4-Q4</f>
        <v>63</v>
      </c>
      <c r="S4" s="3">
        <f t="shared" ref="S4:S10" si="1">+R4*G4</f>
        <v>3.1500000000000004</v>
      </c>
      <c r="T4" s="3">
        <f t="shared" ref="T4:T10" si="2">+R4*D4</f>
        <v>126</v>
      </c>
      <c r="U4" s="6">
        <f>+R4/I4</f>
        <v>1.7938496583143507E-2</v>
      </c>
      <c r="W4" s="102">
        <f>+I4*G4</f>
        <v>175.60000000000002</v>
      </c>
      <c r="X4" s="103">
        <f>+K4*G4</f>
        <v>174.70000000000002</v>
      </c>
      <c r="Y4" s="103">
        <f>+L4*G4</f>
        <v>0.9</v>
      </c>
      <c r="Z4" s="103">
        <f>+M4*G4</f>
        <v>2.25</v>
      </c>
      <c r="AA4" s="284">
        <f>+Q4*G4</f>
        <v>0</v>
      </c>
      <c r="AB4" s="104">
        <f t="shared" ref="AB4:AB10" si="3">+R4*G4</f>
        <v>3.1500000000000004</v>
      </c>
    </row>
    <row r="5" spans="1:29" ht="20.25" customHeight="1" x14ac:dyDescent="0.35">
      <c r="A5" s="302"/>
      <c r="B5" s="304"/>
      <c r="C5" s="35" t="s">
        <v>87</v>
      </c>
      <c r="D5" s="10">
        <v>4</v>
      </c>
      <c r="E5" s="31" t="s">
        <v>16</v>
      </c>
      <c r="F5" s="48">
        <v>2</v>
      </c>
      <c r="G5" s="11">
        <v>0.05</v>
      </c>
      <c r="H5" s="70">
        <f>+F5*B4</f>
        <v>3494</v>
      </c>
      <c r="I5" s="68">
        <v>3510</v>
      </c>
      <c r="J5" s="13">
        <f t="shared" ref="J5:J10" si="4">I5-H5</f>
        <v>16</v>
      </c>
      <c r="K5" s="76">
        <v>3494</v>
      </c>
      <c r="L5" s="9">
        <f t="shared" ref="L5:L10" si="5">+I5-K5</f>
        <v>16</v>
      </c>
      <c r="M5" s="79">
        <v>40</v>
      </c>
      <c r="N5" s="23">
        <f t="shared" ref="N5:N10" si="6">+K5-M5</f>
        <v>3454</v>
      </c>
      <c r="O5" s="65">
        <f>+N5/B4</f>
        <v>1.9771036061820264</v>
      </c>
      <c r="P5" s="19">
        <f>+L5+M5</f>
        <v>56</v>
      </c>
      <c r="Q5" s="82">
        <v>30</v>
      </c>
      <c r="R5" s="9">
        <f t="shared" si="0"/>
        <v>26</v>
      </c>
      <c r="S5" s="9">
        <f>+R5*G5</f>
        <v>1.3</v>
      </c>
      <c r="T5" s="9">
        <f t="shared" si="2"/>
        <v>104</v>
      </c>
      <c r="U5" s="12">
        <f t="shared" ref="U5:U9" si="7">+R5/I5</f>
        <v>7.4074074074074077E-3</v>
      </c>
      <c r="W5" s="102">
        <f t="shared" ref="W5:W35" si="8">+I5*G5</f>
        <v>175.5</v>
      </c>
      <c r="X5" s="103">
        <f t="shared" ref="X5:X35" si="9">+K5*G5</f>
        <v>174.70000000000002</v>
      </c>
      <c r="Y5" s="103">
        <f t="shared" ref="Y5:Y35" si="10">+L5*G5</f>
        <v>0.8</v>
      </c>
      <c r="Z5" s="103">
        <f t="shared" ref="Z5:Z35" si="11">+M5*G5</f>
        <v>2</v>
      </c>
      <c r="AA5" s="284">
        <f t="shared" ref="AA5:AA35" si="12">+Q5*G5</f>
        <v>1.5</v>
      </c>
      <c r="AB5" s="104">
        <f t="shared" si="3"/>
        <v>1.3</v>
      </c>
    </row>
    <row r="6" spans="1:29" ht="20.25" customHeight="1" x14ac:dyDescent="0.35">
      <c r="A6" s="302"/>
      <c r="B6" s="304"/>
      <c r="C6" s="35" t="s">
        <v>88</v>
      </c>
      <c r="D6" s="10">
        <v>40</v>
      </c>
      <c r="E6" s="31" t="s">
        <v>17</v>
      </c>
      <c r="F6" s="49">
        <v>0.15</v>
      </c>
      <c r="G6" s="11">
        <v>1</v>
      </c>
      <c r="H6" s="72">
        <f>+F6*B4</f>
        <v>262.05</v>
      </c>
      <c r="I6" s="68">
        <v>268.5</v>
      </c>
      <c r="J6" s="13">
        <f t="shared" si="4"/>
        <v>6.4499999999999886</v>
      </c>
      <c r="K6" s="76">
        <v>268.5</v>
      </c>
      <c r="L6" s="9">
        <f t="shared" si="5"/>
        <v>0</v>
      </c>
      <c r="M6" s="79">
        <v>12</v>
      </c>
      <c r="N6" s="33">
        <f t="shared" si="6"/>
        <v>256.5</v>
      </c>
      <c r="O6" s="42">
        <f>+N6/B4</f>
        <v>0.14682312535775616</v>
      </c>
      <c r="P6" s="19">
        <f>+L6+M6</f>
        <v>12</v>
      </c>
      <c r="Q6" s="82">
        <v>0</v>
      </c>
      <c r="R6" s="9">
        <f t="shared" si="0"/>
        <v>12</v>
      </c>
      <c r="S6" s="9">
        <f t="shared" si="1"/>
        <v>12</v>
      </c>
      <c r="T6" s="9">
        <f t="shared" si="2"/>
        <v>480</v>
      </c>
      <c r="U6" s="12">
        <f t="shared" si="7"/>
        <v>4.4692737430167599E-2</v>
      </c>
      <c r="W6" s="102">
        <f t="shared" si="8"/>
        <v>268.5</v>
      </c>
      <c r="X6" s="103">
        <f t="shared" si="9"/>
        <v>268.5</v>
      </c>
      <c r="Y6" s="103">
        <f t="shared" si="10"/>
        <v>0</v>
      </c>
      <c r="Z6" s="103">
        <f t="shared" si="11"/>
        <v>12</v>
      </c>
      <c r="AA6" s="284">
        <f t="shared" si="12"/>
        <v>0</v>
      </c>
      <c r="AB6" s="104">
        <f t="shared" si="3"/>
        <v>12</v>
      </c>
    </row>
    <row r="7" spans="1:29" ht="20.25" customHeight="1" x14ac:dyDescent="0.35">
      <c r="A7" s="302"/>
      <c r="B7" s="304"/>
      <c r="C7" s="35" t="s">
        <v>12</v>
      </c>
      <c r="D7" s="10">
        <v>45</v>
      </c>
      <c r="E7" s="31" t="s">
        <v>17</v>
      </c>
      <c r="F7" s="49">
        <v>0.1</v>
      </c>
      <c r="G7" s="11">
        <v>1</v>
      </c>
      <c r="H7" s="72">
        <f>+F7*B4</f>
        <v>174.70000000000002</v>
      </c>
      <c r="I7" s="68">
        <v>178</v>
      </c>
      <c r="J7" s="13">
        <f t="shared" si="4"/>
        <v>3.2999999999999829</v>
      </c>
      <c r="K7" s="76">
        <v>178</v>
      </c>
      <c r="L7" s="9">
        <f t="shared" si="5"/>
        <v>0</v>
      </c>
      <c r="M7" s="79">
        <v>7</v>
      </c>
      <c r="N7" s="23">
        <f t="shared" si="6"/>
        <v>171</v>
      </c>
      <c r="O7" s="42">
        <f>+N7/B4</f>
        <v>9.7882083571837433E-2</v>
      </c>
      <c r="P7" s="19">
        <f t="shared" ref="P7:P10" si="13">+L7+M7</f>
        <v>7</v>
      </c>
      <c r="Q7" s="82">
        <v>0</v>
      </c>
      <c r="R7" s="9">
        <f t="shared" si="0"/>
        <v>7</v>
      </c>
      <c r="S7" s="9">
        <f t="shared" si="1"/>
        <v>7</v>
      </c>
      <c r="T7" s="9">
        <f t="shared" si="2"/>
        <v>315</v>
      </c>
      <c r="U7" s="12">
        <f t="shared" si="7"/>
        <v>3.9325842696629212E-2</v>
      </c>
      <c r="W7" s="102">
        <f t="shared" si="8"/>
        <v>178</v>
      </c>
      <c r="X7" s="103">
        <f t="shared" si="9"/>
        <v>178</v>
      </c>
      <c r="Y7" s="103">
        <f t="shared" si="10"/>
        <v>0</v>
      </c>
      <c r="Z7" s="103">
        <f t="shared" si="11"/>
        <v>7</v>
      </c>
      <c r="AA7" s="284">
        <f t="shared" si="12"/>
        <v>0</v>
      </c>
      <c r="AB7" s="104">
        <f t="shared" si="3"/>
        <v>7</v>
      </c>
    </row>
    <row r="8" spans="1:29" ht="20.25" customHeight="1" x14ac:dyDescent="0.35">
      <c r="A8" s="302"/>
      <c r="B8" s="304"/>
      <c r="C8" s="35" t="s">
        <v>13</v>
      </c>
      <c r="D8" s="10">
        <v>52</v>
      </c>
      <c r="E8" s="31" t="s">
        <v>17</v>
      </c>
      <c r="F8" s="49">
        <v>0.1</v>
      </c>
      <c r="G8" s="11">
        <v>1</v>
      </c>
      <c r="H8" s="72">
        <f>+F8*B4</f>
        <v>174.70000000000002</v>
      </c>
      <c r="I8" s="68">
        <v>176.8</v>
      </c>
      <c r="J8" s="13">
        <f t="shared" si="4"/>
        <v>2.0999999999999943</v>
      </c>
      <c r="K8" s="76">
        <v>176.8</v>
      </c>
      <c r="L8" s="9">
        <f>+I8-K8</f>
        <v>0</v>
      </c>
      <c r="M8" s="79">
        <v>6.5</v>
      </c>
      <c r="N8" s="33">
        <f t="shared" si="6"/>
        <v>170.3</v>
      </c>
      <c r="O8" s="42">
        <f>+N8/B4</f>
        <v>9.7481396680022897E-2</v>
      </c>
      <c r="P8" s="19">
        <f t="shared" si="13"/>
        <v>6.5</v>
      </c>
      <c r="Q8" s="82">
        <v>0</v>
      </c>
      <c r="R8" s="9">
        <f t="shared" si="0"/>
        <v>6.5</v>
      </c>
      <c r="S8" s="9">
        <f t="shared" si="1"/>
        <v>6.5</v>
      </c>
      <c r="T8" s="9">
        <f t="shared" si="2"/>
        <v>338</v>
      </c>
      <c r="U8" s="12">
        <f t="shared" si="7"/>
        <v>3.6764705882352935E-2</v>
      </c>
      <c r="W8" s="102">
        <f t="shared" si="8"/>
        <v>176.8</v>
      </c>
      <c r="X8" s="103">
        <f t="shared" si="9"/>
        <v>176.8</v>
      </c>
      <c r="Y8" s="103">
        <f t="shared" si="10"/>
        <v>0</v>
      </c>
      <c r="Z8" s="103">
        <f t="shared" si="11"/>
        <v>6.5</v>
      </c>
      <c r="AA8" s="284">
        <f t="shared" si="12"/>
        <v>0</v>
      </c>
      <c r="AB8" s="104">
        <f t="shared" si="3"/>
        <v>6.5</v>
      </c>
    </row>
    <row r="9" spans="1:29" ht="20.25" customHeight="1" x14ac:dyDescent="0.35">
      <c r="A9" s="302"/>
      <c r="B9" s="304"/>
      <c r="C9" s="35" t="s">
        <v>102</v>
      </c>
      <c r="D9" s="10">
        <v>90</v>
      </c>
      <c r="E9" s="31" t="s">
        <v>17</v>
      </c>
      <c r="F9" s="49">
        <v>0.05</v>
      </c>
      <c r="G9" s="11">
        <v>1</v>
      </c>
      <c r="H9" s="73">
        <f>+F9*B4</f>
        <v>87.350000000000009</v>
      </c>
      <c r="I9" s="68">
        <v>89</v>
      </c>
      <c r="J9" s="13">
        <f t="shared" si="4"/>
        <v>1.6499999999999915</v>
      </c>
      <c r="K9" s="76">
        <v>89</v>
      </c>
      <c r="L9" s="54">
        <f>+I9-K9</f>
        <v>0</v>
      </c>
      <c r="M9" s="79">
        <v>3</v>
      </c>
      <c r="N9" s="23">
        <f t="shared" si="6"/>
        <v>86</v>
      </c>
      <c r="O9" s="42">
        <f>+N9/B4</f>
        <v>4.9227246708643389E-2</v>
      </c>
      <c r="P9" s="19">
        <f t="shared" si="13"/>
        <v>3</v>
      </c>
      <c r="Q9" s="82">
        <v>0</v>
      </c>
      <c r="R9" s="9">
        <f t="shared" si="0"/>
        <v>3</v>
      </c>
      <c r="S9" s="9">
        <f t="shared" si="1"/>
        <v>3</v>
      </c>
      <c r="T9" s="9">
        <f t="shared" si="2"/>
        <v>270</v>
      </c>
      <c r="U9" s="12">
        <f t="shared" si="7"/>
        <v>3.3707865168539325E-2</v>
      </c>
      <c r="W9" s="102">
        <f t="shared" si="8"/>
        <v>89</v>
      </c>
      <c r="X9" s="103">
        <f t="shared" si="9"/>
        <v>89</v>
      </c>
      <c r="Y9" s="103">
        <f t="shared" si="10"/>
        <v>0</v>
      </c>
      <c r="Z9" s="103">
        <f t="shared" si="11"/>
        <v>3</v>
      </c>
      <c r="AA9" s="284">
        <f t="shared" si="12"/>
        <v>0</v>
      </c>
      <c r="AB9" s="104">
        <f t="shared" si="3"/>
        <v>3</v>
      </c>
    </row>
    <row r="10" spans="1:29" ht="20.25" customHeight="1" x14ac:dyDescent="0.35">
      <c r="A10" s="302"/>
      <c r="B10" s="304"/>
      <c r="C10" s="35" t="s">
        <v>14</v>
      </c>
      <c r="D10" s="10">
        <v>60</v>
      </c>
      <c r="E10" s="31" t="s">
        <v>18</v>
      </c>
      <c r="F10" s="49">
        <v>0.1</v>
      </c>
      <c r="G10" s="11">
        <v>1</v>
      </c>
      <c r="H10" s="72">
        <f>+F10*B4</f>
        <v>174.70000000000002</v>
      </c>
      <c r="I10" s="68">
        <v>177</v>
      </c>
      <c r="J10" s="13">
        <f t="shared" si="4"/>
        <v>2.2999999999999829</v>
      </c>
      <c r="K10" s="76">
        <v>174.7</v>
      </c>
      <c r="L10" s="9">
        <f t="shared" si="5"/>
        <v>2.3000000000000114</v>
      </c>
      <c r="M10" s="79">
        <v>7</v>
      </c>
      <c r="N10" s="33">
        <f t="shared" si="6"/>
        <v>167.7</v>
      </c>
      <c r="O10" s="42">
        <f>+N10/B4</f>
        <v>9.5993131081854602E-2</v>
      </c>
      <c r="P10" s="19">
        <f t="shared" si="13"/>
        <v>9.3000000000000114</v>
      </c>
      <c r="Q10" s="82">
        <v>0</v>
      </c>
      <c r="R10" s="9">
        <f t="shared" si="0"/>
        <v>9.3000000000000114</v>
      </c>
      <c r="S10" s="9">
        <f t="shared" si="1"/>
        <v>9.3000000000000114</v>
      </c>
      <c r="T10" s="9">
        <f t="shared" si="2"/>
        <v>558.00000000000068</v>
      </c>
      <c r="U10" s="12">
        <f>+R10/I10</f>
        <v>5.2542372881355999E-2</v>
      </c>
      <c r="W10" s="115">
        <f t="shared" si="8"/>
        <v>177</v>
      </c>
      <c r="X10" s="116">
        <f t="shared" si="9"/>
        <v>174.7</v>
      </c>
      <c r="Y10" s="116">
        <f t="shared" si="10"/>
        <v>2.3000000000000114</v>
      </c>
      <c r="Z10" s="116">
        <f t="shared" si="11"/>
        <v>7</v>
      </c>
      <c r="AA10" s="284">
        <f t="shared" si="12"/>
        <v>0</v>
      </c>
      <c r="AB10" s="117">
        <f t="shared" si="3"/>
        <v>9.3000000000000114</v>
      </c>
    </row>
    <row r="11" spans="1:29" ht="20.25" customHeight="1" thickBot="1" x14ac:dyDescent="0.4">
      <c r="A11" s="27"/>
      <c r="B11" s="51"/>
      <c r="C11" s="50"/>
      <c r="D11" s="15"/>
      <c r="E11" s="15"/>
      <c r="F11" s="15"/>
      <c r="G11" s="15"/>
      <c r="H11" s="74"/>
      <c r="I11" s="69"/>
      <c r="J11" s="16"/>
      <c r="K11" s="77"/>
      <c r="L11" s="15"/>
      <c r="M11" s="80"/>
      <c r="N11" s="14"/>
      <c r="O11" s="16"/>
      <c r="P11" s="20"/>
      <c r="Q11" s="83"/>
      <c r="R11" s="15"/>
      <c r="S11" s="84">
        <f>SUM(S4:S10)</f>
        <v>42.250000000000014</v>
      </c>
      <c r="T11" s="56">
        <f>SUM(T4:T10)</f>
        <v>2191.0000000000009</v>
      </c>
      <c r="U11" s="16"/>
      <c r="W11" s="118">
        <f>SUM(W4:W10)</f>
        <v>1240.4000000000001</v>
      </c>
      <c r="X11" s="109">
        <f t="shared" ref="X11:AB11" si="14">SUM(X4:X10)</f>
        <v>1236.4000000000001</v>
      </c>
      <c r="Y11" s="109">
        <f t="shared" si="14"/>
        <v>4.0000000000000115</v>
      </c>
      <c r="Z11" s="110">
        <f t="shared" si="14"/>
        <v>39.75</v>
      </c>
      <c r="AA11" s="289">
        <f>SUM(AA4:AA10)</f>
        <v>1.5</v>
      </c>
      <c r="AB11" s="114">
        <f t="shared" si="14"/>
        <v>42.250000000000014</v>
      </c>
      <c r="AC11" s="94"/>
    </row>
    <row r="12" spans="1:29" ht="20.25" customHeight="1" x14ac:dyDescent="0.35">
      <c r="A12" s="292" t="s">
        <v>38</v>
      </c>
      <c r="B12" s="295">
        <v>1550</v>
      </c>
      <c r="C12" s="34" t="s">
        <v>31</v>
      </c>
      <c r="D12" s="4">
        <v>20</v>
      </c>
      <c r="E12" s="30" t="s">
        <v>17</v>
      </c>
      <c r="F12" s="52">
        <v>0.45</v>
      </c>
      <c r="G12" s="5">
        <v>1</v>
      </c>
      <c r="H12" s="71">
        <f>+F12*B12</f>
        <v>697.5</v>
      </c>
      <c r="I12" s="67">
        <v>720</v>
      </c>
      <c r="J12" s="64">
        <f>I12-H12</f>
        <v>22.5</v>
      </c>
      <c r="K12" s="75">
        <v>697.5</v>
      </c>
      <c r="L12" s="3">
        <f>+I12-K12</f>
        <v>22.5</v>
      </c>
      <c r="M12" s="78">
        <v>70</v>
      </c>
      <c r="N12" s="21">
        <f>+K12-M12</f>
        <v>627.5</v>
      </c>
      <c r="O12" s="276">
        <f>+N12/B12</f>
        <v>0.40483870967741936</v>
      </c>
      <c r="P12" s="18">
        <f>+L12+M12</f>
        <v>92.5</v>
      </c>
      <c r="Q12" s="81">
        <v>60</v>
      </c>
      <c r="R12" s="3">
        <f>+P12-Q12</f>
        <v>32.5</v>
      </c>
      <c r="S12" s="3">
        <f>+R12*G12</f>
        <v>32.5</v>
      </c>
      <c r="T12" s="3">
        <f t="shared" ref="T12:T20" si="15">+R12*D12</f>
        <v>650</v>
      </c>
      <c r="U12" s="6">
        <f>+R12/I12</f>
        <v>4.5138888888888888E-2</v>
      </c>
      <c r="W12" s="111">
        <f>+I12*G12</f>
        <v>720</v>
      </c>
      <c r="X12" s="112">
        <f t="shared" si="9"/>
        <v>697.5</v>
      </c>
      <c r="Y12" s="112">
        <f t="shared" si="10"/>
        <v>22.5</v>
      </c>
      <c r="Z12" s="112">
        <f t="shared" si="11"/>
        <v>70</v>
      </c>
      <c r="AA12" s="284">
        <f t="shared" si="12"/>
        <v>60</v>
      </c>
      <c r="AB12" s="113">
        <f t="shared" ref="AB12:AB20" si="16">+R12*G12</f>
        <v>32.5</v>
      </c>
    </row>
    <row r="13" spans="1:29" ht="20.25" customHeight="1" x14ac:dyDescent="0.35">
      <c r="A13" s="293"/>
      <c r="B13" s="296"/>
      <c r="C13" s="35" t="s">
        <v>248</v>
      </c>
      <c r="D13" s="10">
        <v>65</v>
      </c>
      <c r="E13" s="31" t="s">
        <v>17</v>
      </c>
      <c r="F13" s="49">
        <v>0.08</v>
      </c>
      <c r="G13" s="11">
        <v>1</v>
      </c>
      <c r="H13" s="70">
        <f>+F13*B12</f>
        <v>124</v>
      </c>
      <c r="I13" s="68">
        <v>127.5</v>
      </c>
      <c r="J13" s="65">
        <f>+I13-H13</f>
        <v>3.5</v>
      </c>
      <c r="K13" s="76">
        <v>124</v>
      </c>
      <c r="L13" s="9">
        <f>+I13-K13</f>
        <v>3.5</v>
      </c>
      <c r="M13" s="79">
        <v>6</v>
      </c>
      <c r="N13" s="23">
        <f>+K13-M13</f>
        <v>118</v>
      </c>
      <c r="O13" s="277">
        <f>+N13/B12</f>
        <v>7.6129032258064513E-2</v>
      </c>
      <c r="P13" s="19">
        <f>+L13+M13</f>
        <v>9.5</v>
      </c>
      <c r="Q13" s="82">
        <v>0</v>
      </c>
      <c r="R13" s="9">
        <f t="shared" ref="R13:R20" si="17">+P13-Q13</f>
        <v>9.5</v>
      </c>
      <c r="S13" s="9">
        <f>+R13*G13</f>
        <v>9.5</v>
      </c>
      <c r="T13" s="9">
        <f t="shared" si="15"/>
        <v>617.5</v>
      </c>
      <c r="U13" s="12">
        <f>+R13/I13</f>
        <v>7.4509803921568626E-2</v>
      </c>
      <c r="W13" s="102">
        <f>+I13*G13</f>
        <v>127.5</v>
      </c>
      <c r="X13" s="103">
        <f t="shared" si="9"/>
        <v>124</v>
      </c>
      <c r="Y13" s="103">
        <f t="shared" si="10"/>
        <v>3.5</v>
      </c>
      <c r="Z13" s="103">
        <f>+M13*G13</f>
        <v>6</v>
      </c>
      <c r="AA13" s="284">
        <f t="shared" si="12"/>
        <v>0</v>
      </c>
      <c r="AB13" s="104">
        <f t="shared" si="16"/>
        <v>9.5</v>
      </c>
    </row>
    <row r="14" spans="1:29" ht="20.25" customHeight="1" x14ac:dyDescent="0.35">
      <c r="A14" s="293"/>
      <c r="B14" s="296"/>
      <c r="C14" s="35" t="s">
        <v>129</v>
      </c>
      <c r="D14" s="10">
        <v>85</v>
      </c>
      <c r="E14" s="31" t="s">
        <v>17</v>
      </c>
      <c r="F14" s="49">
        <v>0.08</v>
      </c>
      <c r="G14" s="11">
        <v>1</v>
      </c>
      <c r="H14" s="72">
        <f>+F14*B12</f>
        <v>124</v>
      </c>
      <c r="I14" s="68">
        <v>128.5</v>
      </c>
      <c r="J14" s="65">
        <f>+I14-H14</f>
        <v>4.5</v>
      </c>
      <c r="K14" s="76">
        <v>124</v>
      </c>
      <c r="L14" s="9">
        <f t="shared" ref="L14:L20" si="18">+I14-K14</f>
        <v>4.5</v>
      </c>
      <c r="M14" s="79">
        <v>2.5</v>
      </c>
      <c r="N14" s="33">
        <f>+K14-M14</f>
        <v>121.5</v>
      </c>
      <c r="O14" s="277">
        <f>+N14/B12</f>
        <v>7.8387096774193546E-2</v>
      </c>
      <c r="P14" s="19">
        <f>+L14+M14</f>
        <v>7</v>
      </c>
      <c r="Q14" s="82">
        <v>0</v>
      </c>
      <c r="R14" s="9">
        <f t="shared" si="17"/>
        <v>7</v>
      </c>
      <c r="S14" s="9">
        <f t="shared" ref="S14:S20" si="19">+R14*G14</f>
        <v>7</v>
      </c>
      <c r="T14" s="9">
        <f t="shared" si="15"/>
        <v>595</v>
      </c>
      <c r="U14" s="12">
        <f t="shared" ref="U14:U20" si="20">+R14/I14</f>
        <v>5.4474708171206226E-2</v>
      </c>
      <c r="W14" s="102">
        <f t="shared" si="8"/>
        <v>128.5</v>
      </c>
      <c r="X14" s="103">
        <f t="shared" si="9"/>
        <v>124</v>
      </c>
      <c r="Y14" s="103">
        <f t="shared" si="10"/>
        <v>4.5</v>
      </c>
      <c r="Z14" s="103">
        <f>+M14*G14</f>
        <v>2.5</v>
      </c>
      <c r="AA14" s="284">
        <f t="shared" si="12"/>
        <v>0</v>
      </c>
      <c r="AB14" s="104">
        <f t="shared" si="16"/>
        <v>7</v>
      </c>
    </row>
    <row r="15" spans="1:29" ht="20.25" customHeight="1" x14ac:dyDescent="0.35">
      <c r="A15" s="293"/>
      <c r="B15" s="296"/>
      <c r="C15" s="35" t="s">
        <v>249</v>
      </c>
      <c r="D15" s="10">
        <v>55</v>
      </c>
      <c r="E15" s="31" t="s">
        <v>17</v>
      </c>
      <c r="F15" s="49">
        <v>0.08</v>
      </c>
      <c r="G15" s="11">
        <v>1</v>
      </c>
      <c r="H15" s="72">
        <f>+F15*B12</f>
        <v>124</v>
      </c>
      <c r="I15" s="68">
        <v>126.5</v>
      </c>
      <c r="J15" s="13">
        <f t="shared" ref="J15:J20" si="21">I15-H15</f>
        <v>2.5</v>
      </c>
      <c r="K15" s="76">
        <v>124</v>
      </c>
      <c r="L15" s="9">
        <f t="shared" si="18"/>
        <v>2.5</v>
      </c>
      <c r="M15" s="79">
        <v>6</v>
      </c>
      <c r="N15" s="23">
        <f t="shared" ref="N15:N20" si="22">+K15-M15</f>
        <v>118</v>
      </c>
      <c r="O15" s="277">
        <f>+N15/B12</f>
        <v>7.6129032258064513E-2</v>
      </c>
      <c r="P15" s="19">
        <f t="shared" ref="P15:P20" si="23">+L15+M15</f>
        <v>8.5</v>
      </c>
      <c r="Q15" s="82">
        <v>0</v>
      </c>
      <c r="R15" s="9">
        <f t="shared" si="17"/>
        <v>8.5</v>
      </c>
      <c r="S15" s="9">
        <f t="shared" si="19"/>
        <v>8.5</v>
      </c>
      <c r="T15" s="9">
        <f t="shared" si="15"/>
        <v>467.5</v>
      </c>
      <c r="U15" s="12">
        <f t="shared" si="20"/>
        <v>6.7193675889328064E-2</v>
      </c>
      <c r="W15" s="102">
        <f t="shared" si="8"/>
        <v>126.5</v>
      </c>
      <c r="X15" s="103">
        <f t="shared" si="9"/>
        <v>124</v>
      </c>
      <c r="Y15" s="103">
        <f t="shared" si="10"/>
        <v>2.5</v>
      </c>
      <c r="Z15" s="103">
        <f t="shared" si="11"/>
        <v>6</v>
      </c>
      <c r="AA15" s="284">
        <f t="shared" si="12"/>
        <v>0</v>
      </c>
      <c r="AB15" s="104">
        <f t="shared" si="16"/>
        <v>8.5</v>
      </c>
    </row>
    <row r="16" spans="1:29" ht="20.25" customHeight="1" x14ac:dyDescent="0.35">
      <c r="A16" s="293"/>
      <c r="B16" s="296"/>
      <c r="C16" s="35" t="s">
        <v>32</v>
      </c>
      <c r="D16" s="10">
        <v>48</v>
      </c>
      <c r="E16" s="31" t="s">
        <v>18</v>
      </c>
      <c r="F16" s="49">
        <v>0.06</v>
      </c>
      <c r="G16" s="11">
        <v>1</v>
      </c>
      <c r="H16" s="72">
        <f>+F16*B12</f>
        <v>93</v>
      </c>
      <c r="I16" s="68">
        <v>95.5</v>
      </c>
      <c r="J16" s="13">
        <f t="shared" si="21"/>
        <v>2.5</v>
      </c>
      <c r="K16" s="76">
        <v>93</v>
      </c>
      <c r="L16" s="9">
        <f t="shared" si="18"/>
        <v>2.5</v>
      </c>
      <c r="M16" s="79">
        <v>12</v>
      </c>
      <c r="N16" s="33">
        <f t="shared" si="22"/>
        <v>81</v>
      </c>
      <c r="O16" s="277">
        <f>+N16/B12</f>
        <v>5.2258064516129035E-2</v>
      </c>
      <c r="P16" s="19">
        <f t="shared" si="23"/>
        <v>14.5</v>
      </c>
      <c r="Q16" s="82">
        <v>0</v>
      </c>
      <c r="R16" s="9">
        <f t="shared" si="17"/>
        <v>14.5</v>
      </c>
      <c r="S16" s="9">
        <f t="shared" si="19"/>
        <v>14.5</v>
      </c>
      <c r="T16" s="9">
        <f t="shared" si="15"/>
        <v>696</v>
      </c>
      <c r="U16" s="12">
        <f t="shared" si="20"/>
        <v>0.15183246073298429</v>
      </c>
      <c r="W16" s="102">
        <f t="shared" si="8"/>
        <v>95.5</v>
      </c>
      <c r="X16" s="103">
        <f t="shared" si="9"/>
        <v>93</v>
      </c>
      <c r="Y16" s="103">
        <f t="shared" si="10"/>
        <v>2.5</v>
      </c>
      <c r="Z16" s="103">
        <f t="shared" si="11"/>
        <v>12</v>
      </c>
      <c r="AA16" s="284">
        <f t="shared" si="12"/>
        <v>0</v>
      </c>
      <c r="AB16" s="104">
        <f t="shared" si="16"/>
        <v>14.5</v>
      </c>
    </row>
    <row r="17" spans="1:29" ht="20.25" customHeight="1" x14ac:dyDescent="0.35">
      <c r="A17" s="293"/>
      <c r="B17" s="296"/>
      <c r="C17" s="35" t="s">
        <v>155</v>
      </c>
      <c r="D17" s="10">
        <v>35</v>
      </c>
      <c r="E17" s="31" t="s">
        <v>18</v>
      </c>
      <c r="F17" s="49">
        <v>0.06</v>
      </c>
      <c r="G17" s="11">
        <v>1</v>
      </c>
      <c r="H17" s="73">
        <f>+F17*B12</f>
        <v>93</v>
      </c>
      <c r="I17" s="68">
        <v>98</v>
      </c>
      <c r="J17" s="66">
        <f t="shared" si="21"/>
        <v>5</v>
      </c>
      <c r="K17" s="76">
        <v>93</v>
      </c>
      <c r="L17" s="9">
        <f t="shared" si="18"/>
        <v>5</v>
      </c>
      <c r="M17" s="79">
        <v>6</v>
      </c>
      <c r="N17" s="23">
        <f t="shared" si="22"/>
        <v>87</v>
      </c>
      <c r="O17" s="277">
        <f>+N17/B12</f>
        <v>5.6129032258064517E-2</v>
      </c>
      <c r="P17" s="19">
        <f t="shared" si="23"/>
        <v>11</v>
      </c>
      <c r="Q17" s="82">
        <v>0</v>
      </c>
      <c r="R17" s="9">
        <f t="shared" si="17"/>
        <v>11</v>
      </c>
      <c r="S17" s="9">
        <f t="shared" si="19"/>
        <v>11</v>
      </c>
      <c r="T17" s="9">
        <f t="shared" si="15"/>
        <v>385</v>
      </c>
      <c r="U17" s="12">
        <f t="shared" si="20"/>
        <v>0.11224489795918367</v>
      </c>
      <c r="W17" s="102">
        <f t="shared" si="8"/>
        <v>98</v>
      </c>
      <c r="X17" s="103">
        <f t="shared" si="9"/>
        <v>93</v>
      </c>
      <c r="Y17" s="103">
        <f t="shared" si="10"/>
        <v>5</v>
      </c>
      <c r="Z17" s="103">
        <f t="shared" si="11"/>
        <v>6</v>
      </c>
      <c r="AA17" s="284">
        <f t="shared" si="12"/>
        <v>0</v>
      </c>
      <c r="AB17" s="104">
        <f t="shared" si="16"/>
        <v>11</v>
      </c>
    </row>
    <row r="18" spans="1:29" ht="20.25" customHeight="1" x14ac:dyDescent="0.35">
      <c r="A18" s="293"/>
      <c r="B18" s="296"/>
      <c r="C18" s="35" t="s">
        <v>33</v>
      </c>
      <c r="D18" s="10">
        <v>50</v>
      </c>
      <c r="E18" s="31" t="s">
        <v>17</v>
      </c>
      <c r="F18" s="49">
        <v>0.03</v>
      </c>
      <c r="G18" s="11">
        <v>1</v>
      </c>
      <c r="H18" s="72">
        <f>+F18*B12</f>
        <v>46.5</v>
      </c>
      <c r="I18" s="68">
        <v>48.5</v>
      </c>
      <c r="J18" s="13">
        <f t="shared" si="21"/>
        <v>2</v>
      </c>
      <c r="K18" s="76">
        <v>46.5</v>
      </c>
      <c r="L18" s="9">
        <f t="shared" si="18"/>
        <v>2</v>
      </c>
      <c r="M18" s="79">
        <v>4</v>
      </c>
      <c r="N18" s="23">
        <f t="shared" si="22"/>
        <v>42.5</v>
      </c>
      <c r="O18" s="277">
        <f>+N18/B12</f>
        <v>2.7419354838709678E-2</v>
      </c>
      <c r="P18" s="19">
        <f t="shared" si="23"/>
        <v>6</v>
      </c>
      <c r="Q18" s="82">
        <v>0</v>
      </c>
      <c r="R18" s="9">
        <f t="shared" si="17"/>
        <v>6</v>
      </c>
      <c r="S18" s="9">
        <f t="shared" si="19"/>
        <v>6</v>
      </c>
      <c r="T18" s="9">
        <f t="shared" si="15"/>
        <v>300</v>
      </c>
      <c r="U18" s="12">
        <f t="shared" si="20"/>
        <v>0.12371134020618557</v>
      </c>
      <c r="W18" s="102">
        <f t="shared" si="8"/>
        <v>48.5</v>
      </c>
      <c r="X18" s="103">
        <f t="shared" si="9"/>
        <v>46.5</v>
      </c>
      <c r="Y18" s="103">
        <f t="shared" si="10"/>
        <v>2</v>
      </c>
      <c r="Z18" s="103">
        <f t="shared" si="11"/>
        <v>4</v>
      </c>
      <c r="AA18" s="284">
        <f t="shared" si="12"/>
        <v>0</v>
      </c>
      <c r="AB18" s="104">
        <f t="shared" si="16"/>
        <v>6</v>
      </c>
    </row>
    <row r="19" spans="1:29" ht="20.25" customHeight="1" x14ac:dyDescent="0.35">
      <c r="A19" s="293"/>
      <c r="B19" s="296"/>
      <c r="C19" s="35" t="s">
        <v>34</v>
      </c>
      <c r="D19" s="31">
        <v>70</v>
      </c>
      <c r="E19" s="31" t="s">
        <v>17</v>
      </c>
      <c r="F19" s="11">
        <v>0.1</v>
      </c>
      <c r="G19" s="11">
        <v>1</v>
      </c>
      <c r="H19" s="72">
        <f>+F19*B12</f>
        <v>155</v>
      </c>
      <c r="I19" s="68">
        <v>156.5</v>
      </c>
      <c r="J19" s="13">
        <f t="shared" si="21"/>
        <v>1.5</v>
      </c>
      <c r="K19" s="76">
        <v>155</v>
      </c>
      <c r="L19" s="9">
        <f t="shared" si="18"/>
        <v>1.5</v>
      </c>
      <c r="M19" s="79">
        <v>0</v>
      </c>
      <c r="N19" s="23">
        <f t="shared" si="22"/>
        <v>155</v>
      </c>
      <c r="O19" s="277">
        <f>+N19/B12</f>
        <v>0.1</v>
      </c>
      <c r="P19" s="19">
        <f t="shared" si="23"/>
        <v>1.5</v>
      </c>
      <c r="Q19" s="82">
        <v>0</v>
      </c>
      <c r="R19" s="9">
        <f t="shared" si="17"/>
        <v>1.5</v>
      </c>
      <c r="S19" s="9">
        <f t="shared" si="19"/>
        <v>1.5</v>
      </c>
      <c r="T19" s="9">
        <f t="shared" si="15"/>
        <v>105</v>
      </c>
      <c r="U19" s="12">
        <f t="shared" si="20"/>
        <v>9.5846645367412137E-3</v>
      </c>
      <c r="W19" s="102">
        <f t="shared" si="8"/>
        <v>156.5</v>
      </c>
      <c r="X19" s="103">
        <f t="shared" si="9"/>
        <v>155</v>
      </c>
      <c r="Y19" s="103">
        <f t="shared" si="10"/>
        <v>1.5</v>
      </c>
      <c r="Z19" s="103">
        <f t="shared" si="11"/>
        <v>0</v>
      </c>
      <c r="AA19" s="284">
        <f t="shared" si="12"/>
        <v>0</v>
      </c>
      <c r="AB19" s="104">
        <f t="shared" si="16"/>
        <v>1.5</v>
      </c>
    </row>
    <row r="20" spans="1:29" ht="20.25" customHeight="1" x14ac:dyDescent="0.35">
      <c r="A20" s="294"/>
      <c r="B20" s="297"/>
      <c r="C20" s="40" t="s">
        <v>35</v>
      </c>
      <c r="D20" s="44">
        <v>2</v>
      </c>
      <c r="E20" s="44" t="s">
        <v>16</v>
      </c>
      <c r="F20" s="53">
        <v>2</v>
      </c>
      <c r="G20" s="45">
        <v>0.04</v>
      </c>
      <c r="H20" s="72">
        <f>+F20*B12</f>
        <v>3100</v>
      </c>
      <c r="I20" s="68">
        <v>3150</v>
      </c>
      <c r="J20" s="13">
        <f t="shared" si="21"/>
        <v>50</v>
      </c>
      <c r="K20" s="76">
        <v>3100</v>
      </c>
      <c r="L20" s="9">
        <f t="shared" si="18"/>
        <v>50</v>
      </c>
      <c r="M20" s="79">
        <v>70</v>
      </c>
      <c r="N20" s="33">
        <f t="shared" si="22"/>
        <v>3030</v>
      </c>
      <c r="O20" s="277">
        <f>+N20/B12</f>
        <v>1.9548387096774194</v>
      </c>
      <c r="P20" s="19">
        <f t="shared" si="23"/>
        <v>120</v>
      </c>
      <c r="Q20" s="82">
        <v>0</v>
      </c>
      <c r="R20" s="9">
        <f t="shared" si="17"/>
        <v>120</v>
      </c>
      <c r="S20" s="9">
        <f t="shared" si="19"/>
        <v>4.8</v>
      </c>
      <c r="T20" s="9">
        <f t="shared" si="15"/>
        <v>240</v>
      </c>
      <c r="U20" s="12">
        <f t="shared" si="20"/>
        <v>3.8095238095238099E-2</v>
      </c>
      <c r="W20" s="115">
        <f t="shared" si="8"/>
        <v>126</v>
      </c>
      <c r="X20" s="116">
        <f t="shared" si="9"/>
        <v>124</v>
      </c>
      <c r="Y20" s="116">
        <f t="shared" si="10"/>
        <v>2</v>
      </c>
      <c r="Z20" s="116">
        <f t="shared" si="11"/>
        <v>2.8000000000000003</v>
      </c>
      <c r="AA20" s="284">
        <f t="shared" si="12"/>
        <v>0</v>
      </c>
      <c r="AB20" s="117">
        <f t="shared" si="16"/>
        <v>4.8</v>
      </c>
    </row>
    <row r="21" spans="1:29" ht="20.25" customHeight="1" thickBot="1" x14ac:dyDescent="0.4">
      <c r="A21" s="27"/>
      <c r="B21" s="28"/>
      <c r="C21" s="29"/>
      <c r="D21" s="15"/>
      <c r="E21" s="15"/>
      <c r="F21" s="15"/>
      <c r="G21" s="15"/>
      <c r="H21" s="74"/>
      <c r="I21" s="69"/>
      <c r="J21" s="16"/>
      <c r="K21" s="77"/>
      <c r="L21" s="15"/>
      <c r="M21" s="80"/>
      <c r="N21" s="14"/>
      <c r="O21" s="278">
        <f>SUM(O12:O19)+0.06</f>
        <v>0.93129032258064526</v>
      </c>
      <c r="P21" s="20"/>
      <c r="Q21" s="83"/>
      <c r="R21" s="15"/>
      <c r="S21" s="56">
        <f>SUM(S12:S20)</f>
        <v>95.3</v>
      </c>
      <c r="T21" s="56">
        <f>SUM(T12:T20)</f>
        <v>4056</v>
      </c>
      <c r="U21" s="16"/>
      <c r="W21" s="118">
        <f>SUM(W12:W20)</f>
        <v>1627</v>
      </c>
      <c r="X21" s="110">
        <f t="shared" ref="X21:AB21" si="24">SUM(X12:X20)</f>
        <v>1581</v>
      </c>
      <c r="Y21" s="114">
        <f t="shared" si="24"/>
        <v>46</v>
      </c>
      <c r="Z21" s="109">
        <f t="shared" si="24"/>
        <v>109.3</v>
      </c>
      <c r="AA21" s="286">
        <f>SUM(AA12:AA20)</f>
        <v>60</v>
      </c>
      <c r="AB21" s="109">
        <f t="shared" si="24"/>
        <v>95.3</v>
      </c>
      <c r="AC21" s="94"/>
    </row>
    <row r="22" spans="1:29" ht="20.25" customHeight="1" x14ac:dyDescent="0.35">
      <c r="A22" s="292" t="s">
        <v>39</v>
      </c>
      <c r="B22" s="295">
        <v>1885</v>
      </c>
      <c r="C22" s="34" t="s">
        <v>250</v>
      </c>
      <c r="D22" s="4">
        <v>35</v>
      </c>
      <c r="E22" s="4" t="s">
        <v>186</v>
      </c>
      <c r="F22" s="135">
        <v>0.2</v>
      </c>
      <c r="G22" s="5">
        <v>0.03</v>
      </c>
      <c r="H22" s="71">
        <f>+F22*B22</f>
        <v>377</v>
      </c>
      <c r="I22" s="67">
        <v>377</v>
      </c>
      <c r="J22" s="22">
        <f>I22-H22</f>
        <v>0</v>
      </c>
      <c r="K22" s="75">
        <f>1885*0.2</f>
        <v>377</v>
      </c>
      <c r="L22" s="3">
        <f>+I22-K22</f>
        <v>0</v>
      </c>
      <c r="M22" s="78">
        <v>9</v>
      </c>
      <c r="N22" s="21">
        <f>+K22-M22</f>
        <v>368</v>
      </c>
      <c r="O22" s="41">
        <f>+N22/B22</f>
        <v>0.19522546419098144</v>
      </c>
      <c r="P22" s="18">
        <f>+L22+M22</f>
        <v>9</v>
      </c>
      <c r="Q22" s="81">
        <v>0</v>
      </c>
      <c r="R22" s="3">
        <f>+P22-Q22</f>
        <v>9</v>
      </c>
      <c r="S22" s="3">
        <f>+R22*G22</f>
        <v>0.27</v>
      </c>
      <c r="T22" s="3">
        <f>+R22*D22</f>
        <v>315</v>
      </c>
      <c r="U22" s="6">
        <f>+R22/I22</f>
        <v>2.3872679045092837E-2</v>
      </c>
      <c r="W22" s="111">
        <f t="shared" si="8"/>
        <v>11.309999999999999</v>
      </c>
      <c r="X22" s="112">
        <f t="shared" si="9"/>
        <v>11.309999999999999</v>
      </c>
      <c r="Y22" s="112">
        <f t="shared" si="10"/>
        <v>0</v>
      </c>
      <c r="Z22" s="112">
        <f>+M22*G22</f>
        <v>0.27</v>
      </c>
      <c r="AA22" s="284">
        <f t="shared" si="12"/>
        <v>0</v>
      </c>
      <c r="AB22" s="113">
        <f>+R22*G22</f>
        <v>0.27</v>
      </c>
    </row>
    <row r="23" spans="1:29" ht="20.25" customHeight="1" x14ac:dyDescent="0.35">
      <c r="A23" s="293"/>
      <c r="B23" s="296"/>
      <c r="C23" s="35" t="s">
        <v>251</v>
      </c>
      <c r="D23" s="10">
        <v>52</v>
      </c>
      <c r="E23" s="10" t="s">
        <v>186</v>
      </c>
      <c r="F23" s="279">
        <v>0.1</v>
      </c>
      <c r="G23" s="11">
        <v>1</v>
      </c>
      <c r="H23" s="70">
        <f>+F23*B22</f>
        <v>188.5</v>
      </c>
      <c r="I23" s="68">
        <v>189</v>
      </c>
      <c r="J23" s="13">
        <f>I23-H23</f>
        <v>0.5</v>
      </c>
      <c r="K23" s="76">
        <v>188.5</v>
      </c>
      <c r="L23" s="9">
        <f t="shared" ref="L23:L25" si="25">+I23-K23</f>
        <v>0.5</v>
      </c>
      <c r="M23" s="79">
        <v>5</v>
      </c>
      <c r="N23" s="23">
        <f>+K23-M23</f>
        <v>183.5</v>
      </c>
      <c r="O23" s="42">
        <f>+N23/B22</f>
        <v>9.7347480106100795E-2</v>
      </c>
      <c r="P23" s="19">
        <f>+L23+M23</f>
        <v>5.5</v>
      </c>
      <c r="Q23" s="82">
        <v>0</v>
      </c>
      <c r="R23" s="9">
        <f t="shared" ref="R23:R25" si="26">+P23-Q23</f>
        <v>5.5</v>
      </c>
      <c r="S23" s="9">
        <f>+R23*G23</f>
        <v>5.5</v>
      </c>
      <c r="T23" s="9">
        <f>+R23*D23</f>
        <v>286</v>
      </c>
      <c r="U23" s="12">
        <f t="shared" ref="U23:U25" si="27">+R23/I23</f>
        <v>2.9100529100529099E-2</v>
      </c>
      <c r="W23" s="102">
        <f t="shared" si="8"/>
        <v>189</v>
      </c>
      <c r="X23" s="103">
        <f t="shared" si="9"/>
        <v>188.5</v>
      </c>
      <c r="Y23" s="103">
        <f t="shared" si="10"/>
        <v>0.5</v>
      </c>
      <c r="Z23" s="103">
        <f>+M23*G23</f>
        <v>5</v>
      </c>
      <c r="AA23" s="284">
        <f t="shared" si="12"/>
        <v>0</v>
      </c>
      <c r="AB23" s="104">
        <f>+R23*G23</f>
        <v>5.5</v>
      </c>
    </row>
    <row r="24" spans="1:29" ht="20.25" customHeight="1" x14ac:dyDescent="0.35">
      <c r="A24" s="293"/>
      <c r="B24" s="296"/>
      <c r="C24" s="35" t="s">
        <v>252</v>
      </c>
      <c r="D24" s="10">
        <v>6</v>
      </c>
      <c r="E24" s="10" t="s">
        <v>16</v>
      </c>
      <c r="F24" s="126">
        <v>1</v>
      </c>
      <c r="G24" s="11">
        <v>0.05</v>
      </c>
      <c r="H24" s="72">
        <f>+F24*B22</f>
        <v>1885</v>
      </c>
      <c r="I24" s="68">
        <v>1810</v>
      </c>
      <c r="J24" s="13">
        <f>I24-H24</f>
        <v>-75</v>
      </c>
      <c r="K24" s="76">
        <f>1885-75</f>
        <v>1810</v>
      </c>
      <c r="L24" s="9">
        <f t="shared" si="25"/>
        <v>0</v>
      </c>
      <c r="M24" s="79">
        <v>0</v>
      </c>
      <c r="N24" s="33">
        <f t="shared" ref="N24:N25" si="28">+K24-M24</f>
        <v>1810</v>
      </c>
      <c r="O24" s="42">
        <f>+N24/B22</f>
        <v>0.96021220159151188</v>
      </c>
      <c r="P24" s="19">
        <f>+L24+M24</f>
        <v>0</v>
      </c>
      <c r="Q24" s="82">
        <v>0</v>
      </c>
      <c r="R24" s="9">
        <f t="shared" si="26"/>
        <v>0</v>
      </c>
      <c r="S24" s="9">
        <f>+R24*G24</f>
        <v>0</v>
      </c>
      <c r="T24" s="9">
        <f>+R24*D24</f>
        <v>0</v>
      </c>
      <c r="U24" s="12">
        <f t="shared" si="27"/>
        <v>0</v>
      </c>
      <c r="W24" s="102">
        <f t="shared" si="8"/>
        <v>90.5</v>
      </c>
      <c r="X24" s="103">
        <f t="shared" si="9"/>
        <v>90.5</v>
      </c>
      <c r="Y24" s="103">
        <f t="shared" si="10"/>
        <v>0</v>
      </c>
      <c r="Z24" s="103">
        <f t="shared" si="11"/>
        <v>0</v>
      </c>
      <c r="AA24" s="284">
        <f t="shared" si="12"/>
        <v>0</v>
      </c>
      <c r="AB24" s="104">
        <f>+R24*G24</f>
        <v>0</v>
      </c>
    </row>
    <row r="25" spans="1:29" ht="20.25" customHeight="1" x14ac:dyDescent="0.35">
      <c r="A25" s="293"/>
      <c r="B25" s="296"/>
      <c r="C25" s="35" t="s">
        <v>14</v>
      </c>
      <c r="D25" s="10">
        <v>60</v>
      </c>
      <c r="E25" s="10" t="s">
        <v>18</v>
      </c>
      <c r="F25" s="49">
        <v>0.1</v>
      </c>
      <c r="G25" s="11">
        <v>1</v>
      </c>
      <c r="H25" s="72">
        <f>+F25*B22</f>
        <v>188.5</v>
      </c>
      <c r="I25" s="68">
        <v>190</v>
      </c>
      <c r="J25" s="13">
        <f>I25-H25</f>
        <v>1.5</v>
      </c>
      <c r="K25" s="76">
        <v>188.5</v>
      </c>
      <c r="L25" s="9">
        <f t="shared" si="25"/>
        <v>1.5</v>
      </c>
      <c r="M25" s="79">
        <v>5</v>
      </c>
      <c r="N25" s="23">
        <f t="shared" si="28"/>
        <v>183.5</v>
      </c>
      <c r="O25" s="42">
        <f>+N25/B22</f>
        <v>9.7347480106100795E-2</v>
      </c>
      <c r="P25" s="19">
        <f t="shared" ref="P25" si="29">+L25+M25</f>
        <v>6.5</v>
      </c>
      <c r="Q25" s="82">
        <v>0</v>
      </c>
      <c r="R25" s="9">
        <f t="shared" si="26"/>
        <v>6.5</v>
      </c>
      <c r="S25" s="9">
        <f>+R25*G25</f>
        <v>6.5</v>
      </c>
      <c r="T25" s="9">
        <f>+R25*D25</f>
        <v>390</v>
      </c>
      <c r="U25" s="12">
        <f t="shared" si="27"/>
        <v>3.4210526315789476E-2</v>
      </c>
      <c r="W25" s="105">
        <f t="shared" si="8"/>
        <v>190</v>
      </c>
      <c r="X25" s="106">
        <f t="shared" si="9"/>
        <v>188.5</v>
      </c>
      <c r="Y25" s="106">
        <f t="shared" si="10"/>
        <v>1.5</v>
      </c>
      <c r="Z25" s="106">
        <f t="shared" si="11"/>
        <v>5</v>
      </c>
      <c r="AA25" s="284">
        <f t="shared" si="12"/>
        <v>0</v>
      </c>
      <c r="AB25" s="107">
        <f>+R25*G25</f>
        <v>6.5</v>
      </c>
    </row>
    <row r="26" spans="1:29" ht="21.75" customHeight="1" thickBot="1" x14ac:dyDescent="0.4">
      <c r="A26" s="27"/>
      <c r="B26" s="55"/>
      <c r="C26" s="29"/>
      <c r="D26" s="15"/>
      <c r="E26" s="15"/>
      <c r="F26" s="15"/>
      <c r="G26" s="15"/>
      <c r="H26" s="74"/>
      <c r="I26" s="69"/>
      <c r="J26" s="16"/>
      <c r="K26" s="77"/>
      <c r="L26" s="15"/>
      <c r="M26" s="80"/>
      <c r="N26" s="14"/>
      <c r="O26" s="16"/>
      <c r="P26" s="20"/>
      <c r="Q26" s="83"/>
      <c r="R26" s="15"/>
      <c r="S26" s="56">
        <f>SUM(S22:S25)</f>
        <v>12.27</v>
      </c>
      <c r="T26" s="56">
        <f>SUM(T22:T25)</f>
        <v>991</v>
      </c>
      <c r="U26" s="16"/>
      <c r="W26" s="123">
        <f>SUM(W22:W25)</f>
        <v>480.81</v>
      </c>
      <c r="X26" s="124">
        <f t="shared" ref="X26:AB26" si="30">SUM(X22:X25)</f>
        <v>478.81</v>
      </c>
      <c r="Y26" s="124">
        <f t="shared" si="30"/>
        <v>2</v>
      </c>
      <c r="Z26" s="124">
        <f t="shared" si="30"/>
        <v>10.27</v>
      </c>
      <c r="AA26" s="287">
        <f>SUM(AA22:AA25)</f>
        <v>0</v>
      </c>
      <c r="AB26" s="125">
        <f t="shared" si="30"/>
        <v>12.27</v>
      </c>
    </row>
    <row r="27" spans="1:29" ht="20.25" customHeight="1" x14ac:dyDescent="0.35">
      <c r="A27" s="292" t="s">
        <v>40</v>
      </c>
      <c r="B27" s="295">
        <v>1124</v>
      </c>
      <c r="C27" s="34" t="s">
        <v>31</v>
      </c>
      <c r="D27" s="4">
        <v>20</v>
      </c>
      <c r="E27" s="30" t="s">
        <v>17</v>
      </c>
      <c r="F27" s="52">
        <v>0.4</v>
      </c>
      <c r="G27" s="5">
        <v>1</v>
      </c>
      <c r="H27" s="71">
        <f>+F27*B27</f>
        <v>449.6</v>
      </c>
      <c r="I27" s="67">
        <v>450</v>
      </c>
      <c r="J27" s="22">
        <f t="shared" ref="J27:J35" si="31">I27-H27</f>
        <v>0.39999999999997726</v>
      </c>
      <c r="K27" s="75">
        <f>1124*0.4</f>
        <v>449.6</v>
      </c>
      <c r="L27" s="9">
        <f t="shared" ref="L27:L35" si="32">+I27-K27</f>
        <v>0.39999999999997726</v>
      </c>
      <c r="M27" s="78">
        <v>40</v>
      </c>
      <c r="N27" s="21">
        <f>+K27-M27</f>
        <v>409.6</v>
      </c>
      <c r="O27" s="41">
        <f>+N27/B27</f>
        <v>0.36441281138790038</v>
      </c>
      <c r="P27" s="18">
        <f>+L27+M27</f>
        <v>40.399999999999977</v>
      </c>
      <c r="Q27" s="81">
        <v>30</v>
      </c>
      <c r="R27" s="3">
        <f>+P27-Q27</f>
        <v>10.399999999999977</v>
      </c>
      <c r="S27" s="3">
        <f t="shared" ref="S27:S35" si="33">+R27*G27</f>
        <v>10.399999999999977</v>
      </c>
      <c r="T27" s="3">
        <f t="shared" ref="T27:T35" si="34">+R27*D27</f>
        <v>207.99999999999955</v>
      </c>
      <c r="U27" s="6">
        <f>+R27/I27</f>
        <v>2.3111111111111061E-2</v>
      </c>
      <c r="W27" s="111">
        <f t="shared" si="8"/>
        <v>450</v>
      </c>
      <c r="X27" s="112">
        <f t="shared" si="9"/>
        <v>449.6</v>
      </c>
      <c r="Y27" s="112">
        <f t="shared" si="10"/>
        <v>0.39999999999997726</v>
      </c>
      <c r="Z27" s="112">
        <f t="shared" si="11"/>
        <v>40</v>
      </c>
      <c r="AA27" s="284">
        <f t="shared" si="12"/>
        <v>30</v>
      </c>
      <c r="AB27" s="113">
        <f t="shared" ref="AB27:AB35" si="35">+R27*G27</f>
        <v>10.399999999999977</v>
      </c>
    </row>
    <row r="28" spans="1:29" ht="20.25" customHeight="1" x14ac:dyDescent="0.35">
      <c r="A28" s="293"/>
      <c r="B28" s="296"/>
      <c r="C28" s="35" t="s">
        <v>253</v>
      </c>
      <c r="D28" s="10">
        <v>65</v>
      </c>
      <c r="E28" s="31" t="s">
        <v>17</v>
      </c>
      <c r="F28" s="49">
        <v>0.08</v>
      </c>
      <c r="G28" s="11">
        <v>1</v>
      </c>
      <c r="H28" s="70">
        <f>+F28*B27</f>
        <v>89.92</v>
      </c>
      <c r="I28" s="68">
        <v>91</v>
      </c>
      <c r="J28" s="13">
        <f t="shared" si="31"/>
        <v>1.0799999999999983</v>
      </c>
      <c r="K28" s="76">
        <v>89.9</v>
      </c>
      <c r="L28" s="9">
        <f t="shared" si="32"/>
        <v>1.0999999999999943</v>
      </c>
      <c r="M28" s="79">
        <v>6</v>
      </c>
      <c r="N28" s="23">
        <f t="shared" ref="N28:N35" si="36">+K28-M28</f>
        <v>83.9</v>
      </c>
      <c r="O28" s="42">
        <f>+N28/B27</f>
        <v>7.4644128113879007E-2</v>
      </c>
      <c r="P28" s="19">
        <f>+L28+M28</f>
        <v>7.0999999999999943</v>
      </c>
      <c r="Q28" s="82">
        <v>0</v>
      </c>
      <c r="R28" s="9">
        <f>+P28-Q28</f>
        <v>7.0999999999999943</v>
      </c>
      <c r="S28" s="9">
        <f t="shared" si="33"/>
        <v>7.0999999999999943</v>
      </c>
      <c r="T28" s="9">
        <f t="shared" si="34"/>
        <v>461.49999999999966</v>
      </c>
      <c r="U28" s="12">
        <f t="shared" ref="U28:U35" si="37">+R28/I28</f>
        <v>7.8021978021977953E-2</v>
      </c>
      <c r="W28" s="102">
        <f t="shared" si="8"/>
        <v>91</v>
      </c>
      <c r="X28" s="103">
        <f t="shared" si="9"/>
        <v>89.9</v>
      </c>
      <c r="Y28" s="103">
        <f t="shared" si="10"/>
        <v>1.0999999999999943</v>
      </c>
      <c r="Z28" s="103">
        <f t="shared" si="11"/>
        <v>6</v>
      </c>
      <c r="AA28" s="284">
        <f t="shared" si="12"/>
        <v>0</v>
      </c>
      <c r="AB28" s="104">
        <f t="shared" si="35"/>
        <v>7.0999999999999943</v>
      </c>
    </row>
    <row r="29" spans="1:29" ht="20.25" customHeight="1" x14ac:dyDescent="0.35">
      <c r="A29" s="293"/>
      <c r="B29" s="296"/>
      <c r="C29" s="35" t="s">
        <v>254</v>
      </c>
      <c r="D29" s="10">
        <v>130</v>
      </c>
      <c r="E29" s="31" t="s">
        <v>17</v>
      </c>
      <c r="F29" s="49">
        <v>0.08</v>
      </c>
      <c r="G29" s="11">
        <v>1</v>
      </c>
      <c r="H29" s="72">
        <f>+F29*B27</f>
        <v>89.92</v>
      </c>
      <c r="I29" s="68">
        <v>92</v>
      </c>
      <c r="J29" s="13">
        <f t="shared" si="31"/>
        <v>2.0799999999999983</v>
      </c>
      <c r="K29" s="76">
        <f>1124*0.08</f>
        <v>89.92</v>
      </c>
      <c r="L29" s="9">
        <f t="shared" si="32"/>
        <v>2.0799999999999983</v>
      </c>
      <c r="M29" s="79">
        <v>12</v>
      </c>
      <c r="N29" s="33">
        <f t="shared" si="36"/>
        <v>77.92</v>
      </c>
      <c r="O29" s="42">
        <f>+N29/B27</f>
        <v>6.9323843416370115E-2</v>
      </c>
      <c r="P29" s="19">
        <f>+L29+M29</f>
        <v>14.079999999999998</v>
      </c>
      <c r="Q29" s="82">
        <v>0</v>
      </c>
      <c r="R29" s="9">
        <f t="shared" ref="R29:R35" si="38">+P29-Q29</f>
        <v>14.079999999999998</v>
      </c>
      <c r="S29" s="9">
        <f t="shared" si="33"/>
        <v>14.079999999999998</v>
      </c>
      <c r="T29" s="9">
        <f t="shared" si="34"/>
        <v>1830.3999999999999</v>
      </c>
      <c r="U29" s="12">
        <f t="shared" si="37"/>
        <v>0.15304347826086956</v>
      </c>
      <c r="W29" s="102">
        <f t="shared" si="8"/>
        <v>92</v>
      </c>
      <c r="X29" s="103">
        <f t="shared" si="9"/>
        <v>89.92</v>
      </c>
      <c r="Y29" s="103">
        <f t="shared" si="10"/>
        <v>2.0799999999999983</v>
      </c>
      <c r="Z29" s="103">
        <f t="shared" si="11"/>
        <v>12</v>
      </c>
      <c r="AA29" s="284">
        <f t="shared" si="12"/>
        <v>0</v>
      </c>
      <c r="AB29" s="104">
        <f t="shared" si="35"/>
        <v>14.079999999999998</v>
      </c>
    </row>
    <row r="30" spans="1:29" ht="20.25" customHeight="1" x14ac:dyDescent="0.35">
      <c r="A30" s="293"/>
      <c r="B30" s="296"/>
      <c r="C30" s="35" t="s">
        <v>255</v>
      </c>
      <c r="D30" s="10">
        <v>55</v>
      </c>
      <c r="E30" s="31" t="s">
        <v>17</v>
      </c>
      <c r="F30" s="49">
        <v>0.08</v>
      </c>
      <c r="G30" s="11">
        <v>1</v>
      </c>
      <c r="H30" s="72">
        <f>+F30*B27</f>
        <v>89.92</v>
      </c>
      <c r="I30" s="68">
        <v>92</v>
      </c>
      <c r="J30" s="13">
        <f t="shared" si="31"/>
        <v>2.0799999999999983</v>
      </c>
      <c r="K30" s="76">
        <v>89.9</v>
      </c>
      <c r="L30" s="9">
        <f t="shared" si="32"/>
        <v>2.0999999999999943</v>
      </c>
      <c r="M30" s="79">
        <v>4</v>
      </c>
      <c r="N30" s="23">
        <f t="shared" si="36"/>
        <v>85.9</v>
      </c>
      <c r="O30" s="42">
        <f>+N30/B27</f>
        <v>7.6423487544483984E-2</v>
      </c>
      <c r="P30" s="19">
        <f t="shared" ref="P30:P35" si="39">+L30+M30</f>
        <v>6.0999999999999943</v>
      </c>
      <c r="Q30" s="82">
        <v>0</v>
      </c>
      <c r="R30" s="9">
        <f t="shared" si="38"/>
        <v>6.0999999999999943</v>
      </c>
      <c r="S30" s="9">
        <f t="shared" si="33"/>
        <v>6.0999999999999943</v>
      </c>
      <c r="T30" s="9">
        <f t="shared" si="34"/>
        <v>335.49999999999966</v>
      </c>
      <c r="U30" s="12">
        <f t="shared" si="37"/>
        <v>6.6304347826086893E-2</v>
      </c>
      <c r="W30" s="102">
        <f t="shared" si="8"/>
        <v>92</v>
      </c>
      <c r="X30" s="103">
        <f t="shared" si="9"/>
        <v>89.9</v>
      </c>
      <c r="Y30" s="103">
        <f t="shared" si="10"/>
        <v>2.0999999999999943</v>
      </c>
      <c r="Z30" s="103">
        <f t="shared" si="11"/>
        <v>4</v>
      </c>
      <c r="AA30" s="284">
        <f t="shared" si="12"/>
        <v>0</v>
      </c>
      <c r="AB30" s="104">
        <f t="shared" si="35"/>
        <v>6.0999999999999943</v>
      </c>
    </row>
    <row r="31" spans="1:29" ht="20.25" customHeight="1" x14ac:dyDescent="0.35">
      <c r="A31" s="293"/>
      <c r="B31" s="296"/>
      <c r="C31" s="35" t="s">
        <v>32</v>
      </c>
      <c r="D31" s="10">
        <v>48</v>
      </c>
      <c r="E31" s="31" t="s">
        <v>18</v>
      </c>
      <c r="F31" s="49">
        <v>0.06</v>
      </c>
      <c r="G31" s="11">
        <v>1</v>
      </c>
      <c r="H31" s="72">
        <f>+F31*B27</f>
        <v>67.44</v>
      </c>
      <c r="I31" s="68">
        <v>68</v>
      </c>
      <c r="J31" s="13">
        <f t="shared" si="31"/>
        <v>0.56000000000000227</v>
      </c>
      <c r="K31" s="76">
        <f>1124*0.06</f>
        <v>67.44</v>
      </c>
      <c r="L31" s="9">
        <f t="shared" si="32"/>
        <v>0.56000000000000227</v>
      </c>
      <c r="M31" s="79">
        <v>5</v>
      </c>
      <c r="N31" s="33">
        <f t="shared" si="36"/>
        <v>62.44</v>
      </c>
      <c r="O31" s="42">
        <f>+N31/B27</f>
        <v>5.5551601423487543E-2</v>
      </c>
      <c r="P31" s="19">
        <f t="shared" si="39"/>
        <v>5.5600000000000023</v>
      </c>
      <c r="Q31" s="82">
        <v>0</v>
      </c>
      <c r="R31" s="9">
        <f t="shared" si="38"/>
        <v>5.5600000000000023</v>
      </c>
      <c r="S31" s="9">
        <f t="shared" si="33"/>
        <v>5.5600000000000023</v>
      </c>
      <c r="T31" s="9">
        <f t="shared" si="34"/>
        <v>266.88000000000011</v>
      </c>
      <c r="U31" s="12">
        <f t="shared" si="37"/>
        <v>8.1764705882352975E-2</v>
      </c>
      <c r="W31" s="102">
        <f t="shared" si="8"/>
        <v>68</v>
      </c>
      <c r="X31" s="103">
        <f t="shared" si="9"/>
        <v>67.44</v>
      </c>
      <c r="Y31" s="103">
        <f t="shared" si="10"/>
        <v>0.56000000000000227</v>
      </c>
      <c r="Z31" s="103">
        <f t="shared" si="11"/>
        <v>5</v>
      </c>
      <c r="AA31" s="284">
        <f t="shared" si="12"/>
        <v>0</v>
      </c>
      <c r="AB31" s="104">
        <f t="shared" si="35"/>
        <v>5.5600000000000023</v>
      </c>
    </row>
    <row r="32" spans="1:29" ht="20.25" customHeight="1" x14ac:dyDescent="0.35">
      <c r="A32" s="293"/>
      <c r="B32" s="296"/>
      <c r="C32" s="35" t="s">
        <v>54</v>
      </c>
      <c r="D32" s="10">
        <v>35</v>
      </c>
      <c r="E32" s="31" t="s">
        <v>18</v>
      </c>
      <c r="F32" s="49">
        <v>0.06</v>
      </c>
      <c r="G32" s="11">
        <v>1</v>
      </c>
      <c r="H32" s="73">
        <f>+F32*B27</f>
        <v>67.44</v>
      </c>
      <c r="I32" s="68">
        <v>69</v>
      </c>
      <c r="J32" s="13">
        <f t="shared" si="31"/>
        <v>1.5600000000000023</v>
      </c>
      <c r="K32" s="76">
        <v>67.400000000000006</v>
      </c>
      <c r="L32" s="9">
        <f t="shared" si="32"/>
        <v>1.5999999999999943</v>
      </c>
      <c r="M32" s="79">
        <v>6</v>
      </c>
      <c r="N32" s="23">
        <f t="shared" si="36"/>
        <v>61.400000000000006</v>
      </c>
      <c r="O32" s="42">
        <f>+N32/B27</f>
        <v>5.462633451957296E-2</v>
      </c>
      <c r="P32" s="19">
        <f t="shared" si="39"/>
        <v>7.5999999999999943</v>
      </c>
      <c r="Q32" s="82">
        <v>0</v>
      </c>
      <c r="R32" s="9">
        <f t="shared" si="38"/>
        <v>7.5999999999999943</v>
      </c>
      <c r="S32" s="9">
        <f t="shared" si="33"/>
        <v>7.5999999999999943</v>
      </c>
      <c r="T32" s="9">
        <f t="shared" si="34"/>
        <v>265.99999999999977</v>
      </c>
      <c r="U32" s="12">
        <f t="shared" si="37"/>
        <v>0.1101449275362318</v>
      </c>
      <c r="W32" s="102">
        <f t="shared" si="8"/>
        <v>69</v>
      </c>
      <c r="X32" s="103">
        <f t="shared" si="9"/>
        <v>67.400000000000006</v>
      </c>
      <c r="Y32" s="103">
        <f t="shared" si="10"/>
        <v>1.5999999999999943</v>
      </c>
      <c r="Z32" s="103">
        <f t="shared" si="11"/>
        <v>6</v>
      </c>
      <c r="AA32" s="284">
        <f t="shared" si="12"/>
        <v>0</v>
      </c>
      <c r="AB32" s="104">
        <f t="shared" si="35"/>
        <v>7.5999999999999943</v>
      </c>
    </row>
    <row r="33" spans="1:29" ht="20.25" customHeight="1" x14ac:dyDescent="0.35">
      <c r="A33" s="293"/>
      <c r="B33" s="296"/>
      <c r="C33" s="35" t="s">
        <v>33</v>
      </c>
      <c r="D33" s="10">
        <v>50</v>
      </c>
      <c r="E33" s="31" t="s">
        <v>17</v>
      </c>
      <c r="F33" s="49">
        <v>0.03</v>
      </c>
      <c r="G33" s="11">
        <v>1</v>
      </c>
      <c r="H33" s="72">
        <f>+F33*B27</f>
        <v>33.72</v>
      </c>
      <c r="I33" s="68">
        <v>34</v>
      </c>
      <c r="J33" s="13">
        <f t="shared" si="31"/>
        <v>0.28000000000000114</v>
      </c>
      <c r="K33" s="76">
        <f>1124*0.03</f>
        <v>33.72</v>
      </c>
      <c r="L33" s="9">
        <f t="shared" si="32"/>
        <v>0.28000000000000114</v>
      </c>
      <c r="M33" s="79">
        <v>2</v>
      </c>
      <c r="N33" s="23">
        <f t="shared" si="36"/>
        <v>31.72</v>
      </c>
      <c r="O33" s="42">
        <f>+N33/B27</f>
        <v>2.8220640569395015E-2</v>
      </c>
      <c r="P33" s="19">
        <f t="shared" si="39"/>
        <v>2.2800000000000011</v>
      </c>
      <c r="Q33" s="82">
        <v>0</v>
      </c>
      <c r="R33" s="9">
        <f t="shared" si="38"/>
        <v>2.2800000000000011</v>
      </c>
      <c r="S33" s="9">
        <f t="shared" si="33"/>
        <v>2.2800000000000011</v>
      </c>
      <c r="T33" s="9">
        <f t="shared" si="34"/>
        <v>114.00000000000006</v>
      </c>
      <c r="U33" s="12">
        <f t="shared" si="37"/>
        <v>6.7058823529411796E-2</v>
      </c>
      <c r="W33" s="102">
        <f t="shared" si="8"/>
        <v>34</v>
      </c>
      <c r="X33" s="103">
        <f t="shared" si="9"/>
        <v>33.72</v>
      </c>
      <c r="Y33" s="103">
        <f t="shared" si="10"/>
        <v>0.28000000000000114</v>
      </c>
      <c r="Z33" s="103">
        <f t="shared" si="11"/>
        <v>2</v>
      </c>
      <c r="AA33" s="284">
        <f t="shared" si="12"/>
        <v>0</v>
      </c>
      <c r="AB33" s="104">
        <f t="shared" si="35"/>
        <v>2.2800000000000011</v>
      </c>
    </row>
    <row r="34" spans="1:29" ht="20.25" customHeight="1" x14ac:dyDescent="0.35">
      <c r="A34" s="293"/>
      <c r="B34" s="296"/>
      <c r="C34" s="35" t="s">
        <v>34</v>
      </c>
      <c r="D34" s="31">
        <v>70</v>
      </c>
      <c r="E34" s="31" t="s">
        <v>17</v>
      </c>
      <c r="F34" s="11">
        <v>0.1</v>
      </c>
      <c r="G34" s="11">
        <v>1</v>
      </c>
      <c r="H34" s="72">
        <f>+F34*B27</f>
        <v>112.4</v>
      </c>
      <c r="I34" s="68">
        <v>112.4</v>
      </c>
      <c r="J34" s="13">
        <f t="shared" si="31"/>
        <v>0</v>
      </c>
      <c r="K34" s="76">
        <v>112.4</v>
      </c>
      <c r="L34" s="9">
        <f t="shared" si="32"/>
        <v>0</v>
      </c>
      <c r="M34" s="79">
        <v>0</v>
      </c>
      <c r="N34" s="23">
        <f t="shared" si="36"/>
        <v>112.4</v>
      </c>
      <c r="O34" s="42">
        <f>+N34/B27</f>
        <v>0.1</v>
      </c>
      <c r="P34" s="19">
        <f t="shared" si="39"/>
        <v>0</v>
      </c>
      <c r="Q34" s="82">
        <v>0</v>
      </c>
      <c r="R34" s="9">
        <f t="shared" si="38"/>
        <v>0</v>
      </c>
      <c r="S34" s="9">
        <f t="shared" si="33"/>
        <v>0</v>
      </c>
      <c r="T34" s="9">
        <f t="shared" si="34"/>
        <v>0</v>
      </c>
      <c r="U34" s="12">
        <f t="shared" si="37"/>
        <v>0</v>
      </c>
      <c r="W34" s="102">
        <f t="shared" si="8"/>
        <v>112.4</v>
      </c>
      <c r="X34" s="103">
        <f t="shared" si="9"/>
        <v>112.4</v>
      </c>
      <c r="Y34" s="103">
        <f t="shared" si="10"/>
        <v>0</v>
      </c>
      <c r="Z34" s="103">
        <f t="shared" si="11"/>
        <v>0</v>
      </c>
      <c r="AA34" s="284">
        <f t="shared" si="12"/>
        <v>0</v>
      </c>
      <c r="AB34" s="104">
        <f t="shared" si="35"/>
        <v>0</v>
      </c>
    </row>
    <row r="35" spans="1:29" ht="20.25" customHeight="1" x14ac:dyDescent="0.35">
      <c r="A35" s="294"/>
      <c r="B35" s="297"/>
      <c r="C35" s="40" t="s">
        <v>35</v>
      </c>
      <c r="D35" s="44">
        <v>2</v>
      </c>
      <c r="E35" s="44" t="s">
        <v>16</v>
      </c>
      <c r="F35" s="53">
        <v>2</v>
      </c>
      <c r="G35" s="45">
        <v>0.04</v>
      </c>
      <c r="H35" s="72">
        <f>+F35*B27</f>
        <v>2248</v>
      </c>
      <c r="I35" s="68">
        <v>2260</v>
      </c>
      <c r="J35" s="13">
        <f t="shared" si="31"/>
        <v>12</v>
      </c>
      <c r="K35" s="76">
        <f>1124*2</f>
        <v>2248</v>
      </c>
      <c r="L35" s="9">
        <f t="shared" si="32"/>
        <v>12</v>
      </c>
      <c r="M35" s="79">
        <v>50</v>
      </c>
      <c r="N35" s="33">
        <f t="shared" si="36"/>
        <v>2198</v>
      </c>
      <c r="O35" s="42">
        <f>+N35/B27</f>
        <v>1.9555160142348755</v>
      </c>
      <c r="P35" s="19">
        <f t="shared" si="39"/>
        <v>62</v>
      </c>
      <c r="Q35" s="82">
        <v>0</v>
      </c>
      <c r="R35" s="9">
        <f t="shared" si="38"/>
        <v>62</v>
      </c>
      <c r="S35" s="9">
        <f t="shared" si="33"/>
        <v>2.48</v>
      </c>
      <c r="T35" s="9">
        <f t="shared" si="34"/>
        <v>124</v>
      </c>
      <c r="U35" s="12">
        <f t="shared" si="37"/>
        <v>2.743362831858407E-2</v>
      </c>
      <c r="W35" s="105">
        <f t="shared" si="8"/>
        <v>90.4</v>
      </c>
      <c r="X35" s="106">
        <f t="shared" si="9"/>
        <v>89.92</v>
      </c>
      <c r="Y35" s="106">
        <f t="shared" si="10"/>
        <v>0.48</v>
      </c>
      <c r="Z35" s="106">
        <f t="shared" si="11"/>
        <v>2</v>
      </c>
      <c r="AA35" s="284">
        <f t="shared" si="12"/>
        <v>0</v>
      </c>
      <c r="AB35" s="107">
        <f t="shared" si="35"/>
        <v>2.48</v>
      </c>
    </row>
    <row r="36" spans="1:29" ht="23.25" customHeight="1" thickBot="1" x14ac:dyDescent="0.4">
      <c r="A36" s="27"/>
      <c r="B36" s="57"/>
      <c r="C36" s="29"/>
      <c r="D36" s="15"/>
      <c r="E36" s="15"/>
      <c r="F36" s="15"/>
      <c r="G36" s="15"/>
      <c r="H36" s="14"/>
      <c r="I36" s="15"/>
      <c r="J36" s="16"/>
      <c r="K36" s="14"/>
      <c r="L36" s="15"/>
      <c r="M36" s="16"/>
      <c r="N36" s="14"/>
      <c r="O36" s="16"/>
      <c r="P36" s="20"/>
      <c r="Q36" s="15"/>
      <c r="R36" s="15"/>
      <c r="S36" s="56">
        <f>SUM(S27:S35)</f>
        <v>55.599999999999959</v>
      </c>
      <c r="T36" s="56">
        <f>SUM(T27:T35)</f>
        <v>3606.2799999999988</v>
      </c>
      <c r="U36" s="16"/>
      <c r="W36" s="122">
        <f>SUM(W27:W35)</f>
        <v>1098.8</v>
      </c>
      <c r="X36" s="109">
        <f t="shared" ref="X36:AB36" si="40">SUM(X27:X35)</f>
        <v>1090.2</v>
      </c>
      <c r="Y36" s="109">
        <f t="shared" si="40"/>
        <v>8.5999999999999623</v>
      </c>
      <c r="Z36" s="110">
        <f t="shared" si="40"/>
        <v>77</v>
      </c>
      <c r="AA36" s="285">
        <f>SUM(AA27:AA35)</f>
        <v>30</v>
      </c>
      <c r="AB36" s="288">
        <f t="shared" si="40"/>
        <v>55.599999999999959</v>
      </c>
      <c r="AC36" s="94"/>
    </row>
    <row r="37" spans="1:29" ht="31.5" customHeight="1" thickBot="1" x14ac:dyDescent="0.4">
      <c r="A37" s="58" t="s">
        <v>42</v>
      </c>
      <c r="B37" s="32">
        <f>+B4+B12+B22+B27</f>
        <v>6306</v>
      </c>
      <c r="C37" s="29"/>
      <c r="D37" s="15"/>
      <c r="E37" s="15"/>
      <c r="F37" s="15"/>
      <c r="G37" s="15"/>
      <c r="H37" s="14"/>
      <c r="I37" s="15"/>
      <c r="J37" s="16"/>
      <c r="K37" s="14"/>
      <c r="L37" s="15"/>
      <c r="M37" s="16"/>
      <c r="N37" s="14"/>
      <c r="O37" s="16"/>
      <c r="P37" s="20"/>
      <c r="Q37" s="15"/>
      <c r="R37" s="17"/>
      <c r="S37" s="85">
        <f>+S36+S26+S21+S11</f>
        <v>205.41999999999996</v>
      </c>
      <c r="T37" s="85">
        <f>+T36+T26+T21+T11</f>
        <v>10844.279999999999</v>
      </c>
      <c r="U37" s="62"/>
      <c r="W37" s="108">
        <f>+W11+W21+W26+W36</f>
        <v>4447.01</v>
      </c>
      <c r="X37" s="119">
        <f t="shared" ref="X37:AB37" si="41">+X11+X21+X26+X36</f>
        <v>4386.41</v>
      </c>
      <c r="Y37" s="119">
        <f t="shared" si="41"/>
        <v>60.59999999999998</v>
      </c>
      <c r="Z37" s="121">
        <f>+Z11+Z21+Z26+Z36</f>
        <v>236.32000000000002</v>
      </c>
      <c r="AA37" s="121">
        <f>+AA11+AA21+AA26+AA36</f>
        <v>91.5</v>
      </c>
      <c r="AB37" s="120">
        <f t="shared" si="41"/>
        <v>205.42</v>
      </c>
      <c r="AC37" s="94"/>
    </row>
    <row r="38" spans="1:29" x14ac:dyDescent="0.35">
      <c r="B38" s="59"/>
      <c r="Y38" s="63"/>
    </row>
    <row r="39" spans="1:29" ht="15" thickBot="1" x14ac:dyDescent="0.4">
      <c r="W39" s="63"/>
      <c r="X39" s="63"/>
      <c r="Y39" s="63"/>
      <c r="Z39" s="63"/>
      <c r="AA39" s="63"/>
    </row>
    <row r="40" spans="1:29" ht="23.25" customHeight="1" x14ac:dyDescent="0.35">
      <c r="A40" s="271"/>
      <c r="B40" s="271"/>
      <c r="C40" s="271"/>
      <c r="D40" s="271"/>
      <c r="E40" s="271"/>
      <c r="F40" s="271"/>
      <c r="S40" s="298" t="s">
        <v>256</v>
      </c>
      <c r="T40" s="299"/>
      <c r="U40" s="299"/>
      <c r="V40" s="299"/>
      <c r="W40" s="299"/>
      <c r="X40" s="299"/>
      <c r="Y40" s="299"/>
      <c r="Z40" s="299"/>
      <c r="AA40" s="299"/>
      <c r="AB40" s="300"/>
    </row>
    <row r="41" spans="1:29" ht="45.75" customHeight="1" x14ac:dyDescent="0.35">
      <c r="A41" s="255"/>
      <c r="B41" s="255"/>
      <c r="C41" s="255"/>
      <c r="D41" s="260"/>
      <c r="E41" s="260"/>
      <c r="F41" s="261"/>
      <c r="O41" s="255"/>
      <c r="P41" s="255"/>
      <c r="S41" s="7" t="s">
        <v>6</v>
      </c>
      <c r="T41" s="8" t="s">
        <v>7</v>
      </c>
      <c r="U41" s="60" t="s">
        <v>241</v>
      </c>
      <c r="V41" s="60" t="s">
        <v>242</v>
      </c>
      <c r="W41" s="60" t="s">
        <v>243</v>
      </c>
      <c r="X41" s="60" t="s">
        <v>244</v>
      </c>
      <c r="Y41" s="60" t="s">
        <v>234</v>
      </c>
      <c r="Z41" s="60" t="s">
        <v>164</v>
      </c>
      <c r="AA41" s="60" t="s">
        <v>165</v>
      </c>
      <c r="AB41" s="61" t="s">
        <v>166</v>
      </c>
    </row>
    <row r="42" spans="1:29" ht="31.5" customHeight="1" x14ac:dyDescent="0.35">
      <c r="A42" s="262"/>
      <c r="B42" s="263"/>
      <c r="C42" s="264"/>
      <c r="D42" s="264"/>
      <c r="E42" s="265"/>
      <c r="F42" s="266"/>
      <c r="O42" s="256"/>
      <c r="P42" s="256"/>
      <c r="S42" s="91" t="s">
        <v>47</v>
      </c>
      <c r="T42" s="35">
        <f>+B4</f>
        <v>1747</v>
      </c>
      <c r="U42" s="254">
        <f t="shared" ref="U42:Z42" si="42">+W11</f>
        <v>1240.4000000000001</v>
      </c>
      <c r="V42" s="254">
        <f t="shared" si="42"/>
        <v>1236.4000000000001</v>
      </c>
      <c r="W42" s="254">
        <f t="shared" si="42"/>
        <v>4.0000000000000115</v>
      </c>
      <c r="X42" s="254">
        <f t="shared" si="42"/>
        <v>39.75</v>
      </c>
      <c r="Y42" s="291">
        <f t="shared" si="42"/>
        <v>1.5</v>
      </c>
      <c r="Z42" s="254">
        <f t="shared" si="42"/>
        <v>42.250000000000014</v>
      </c>
      <c r="AA42" s="95">
        <f>+Z42/T42</f>
        <v>2.4184315970234696E-2</v>
      </c>
      <c r="AB42" s="253">
        <f>+Z42/U42</f>
        <v>3.4061593034505004E-2</v>
      </c>
    </row>
    <row r="43" spans="1:29" ht="31.5" customHeight="1" x14ac:dyDescent="0.35">
      <c r="A43" s="262"/>
      <c r="B43" s="263"/>
      <c r="C43" s="263"/>
      <c r="D43" s="264"/>
      <c r="E43" s="265"/>
      <c r="F43" s="266"/>
      <c r="O43" s="256"/>
      <c r="P43" s="256"/>
      <c r="Q43" s="133"/>
      <c r="R43" s="134"/>
      <c r="S43" s="91" t="s">
        <v>48</v>
      </c>
      <c r="T43" s="35">
        <f>+B12</f>
        <v>1550</v>
      </c>
      <c r="U43" s="254">
        <f t="shared" ref="U43:Z43" si="43">+W21</f>
        <v>1627</v>
      </c>
      <c r="V43" s="254">
        <f t="shared" si="43"/>
        <v>1581</v>
      </c>
      <c r="W43" s="254">
        <f t="shared" si="43"/>
        <v>46</v>
      </c>
      <c r="X43" s="254">
        <f t="shared" si="43"/>
        <v>109.3</v>
      </c>
      <c r="Y43" s="291">
        <f t="shared" si="43"/>
        <v>60</v>
      </c>
      <c r="Z43" s="254">
        <f t="shared" si="43"/>
        <v>95.3</v>
      </c>
      <c r="AA43" s="95">
        <f>+Z43/T43</f>
        <v>6.1483870967741931E-2</v>
      </c>
      <c r="AB43" s="253">
        <f>+Z43/U43</f>
        <v>5.8574062692071292E-2</v>
      </c>
    </row>
    <row r="44" spans="1:29" ht="31.5" customHeight="1" x14ac:dyDescent="0.35">
      <c r="A44" s="262"/>
      <c r="B44" s="263"/>
      <c r="C44" s="263"/>
      <c r="D44" s="264"/>
      <c r="E44" s="265"/>
      <c r="F44" s="266"/>
      <c r="O44" s="256"/>
      <c r="P44" s="256"/>
      <c r="S44" s="91" t="s">
        <v>49</v>
      </c>
      <c r="T44" s="35">
        <f>+B22</f>
        <v>1885</v>
      </c>
      <c r="U44" s="254">
        <f t="shared" ref="U44:Z44" si="44">+W26</f>
        <v>480.81</v>
      </c>
      <c r="V44" s="254">
        <f t="shared" si="44"/>
        <v>478.81</v>
      </c>
      <c r="W44" s="254">
        <f t="shared" si="44"/>
        <v>2</v>
      </c>
      <c r="X44" s="254">
        <f t="shared" si="44"/>
        <v>10.27</v>
      </c>
      <c r="Y44" s="291">
        <f t="shared" si="44"/>
        <v>0</v>
      </c>
      <c r="Z44" s="254">
        <f t="shared" si="44"/>
        <v>12.27</v>
      </c>
      <c r="AA44" s="95">
        <f>+Z44/T44</f>
        <v>6.5092838196286473E-3</v>
      </c>
      <c r="AB44" s="253">
        <f>+Z44/U44</f>
        <v>2.5519435951831284E-2</v>
      </c>
    </row>
    <row r="45" spans="1:29" ht="31.5" customHeight="1" x14ac:dyDescent="0.35">
      <c r="A45" s="262"/>
      <c r="B45" s="263"/>
      <c r="C45" s="264"/>
      <c r="D45" s="264"/>
      <c r="E45" s="265"/>
      <c r="F45" s="266"/>
      <c r="O45" s="256"/>
      <c r="P45" s="256"/>
      <c r="S45" s="91" t="s">
        <v>50</v>
      </c>
      <c r="T45" s="35">
        <f>+B27</f>
        <v>1124</v>
      </c>
      <c r="U45" s="254">
        <f t="shared" ref="U45:Z45" si="45">+W36</f>
        <v>1098.8</v>
      </c>
      <c r="V45" s="254">
        <f t="shared" si="45"/>
        <v>1090.2</v>
      </c>
      <c r="W45" s="254">
        <f t="shared" si="45"/>
        <v>8.5999999999999623</v>
      </c>
      <c r="X45" s="254">
        <f t="shared" si="45"/>
        <v>77</v>
      </c>
      <c r="Y45" s="291">
        <f t="shared" si="45"/>
        <v>30</v>
      </c>
      <c r="Z45" s="254">
        <f t="shared" si="45"/>
        <v>55.599999999999959</v>
      </c>
      <c r="AA45" s="95">
        <f>+Z45/T45</f>
        <v>4.946619217081847E-2</v>
      </c>
      <c r="AB45" s="253">
        <f>+Z45/U45</f>
        <v>5.0600655260283914E-2</v>
      </c>
    </row>
    <row r="46" spans="1:29" ht="31.5" customHeight="1" thickBot="1" x14ac:dyDescent="0.4">
      <c r="A46" s="267"/>
      <c r="B46" s="268"/>
      <c r="C46" s="268"/>
      <c r="D46" s="269"/>
      <c r="E46" s="270"/>
      <c r="F46" s="266"/>
      <c r="G46" s="259"/>
      <c r="O46" s="257"/>
      <c r="P46" s="257"/>
      <c r="S46" s="93" t="s">
        <v>51</v>
      </c>
      <c r="T46" s="96">
        <f>SUM(T42:T45)</f>
        <v>6306</v>
      </c>
      <c r="U46" s="272">
        <f>SUM(U42:U45)</f>
        <v>4447.01</v>
      </c>
      <c r="V46" s="272">
        <f t="shared" ref="V46:Z46" si="46">SUM(V42:V45)</f>
        <v>4386.41</v>
      </c>
      <c r="W46" s="272">
        <f t="shared" si="46"/>
        <v>60.59999999999998</v>
      </c>
      <c r="X46" s="272">
        <f t="shared" si="46"/>
        <v>236.32000000000002</v>
      </c>
      <c r="Y46" s="272">
        <f t="shared" si="46"/>
        <v>91.5</v>
      </c>
      <c r="Z46" s="272">
        <f t="shared" si="46"/>
        <v>205.42</v>
      </c>
      <c r="AA46" s="273">
        <f>+Z46/T46</f>
        <v>3.2575325087218519E-2</v>
      </c>
      <c r="AB46" s="274">
        <f>+Z46/U46</f>
        <v>4.6192835185888938E-2</v>
      </c>
    </row>
    <row r="47" spans="1:29" x14ac:dyDescent="0.35">
      <c r="S47" s="290" t="s">
        <v>236</v>
      </c>
      <c r="T47" s="262">
        <v>410</v>
      </c>
      <c r="U47">
        <v>368</v>
      </c>
    </row>
    <row r="48" spans="1:29" x14ac:dyDescent="0.35">
      <c r="T48" s="262">
        <f>+T46+T47</f>
        <v>6716</v>
      </c>
      <c r="U48" s="63">
        <f>+U47+U46</f>
        <v>4815.01</v>
      </c>
    </row>
  </sheetData>
  <mergeCells count="15">
    <mergeCell ref="P2:U2"/>
    <mergeCell ref="A1:F1"/>
    <mergeCell ref="A2:G2"/>
    <mergeCell ref="H2:J2"/>
    <mergeCell ref="K2:M2"/>
    <mergeCell ref="N2:O2"/>
    <mergeCell ref="A27:A35"/>
    <mergeCell ref="B27:B35"/>
    <mergeCell ref="S40:AB40"/>
    <mergeCell ref="A4:A10"/>
    <mergeCell ref="B4:B10"/>
    <mergeCell ref="A12:A20"/>
    <mergeCell ref="B12:B20"/>
    <mergeCell ref="A22:A25"/>
    <mergeCell ref="B22:B25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36DB8-B3A8-4238-AD1E-B47E14EA39BC}">
  <dimension ref="A1:AC48"/>
  <sheetViews>
    <sheetView zoomScaleNormal="100" workbookViewId="0">
      <pane xSplit="7" ySplit="3" topLeftCell="H17" activePane="bottomRight" state="frozen"/>
      <selection pane="topRight" activeCell="H1" sqref="H1"/>
      <selection pane="bottomLeft" activeCell="A4" sqref="A4"/>
      <selection pane="bottomRight" activeCell="Q44" sqref="Q44"/>
    </sheetView>
  </sheetViews>
  <sheetFormatPr defaultRowHeight="14.5" x14ac:dyDescent="0.35"/>
  <cols>
    <col min="1" max="1" width="11" customWidth="1"/>
    <col min="2" max="2" width="7.81640625" customWidth="1"/>
    <col min="3" max="3" width="20" customWidth="1"/>
    <col min="4" max="4" width="9.1796875" customWidth="1"/>
    <col min="5" max="5" width="9.26953125" customWidth="1"/>
    <col min="6" max="6" width="10" customWidth="1"/>
    <col min="7" max="7" width="8.1796875" customWidth="1"/>
    <col min="8" max="8" width="12.54296875" customWidth="1"/>
    <col min="9" max="9" width="12.453125" customWidth="1"/>
    <col min="10" max="10" width="11" customWidth="1"/>
    <col min="11" max="11" width="9.453125" customWidth="1"/>
    <col min="12" max="12" width="11" customWidth="1"/>
    <col min="13" max="13" width="13.54296875" customWidth="1"/>
    <col min="14" max="14" width="14.81640625" customWidth="1"/>
    <col min="15" max="15" width="16" customWidth="1"/>
    <col min="16" max="16" width="11.26953125" customWidth="1"/>
    <col min="17" max="18" width="9.54296875" customWidth="1"/>
    <col min="19" max="19" width="12.54296875" customWidth="1"/>
    <col min="20" max="20" width="9.453125" customWidth="1"/>
    <col min="21" max="21" width="12.7265625" customWidth="1"/>
    <col min="22" max="22" width="10" customWidth="1"/>
    <col min="23" max="23" width="12.26953125" customWidth="1"/>
    <col min="24" max="24" width="11" customWidth="1"/>
    <col min="25" max="25" width="10.54296875" customWidth="1"/>
    <col min="26" max="26" width="11.26953125" customWidth="1"/>
    <col min="27" max="27" width="9.81640625" customWidth="1"/>
    <col min="28" max="28" width="11.26953125" customWidth="1"/>
  </cols>
  <sheetData>
    <row r="1" spans="1:29" ht="22.5" customHeight="1" thickBot="1" x14ac:dyDescent="0.4">
      <c r="A1" s="308" t="s">
        <v>36</v>
      </c>
      <c r="B1" s="309"/>
      <c r="C1" s="309"/>
      <c r="D1" s="309"/>
      <c r="E1" s="309"/>
      <c r="F1" s="310"/>
    </row>
    <row r="2" spans="1:29" ht="22.5" customHeight="1" thickBot="1" x14ac:dyDescent="0.4">
      <c r="A2" s="311" t="s">
        <v>257</v>
      </c>
      <c r="B2" s="312"/>
      <c r="C2" s="312"/>
      <c r="D2" s="312"/>
      <c r="E2" s="312"/>
      <c r="F2" s="312"/>
      <c r="G2" s="313"/>
      <c r="H2" s="314" t="s">
        <v>22</v>
      </c>
      <c r="I2" s="315"/>
      <c r="J2" s="316"/>
      <c r="K2" s="317" t="s">
        <v>23</v>
      </c>
      <c r="L2" s="318"/>
      <c r="M2" s="319"/>
      <c r="N2" s="320" t="s">
        <v>24</v>
      </c>
      <c r="O2" s="321"/>
      <c r="P2" s="305" t="s">
        <v>25</v>
      </c>
      <c r="Q2" s="306"/>
      <c r="R2" s="306"/>
      <c r="S2" s="306"/>
      <c r="T2" s="306"/>
      <c r="U2" s="307"/>
      <c r="W2" s="280" t="s">
        <v>43</v>
      </c>
      <c r="X2" s="281"/>
      <c r="Y2" s="281"/>
      <c r="Z2" s="281"/>
      <c r="AA2" s="283"/>
      <c r="AB2" s="282"/>
    </row>
    <row r="3" spans="1:29" ht="58.5" thickBot="1" x14ac:dyDescent="0.4">
      <c r="A3" s="39" t="s">
        <v>6</v>
      </c>
      <c r="B3" s="38" t="s">
        <v>7</v>
      </c>
      <c r="C3" s="38" t="s">
        <v>0</v>
      </c>
      <c r="D3" s="37" t="s">
        <v>15</v>
      </c>
      <c r="E3" s="38" t="s">
        <v>1</v>
      </c>
      <c r="F3" s="36" t="s">
        <v>27</v>
      </c>
      <c r="G3" s="37" t="s">
        <v>19</v>
      </c>
      <c r="H3" s="25" t="s">
        <v>4</v>
      </c>
      <c r="I3" s="89" t="s">
        <v>44</v>
      </c>
      <c r="J3" s="26" t="s">
        <v>29</v>
      </c>
      <c r="K3" s="88" t="s">
        <v>3</v>
      </c>
      <c r="L3" s="1" t="s">
        <v>28</v>
      </c>
      <c r="M3" s="87" t="s">
        <v>5</v>
      </c>
      <c r="N3" s="25" t="s">
        <v>20</v>
      </c>
      <c r="O3" s="275" t="s">
        <v>226</v>
      </c>
      <c r="P3" s="24" t="s">
        <v>8</v>
      </c>
      <c r="Q3" s="86" t="s">
        <v>9</v>
      </c>
      <c r="R3" s="2" t="s">
        <v>10</v>
      </c>
      <c r="S3" s="1" t="s">
        <v>26</v>
      </c>
      <c r="T3" s="1" t="s">
        <v>11</v>
      </c>
      <c r="U3" s="1" t="s">
        <v>30</v>
      </c>
      <c r="W3" s="43" t="s">
        <v>2</v>
      </c>
      <c r="X3" s="60" t="s">
        <v>3</v>
      </c>
      <c r="Y3" s="60" t="s">
        <v>28</v>
      </c>
      <c r="Z3" s="60" t="s">
        <v>5</v>
      </c>
      <c r="AA3" s="60" t="s">
        <v>233</v>
      </c>
      <c r="AB3" s="61" t="s">
        <v>26</v>
      </c>
    </row>
    <row r="4" spans="1:29" ht="20.25" customHeight="1" x14ac:dyDescent="0.35">
      <c r="A4" s="301" t="s">
        <v>37</v>
      </c>
      <c r="B4" s="303">
        <v>1829</v>
      </c>
      <c r="C4" s="34" t="s">
        <v>55</v>
      </c>
      <c r="D4" s="4">
        <v>2</v>
      </c>
      <c r="E4" s="30" t="s">
        <v>16</v>
      </c>
      <c r="F4" s="47">
        <v>2</v>
      </c>
      <c r="G4" s="5">
        <v>0.05</v>
      </c>
      <c r="H4" s="71">
        <f>+F4*B4</f>
        <v>3658</v>
      </c>
      <c r="I4" s="67">
        <v>3665</v>
      </c>
      <c r="J4" s="64">
        <f>I4-H4</f>
        <v>7</v>
      </c>
      <c r="K4" s="75">
        <f>1829*2</f>
        <v>3658</v>
      </c>
      <c r="L4" s="127">
        <f>+I4-K4</f>
        <v>7</v>
      </c>
      <c r="M4" s="78">
        <v>75</v>
      </c>
      <c r="N4" s="128">
        <f>+K4-M4</f>
        <v>3583</v>
      </c>
      <c r="O4" s="64">
        <f>+N4/B4</f>
        <v>1.9589939857845817</v>
      </c>
      <c r="P4" s="18">
        <f>+L4+M4</f>
        <v>82</v>
      </c>
      <c r="Q4" s="81">
        <v>0</v>
      </c>
      <c r="R4" s="3">
        <f t="shared" ref="R4:R10" si="0">+P4-Q4</f>
        <v>82</v>
      </c>
      <c r="S4" s="3">
        <f t="shared" ref="S4:S10" si="1">+R4*G4</f>
        <v>4.1000000000000005</v>
      </c>
      <c r="T4" s="3">
        <f t="shared" ref="T4:T10" si="2">+R4*D4</f>
        <v>164</v>
      </c>
      <c r="U4" s="6">
        <f>+R4/I4</f>
        <v>2.2373806275579809E-2</v>
      </c>
      <c r="W4" s="102">
        <f>+I4*G4</f>
        <v>183.25</v>
      </c>
      <c r="X4" s="103">
        <f>+K4*G4</f>
        <v>182.9</v>
      </c>
      <c r="Y4" s="103">
        <f>+L4*G4</f>
        <v>0.35000000000000003</v>
      </c>
      <c r="Z4" s="103">
        <f>+M4*G4</f>
        <v>3.75</v>
      </c>
      <c r="AA4" s="284">
        <f>+Q4*G4</f>
        <v>0</v>
      </c>
      <c r="AB4" s="104">
        <f t="shared" ref="AB4:AB10" si="3">+R4*G4</f>
        <v>4.1000000000000005</v>
      </c>
    </row>
    <row r="5" spans="1:29" ht="20.25" customHeight="1" x14ac:dyDescent="0.35">
      <c r="A5" s="302"/>
      <c r="B5" s="304"/>
      <c r="C5" s="35" t="s">
        <v>65</v>
      </c>
      <c r="D5" s="10">
        <v>4</v>
      </c>
      <c r="E5" s="31" t="s">
        <v>16</v>
      </c>
      <c r="F5" s="48">
        <v>2</v>
      </c>
      <c r="G5" s="11">
        <v>0.05</v>
      </c>
      <c r="H5" s="70">
        <f>+F5*B4</f>
        <v>3658</v>
      </c>
      <c r="I5" s="68">
        <v>3660</v>
      </c>
      <c r="J5" s="13">
        <f t="shared" ref="J5:J10" si="4">I5-H5</f>
        <v>2</v>
      </c>
      <c r="K5" s="76">
        <v>3658</v>
      </c>
      <c r="L5" s="9">
        <f t="shared" ref="L5:L10" si="5">+I5-K5</f>
        <v>2</v>
      </c>
      <c r="M5" s="79">
        <v>63</v>
      </c>
      <c r="N5" s="23">
        <f t="shared" ref="N5:N10" si="6">+K5-M5</f>
        <v>3595</v>
      </c>
      <c r="O5" s="65">
        <f>+N5/B4</f>
        <v>1.9655549480590486</v>
      </c>
      <c r="P5" s="19">
        <f>+L5+M5</f>
        <v>65</v>
      </c>
      <c r="Q5" s="82">
        <v>0</v>
      </c>
      <c r="R5" s="9">
        <f t="shared" si="0"/>
        <v>65</v>
      </c>
      <c r="S5" s="9">
        <f>+R5*G5</f>
        <v>3.25</v>
      </c>
      <c r="T5" s="9">
        <f t="shared" si="2"/>
        <v>260</v>
      </c>
      <c r="U5" s="12">
        <f t="shared" ref="U5:U9" si="7">+R5/I5</f>
        <v>1.7759562841530054E-2</v>
      </c>
      <c r="W5" s="102">
        <f t="shared" ref="W5:W35" si="8">+I5*G5</f>
        <v>183</v>
      </c>
      <c r="X5" s="103">
        <f t="shared" ref="X5:X35" si="9">+K5*G5</f>
        <v>182.9</v>
      </c>
      <c r="Y5" s="103">
        <f t="shared" ref="Y5:Y35" si="10">+L5*G5</f>
        <v>0.1</v>
      </c>
      <c r="Z5" s="103">
        <f t="shared" ref="Z5:Z35" si="11">+M5*G5</f>
        <v>3.1500000000000004</v>
      </c>
      <c r="AA5" s="284">
        <f t="shared" ref="AA5:AA35" si="12">+Q5*G5</f>
        <v>0</v>
      </c>
      <c r="AB5" s="104">
        <f t="shared" si="3"/>
        <v>3.25</v>
      </c>
    </row>
    <row r="6" spans="1:29" ht="20.25" customHeight="1" x14ac:dyDescent="0.35">
      <c r="A6" s="302"/>
      <c r="B6" s="304"/>
      <c r="C6" s="35" t="s">
        <v>76</v>
      </c>
      <c r="D6" s="10">
        <v>40</v>
      </c>
      <c r="E6" s="31" t="s">
        <v>17</v>
      </c>
      <c r="F6" s="49">
        <v>0.15</v>
      </c>
      <c r="G6" s="11">
        <v>1</v>
      </c>
      <c r="H6" s="72">
        <f>+F6*B4</f>
        <v>274.34999999999997</v>
      </c>
      <c r="I6" s="68">
        <v>275</v>
      </c>
      <c r="J6" s="13">
        <f t="shared" si="4"/>
        <v>0.65000000000003411</v>
      </c>
      <c r="K6" s="76">
        <f>1829*0.15</f>
        <v>274.34999999999997</v>
      </c>
      <c r="L6" s="9">
        <f t="shared" si="5"/>
        <v>0.65000000000003411</v>
      </c>
      <c r="M6" s="79">
        <v>17</v>
      </c>
      <c r="N6" s="33">
        <f t="shared" si="6"/>
        <v>257.34999999999997</v>
      </c>
      <c r="O6" s="42">
        <f>+N6/B4</f>
        <v>0.14070530344450519</v>
      </c>
      <c r="P6" s="19">
        <f>+L6+M6</f>
        <v>17.650000000000034</v>
      </c>
      <c r="Q6" s="82">
        <v>0</v>
      </c>
      <c r="R6" s="9">
        <f t="shared" si="0"/>
        <v>17.650000000000034</v>
      </c>
      <c r="S6" s="9">
        <f t="shared" si="1"/>
        <v>17.650000000000034</v>
      </c>
      <c r="T6" s="9">
        <f t="shared" si="2"/>
        <v>706.00000000000136</v>
      </c>
      <c r="U6" s="12">
        <f t="shared" si="7"/>
        <v>6.4181818181818312E-2</v>
      </c>
      <c r="W6" s="102">
        <f t="shared" si="8"/>
        <v>275</v>
      </c>
      <c r="X6" s="103">
        <f t="shared" si="9"/>
        <v>274.34999999999997</v>
      </c>
      <c r="Y6" s="103">
        <f t="shared" si="10"/>
        <v>0.65000000000003411</v>
      </c>
      <c r="Z6" s="103">
        <f t="shared" si="11"/>
        <v>17</v>
      </c>
      <c r="AA6" s="284">
        <f t="shared" si="12"/>
        <v>0</v>
      </c>
      <c r="AB6" s="104">
        <f t="shared" si="3"/>
        <v>17.650000000000034</v>
      </c>
    </row>
    <row r="7" spans="1:29" ht="20.25" customHeight="1" x14ac:dyDescent="0.35">
      <c r="A7" s="302"/>
      <c r="B7" s="304"/>
      <c r="C7" s="35" t="s">
        <v>12</v>
      </c>
      <c r="D7" s="10">
        <v>45</v>
      </c>
      <c r="E7" s="31" t="s">
        <v>17</v>
      </c>
      <c r="F7" s="49">
        <v>0.1</v>
      </c>
      <c r="G7" s="11">
        <v>1</v>
      </c>
      <c r="H7" s="72">
        <f>+F7*B4</f>
        <v>182.9</v>
      </c>
      <c r="I7" s="68">
        <v>185</v>
      </c>
      <c r="J7" s="13">
        <f t="shared" si="4"/>
        <v>2.0999999999999943</v>
      </c>
      <c r="K7" s="76">
        <v>182.9</v>
      </c>
      <c r="L7" s="9">
        <f t="shared" si="5"/>
        <v>2.0999999999999943</v>
      </c>
      <c r="M7" s="79">
        <v>10</v>
      </c>
      <c r="N7" s="23">
        <f t="shared" si="6"/>
        <v>172.9</v>
      </c>
      <c r="O7" s="42">
        <f>+N7/B4</f>
        <v>9.4532531437944239E-2</v>
      </c>
      <c r="P7" s="19">
        <f t="shared" ref="P7:P10" si="13">+L7+M7</f>
        <v>12.099999999999994</v>
      </c>
      <c r="Q7" s="82">
        <v>0</v>
      </c>
      <c r="R7" s="9">
        <f t="shared" si="0"/>
        <v>12.099999999999994</v>
      </c>
      <c r="S7" s="9">
        <f t="shared" si="1"/>
        <v>12.099999999999994</v>
      </c>
      <c r="T7" s="9">
        <f t="shared" si="2"/>
        <v>544.49999999999977</v>
      </c>
      <c r="U7" s="12">
        <f t="shared" si="7"/>
        <v>6.5405405405405376E-2</v>
      </c>
      <c r="W7" s="102">
        <f t="shared" si="8"/>
        <v>185</v>
      </c>
      <c r="X7" s="103">
        <f t="shared" si="9"/>
        <v>182.9</v>
      </c>
      <c r="Y7" s="103">
        <f t="shared" si="10"/>
        <v>2.0999999999999943</v>
      </c>
      <c r="Z7" s="103">
        <f t="shared" si="11"/>
        <v>10</v>
      </c>
      <c r="AA7" s="284">
        <f t="shared" si="12"/>
        <v>0</v>
      </c>
      <c r="AB7" s="104">
        <f t="shared" si="3"/>
        <v>12.099999999999994</v>
      </c>
    </row>
    <row r="8" spans="1:29" ht="20.25" customHeight="1" x14ac:dyDescent="0.35">
      <c r="A8" s="302"/>
      <c r="B8" s="304"/>
      <c r="C8" s="35" t="s">
        <v>13</v>
      </c>
      <c r="D8" s="10">
        <v>52</v>
      </c>
      <c r="E8" s="31" t="s">
        <v>17</v>
      </c>
      <c r="F8" s="49">
        <v>0.1</v>
      </c>
      <c r="G8" s="11">
        <v>1</v>
      </c>
      <c r="H8" s="72">
        <f>+F8*B4</f>
        <v>182.9</v>
      </c>
      <c r="I8" s="68">
        <v>184</v>
      </c>
      <c r="J8" s="13">
        <f t="shared" si="4"/>
        <v>1.0999999999999943</v>
      </c>
      <c r="K8" s="76">
        <v>182.9</v>
      </c>
      <c r="L8" s="9">
        <f>+I8-K8</f>
        <v>1.0999999999999943</v>
      </c>
      <c r="M8" s="79">
        <v>15</v>
      </c>
      <c r="N8" s="33">
        <f t="shared" si="6"/>
        <v>167.9</v>
      </c>
      <c r="O8" s="42">
        <f>+N8/B4</f>
        <v>9.1798797156916356E-2</v>
      </c>
      <c r="P8" s="19">
        <f t="shared" si="13"/>
        <v>16.099999999999994</v>
      </c>
      <c r="Q8" s="82">
        <v>0</v>
      </c>
      <c r="R8" s="9">
        <f t="shared" si="0"/>
        <v>16.099999999999994</v>
      </c>
      <c r="S8" s="9">
        <f t="shared" si="1"/>
        <v>16.099999999999994</v>
      </c>
      <c r="T8" s="9">
        <f t="shared" si="2"/>
        <v>837.1999999999997</v>
      </c>
      <c r="U8" s="12">
        <f t="shared" si="7"/>
        <v>8.7499999999999967E-2</v>
      </c>
      <c r="W8" s="102">
        <f t="shared" si="8"/>
        <v>184</v>
      </c>
      <c r="X8" s="103">
        <f t="shared" si="9"/>
        <v>182.9</v>
      </c>
      <c r="Y8" s="103">
        <f t="shared" si="10"/>
        <v>1.0999999999999943</v>
      </c>
      <c r="Z8" s="103">
        <f t="shared" si="11"/>
        <v>15</v>
      </c>
      <c r="AA8" s="284">
        <f t="shared" si="12"/>
        <v>0</v>
      </c>
      <c r="AB8" s="104">
        <f t="shared" si="3"/>
        <v>16.099999999999994</v>
      </c>
    </row>
    <row r="9" spans="1:29" ht="20.25" customHeight="1" x14ac:dyDescent="0.35">
      <c r="A9" s="302"/>
      <c r="B9" s="304"/>
      <c r="C9" s="35" t="s">
        <v>66</v>
      </c>
      <c r="D9" s="10">
        <v>90</v>
      </c>
      <c r="E9" s="31" t="s">
        <v>17</v>
      </c>
      <c r="F9" s="49">
        <v>0.1</v>
      </c>
      <c r="G9" s="11">
        <v>1</v>
      </c>
      <c r="H9" s="73">
        <f>+F9*B4</f>
        <v>182.9</v>
      </c>
      <c r="I9" s="68">
        <v>184</v>
      </c>
      <c r="J9" s="13">
        <f t="shared" si="4"/>
        <v>1.0999999999999943</v>
      </c>
      <c r="K9" s="76">
        <v>182.9</v>
      </c>
      <c r="L9" s="54">
        <f>+I9-K9</f>
        <v>1.0999999999999943</v>
      </c>
      <c r="M9" s="79">
        <v>14</v>
      </c>
      <c r="N9" s="23">
        <f t="shared" si="6"/>
        <v>168.9</v>
      </c>
      <c r="O9" s="42">
        <f>+N9/B4</f>
        <v>9.2345544013121922E-2</v>
      </c>
      <c r="P9" s="19">
        <f t="shared" si="13"/>
        <v>15.099999999999994</v>
      </c>
      <c r="Q9" s="82">
        <v>0</v>
      </c>
      <c r="R9" s="9">
        <f t="shared" si="0"/>
        <v>15.099999999999994</v>
      </c>
      <c r="S9" s="9">
        <f t="shared" si="1"/>
        <v>15.099999999999994</v>
      </c>
      <c r="T9" s="9">
        <f t="shared" si="2"/>
        <v>1358.9999999999995</v>
      </c>
      <c r="U9" s="12">
        <f t="shared" si="7"/>
        <v>8.2065217391304318E-2</v>
      </c>
      <c r="W9" s="102">
        <f t="shared" si="8"/>
        <v>184</v>
      </c>
      <c r="X9" s="103">
        <f t="shared" si="9"/>
        <v>182.9</v>
      </c>
      <c r="Y9" s="103">
        <f t="shared" si="10"/>
        <v>1.0999999999999943</v>
      </c>
      <c r="Z9" s="103">
        <f t="shared" si="11"/>
        <v>14</v>
      </c>
      <c r="AA9" s="284">
        <f t="shared" si="12"/>
        <v>0</v>
      </c>
      <c r="AB9" s="104">
        <f t="shared" si="3"/>
        <v>15.099999999999994</v>
      </c>
    </row>
    <row r="10" spans="1:29" ht="20.25" customHeight="1" x14ac:dyDescent="0.35">
      <c r="A10" s="302"/>
      <c r="B10" s="304"/>
      <c r="C10" s="35" t="s">
        <v>14</v>
      </c>
      <c r="D10" s="10">
        <v>60</v>
      </c>
      <c r="E10" s="31" t="s">
        <v>18</v>
      </c>
      <c r="F10" s="49">
        <v>0.1</v>
      </c>
      <c r="G10" s="11">
        <v>1</v>
      </c>
      <c r="H10" s="72">
        <f>+F10*B4</f>
        <v>182.9</v>
      </c>
      <c r="I10" s="68">
        <v>186</v>
      </c>
      <c r="J10" s="13">
        <f t="shared" si="4"/>
        <v>3.0999999999999943</v>
      </c>
      <c r="K10" s="76">
        <v>182.9</v>
      </c>
      <c r="L10" s="9">
        <f t="shared" si="5"/>
        <v>3.0999999999999943</v>
      </c>
      <c r="M10" s="79">
        <v>8</v>
      </c>
      <c r="N10" s="33">
        <f t="shared" si="6"/>
        <v>174.9</v>
      </c>
      <c r="O10" s="42">
        <f>+N10/B4</f>
        <v>9.5626025150355384E-2</v>
      </c>
      <c r="P10" s="19">
        <f t="shared" si="13"/>
        <v>11.099999999999994</v>
      </c>
      <c r="Q10" s="82">
        <v>0</v>
      </c>
      <c r="R10" s="9">
        <f t="shared" si="0"/>
        <v>11.099999999999994</v>
      </c>
      <c r="S10" s="9">
        <f t="shared" si="1"/>
        <v>11.099999999999994</v>
      </c>
      <c r="T10" s="9">
        <f t="shared" si="2"/>
        <v>665.99999999999966</v>
      </c>
      <c r="U10" s="12">
        <f>+R10/I10</f>
        <v>5.9677419354838682E-2</v>
      </c>
      <c r="W10" s="115">
        <f t="shared" si="8"/>
        <v>186</v>
      </c>
      <c r="X10" s="116">
        <f t="shared" si="9"/>
        <v>182.9</v>
      </c>
      <c r="Y10" s="116">
        <f t="shared" si="10"/>
        <v>3.0999999999999943</v>
      </c>
      <c r="Z10" s="116">
        <f t="shared" si="11"/>
        <v>8</v>
      </c>
      <c r="AA10" s="284">
        <f t="shared" si="12"/>
        <v>0</v>
      </c>
      <c r="AB10" s="117">
        <f t="shared" si="3"/>
        <v>11.099999999999994</v>
      </c>
    </row>
    <row r="11" spans="1:29" ht="20.25" customHeight="1" thickBot="1" x14ac:dyDescent="0.4">
      <c r="A11" s="27"/>
      <c r="B11" s="51"/>
      <c r="C11" s="50"/>
      <c r="D11" s="15"/>
      <c r="E11" s="15"/>
      <c r="F11" s="15"/>
      <c r="G11" s="15"/>
      <c r="H11" s="74"/>
      <c r="I11" s="69"/>
      <c r="J11" s="16"/>
      <c r="K11" s="77"/>
      <c r="L11" s="15"/>
      <c r="M11" s="80"/>
      <c r="N11" s="14"/>
      <c r="O11" s="16"/>
      <c r="P11" s="20"/>
      <c r="Q11" s="83"/>
      <c r="R11" s="15"/>
      <c r="S11" s="84">
        <f>SUM(S4:S10)</f>
        <v>79.400000000000006</v>
      </c>
      <c r="T11" s="56">
        <f>SUM(T4:T10)</f>
        <v>4536.7</v>
      </c>
      <c r="U11" s="16"/>
      <c r="W11" s="118">
        <f>SUM(W4:W10)</f>
        <v>1380.25</v>
      </c>
      <c r="X11" s="109">
        <f t="shared" ref="X11:AB11" si="14">SUM(X4:X10)</f>
        <v>1371.75</v>
      </c>
      <c r="Y11" s="109">
        <f t="shared" si="14"/>
        <v>8.5000000000000107</v>
      </c>
      <c r="Z11" s="110">
        <f t="shared" si="14"/>
        <v>70.900000000000006</v>
      </c>
      <c r="AA11" s="289">
        <f>SUM(AA4:AA10)</f>
        <v>0</v>
      </c>
      <c r="AB11" s="114">
        <f t="shared" si="14"/>
        <v>79.400000000000006</v>
      </c>
      <c r="AC11" s="94"/>
    </row>
    <row r="12" spans="1:29" ht="20.25" customHeight="1" x14ac:dyDescent="0.35">
      <c r="A12" s="292" t="s">
        <v>38</v>
      </c>
      <c r="B12" s="295">
        <v>1594</v>
      </c>
      <c r="C12" s="34" t="s">
        <v>31</v>
      </c>
      <c r="D12" s="4">
        <v>20</v>
      </c>
      <c r="E12" s="30" t="s">
        <v>17</v>
      </c>
      <c r="F12" s="52">
        <v>0.4</v>
      </c>
      <c r="G12" s="5">
        <v>1</v>
      </c>
      <c r="H12" s="71">
        <f>+F12*B12</f>
        <v>637.6</v>
      </c>
      <c r="I12" s="67">
        <v>645</v>
      </c>
      <c r="J12" s="64">
        <f>I12-H12</f>
        <v>7.3999999999999773</v>
      </c>
      <c r="K12" s="75">
        <f>1594*0.4</f>
        <v>637.6</v>
      </c>
      <c r="L12" s="3">
        <f>+I12-K12</f>
        <v>7.3999999999999773</v>
      </c>
      <c r="M12" s="78">
        <v>65</v>
      </c>
      <c r="N12" s="21">
        <f>+K12-M12</f>
        <v>572.6</v>
      </c>
      <c r="O12" s="276">
        <f>+N12/B12</f>
        <v>0.35922208281053952</v>
      </c>
      <c r="P12" s="18">
        <f>+L12+M12</f>
        <v>72.399999999999977</v>
      </c>
      <c r="Q12" s="81">
        <v>45</v>
      </c>
      <c r="R12" s="3">
        <f>+P12-Q12</f>
        <v>27.399999999999977</v>
      </c>
      <c r="S12" s="3">
        <f>+R12*G12</f>
        <v>27.399999999999977</v>
      </c>
      <c r="T12" s="3">
        <f t="shared" ref="T12:T20" si="15">+R12*D12</f>
        <v>547.99999999999955</v>
      </c>
      <c r="U12" s="6">
        <f>+R12/I12</f>
        <v>4.2480620155038722E-2</v>
      </c>
      <c r="W12" s="111">
        <f>+I12*G12</f>
        <v>645</v>
      </c>
      <c r="X12" s="112">
        <f t="shared" si="9"/>
        <v>637.6</v>
      </c>
      <c r="Y12" s="112">
        <f t="shared" si="10"/>
        <v>7.3999999999999773</v>
      </c>
      <c r="Z12" s="112">
        <f t="shared" si="11"/>
        <v>65</v>
      </c>
      <c r="AA12" s="284">
        <f t="shared" si="12"/>
        <v>45</v>
      </c>
      <c r="AB12" s="113">
        <f t="shared" ref="AB12:AB20" si="16">+R12*G12</f>
        <v>27.399999999999977</v>
      </c>
    </row>
    <row r="13" spans="1:29" ht="20.25" customHeight="1" x14ac:dyDescent="0.35">
      <c r="A13" s="293"/>
      <c r="B13" s="296"/>
      <c r="C13" s="35" t="s">
        <v>259</v>
      </c>
      <c r="D13" s="10">
        <v>65</v>
      </c>
      <c r="E13" s="31" t="s">
        <v>17</v>
      </c>
      <c r="F13" s="49">
        <v>0.08</v>
      </c>
      <c r="G13" s="11">
        <v>1</v>
      </c>
      <c r="H13" s="70">
        <f>+F13*B12</f>
        <v>127.52</v>
      </c>
      <c r="I13" s="68">
        <v>130</v>
      </c>
      <c r="J13" s="65">
        <f>+I13-H13</f>
        <v>2.480000000000004</v>
      </c>
      <c r="K13" s="76">
        <f>1594*0.08</f>
        <v>127.52</v>
      </c>
      <c r="L13" s="9">
        <f>+I13-K13</f>
        <v>2.480000000000004</v>
      </c>
      <c r="M13" s="79">
        <v>13</v>
      </c>
      <c r="N13" s="23">
        <f>+K13-M13</f>
        <v>114.52</v>
      </c>
      <c r="O13" s="277">
        <f>+N13/B12</f>
        <v>7.1844416562107896E-2</v>
      </c>
      <c r="P13" s="19">
        <f>+L13+M13</f>
        <v>15.480000000000004</v>
      </c>
      <c r="Q13" s="82">
        <v>0</v>
      </c>
      <c r="R13" s="9">
        <f t="shared" ref="R13:R20" si="17">+P13-Q13</f>
        <v>15.480000000000004</v>
      </c>
      <c r="S13" s="9">
        <f>+R13*G13</f>
        <v>15.480000000000004</v>
      </c>
      <c r="T13" s="9">
        <f t="shared" si="15"/>
        <v>1006.2000000000003</v>
      </c>
      <c r="U13" s="12">
        <f>+R13/I13</f>
        <v>0.11907692307692311</v>
      </c>
      <c r="W13" s="102">
        <f>+I13*G13</f>
        <v>130</v>
      </c>
      <c r="X13" s="103">
        <f t="shared" si="9"/>
        <v>127.52</v>
      </c>
      <c r="Y13" s="103">
        <f t="shared" si="10"/>
        <v>2.480000000000004</v>
      </c>
      <c r="Z13" s="103">
        <f>+M13*G13</f>
        <v>13</v>
      </c>
      <c r="AA13" s="284">
        <f t="shared" si="12"/>
        <v>0</v>
      </c>
      <c r="AB13" s="104">
        <f t="shared" si="16"/>
        <v>15.480000000000004</v>
      </c>
    </row>
    <row r="14" spans="1:29" ht="20.25" customHeight="1" x14ac:dyDescent="0.35">
      <c r="A14" s="293"/>
      <c r="B14" s="296"/>
      <c r="C14" s="35" t="s">
        <v>258</v>
      </c>
      <c r="D14" s="10">
        <v>85</v>
      </c>
      <c r="E14" s="31" t="s">
        <v>17</v>
      </c>
      <c r="F14" s="49">
        <v>0.08</v>
      </c>
      <c r="G14" s="11">
        <v>1</v>
      </c>
      <c r="H14" s="72">
        <f>+F14*B12</f>
        <v>127.52</v>
      </c>
      <c r="I14" s="68">
        <v>128</v>
      </c>
      <c r="J14" s="65">
        <f>+I14-H14</f>
        <v>0.48000000000000398</v>
      </c>
      <c r="K14" s="76">
        <v>127.52</v>
      </c>
      <c r="L14" s="9">
        <f t="shared" ref="L14:L20" si="18">+I14-K14</f>
        <v>0.48000000000000398</v>
      </c>
      <c r="M14" s="79">
        <v>6</v>
      </c>
      <c r="N14" s="33">
        <f>+K14-M14</f>
        <v>121.52</v>
      </c>
      <c r="O14" s="277">
        <f>+N14/B12</f>
        <v>7.6235884567126724E-2</v>
      </c>
      <c r="P14" s="19">
        <f>+L14+M14</f>
        <v>6.480000000000004</v>
      </c>
      <c r="Q14" s="82">
        <v>0</v>
      </c>
      <c r="R14" s="9">
        <f t="shared" si="17"/>
        <v>6.480000000000004</v>
      </c>
      <c r="S14" s="9">
        <f t="shared" ref="S14:S20" si="19">+R14*G14</f>
        <v>6.480000000000004</v>
      </c>
      <c r="T14" s="9">
        <f t="shared" si="15"/>
        <v>550.8000000000003</v>
      </c>
      <c r="U14" s="12">
        <f t="shared" ref="U14:U20" si="20">+R14/I14</f>
        <v>5.0625000000000031E-2</v>
      </c>
      <c r="W14" s="102">
        <f t="shared" si="8"/>
        <v>128</v>
      </c>
      <c r="X14" s="103">
        <f t="shared" si="9"/>
        <v>127.52</v>
      </c>
      <c r="Y14" s="103">
        <f t="shared" si="10"/>
        <v>0.48000000000000398</v>
      </c>
      <c r="Z14" s="103">
        <f>+M14*G14</f>
        <v>6</v>
      </c>
      <c r="AA14" s="284">
        <f t="shared" si="12"/>
        <v>0</v>
      </c>
      <c r="AB14" s="104">
        <f t="shared" si="16"/>
        <v>6.480000000000004</v>
      </c>
    </row>
    <row r="15" spans="1:29" ht="20.25" customHeight="1" x14ac:dyDescent="0.35">
      <c r="A15" s="293"/>
      <c r="B15" s="296"/>
      <c r="C15" s="35" t="s">
        <v>171</v>
      </c>
      <c r="D15" s="10">
        <v>55</v>
      </c>
      <c r="E15" s="31" t="s">
        <v>17</v>
      </c>
      <c r="F15" s="49">
        <v>0.08</v>
      </c>
      <c r="G15" s="11">
        <v>1</v>
      </c>
      <c r="H15" s="72">
        <f>+F15*B12</f>
        <v>127.52</v>
      </c>
      <c r="I15" s="68">
        <v>129</v>
      </c>
      <c r="J15" s="13">
        <f>I15-H15</f>
        <v>1.480000000000004</v>
      </c>
      <c r="K15" s="76">
        <v>127.52</v>
      </c>
      <c r="L15" s="9">
        <f>+I15-K15</f>
        <v>1.480000000000004</v>
      </c>
      <c r="M15" s="79">
        <v>6.5</v>
      </c>
      <c r="N15" s="23">
        <f t="shared" ref="N15:N20" si="21">+K15-M15</f>
        <v>121.02</v>
      </c>
      <c r="O15" s="277">
        <f>+N15/B12</f>
        <v>7.5922208281053949E-2</v>
      </c>
      <c r="P15" s="19">
        <f t="shared" ref="P15:P20" si="22">+L15+M15</f>
        <v>7.980000000000004</v>
      </c>
      <c r="Q15" s="82">
        <v>0</v>
      </c>
      <c r="R15" s="9">
        <f t="shared" si="17"/>
        <v>7.980000000000004</v>
      </c>
      <c r="S15" s="9">
        <f t="shared" si="19"/>
        <v>7.980000000000004</v>
      </c>
      <c r="T15" s="9">
        <f t="shared" si="15"/>
        <v>438.9000000000002</v>
      </c>
      <c r="U15" s="12">
        <f>+R15/I15</f>
        <v>6.1860465116279101E-2</v>
      </c>
      <c r="W15" s="102">
        <f>+I15*G15</f>
        <v>129</v>
      </c>
      <c r="X15" s="103">
        <f t="shared" si="9"/>
        <v>127.52</v>
      </c>
      <c r="Y15" s="103">
        <f t="shared" si="10"/>
        <v>1.480000000000004</v>
      </c>
      <c r="Z15" s="103">
        <f t="shared" si="11"/>
        <v>6.5</v>
      </c>
      <c r="AA15" s="284">
        <f t="shared" si="12"/>
        <v>0</v>
      </c>
      <c r="AB15" s="104">
        <f t="shared" si="16"/>
        <v>7.980000000000004</v>
      </c>
    </row>
    <row r="16" spans="1:29" ht="20.25" customHeight="1" x14ac:dyDescent="0.35">
      <c r="A16" s="293"/>
      <c r="B16" s="296"/>
      <c r="C16" s="35" t="s">
        <v>32</v>
      </c>
      <c r="D16" s="10">
        <v>48</v>
      </c>
      <c r="E16" s="31" t="s">
        <v>18</v>
      </c>
      <c r="F16" s="49">
        <v>0.06</v>
      </c>
      <c r="G16" s="11">
        <v>1</v>
      </c>
      <c r="H16" s="72">
        <f>+F16*B12</f>
        <v>95.64</v>
      </c>
      <c r="I16" s="68">
        <v>96</v>
      </c>
      <c r="J16" s="13">
        <f>I16-H16</f>
        <v>0.35999999999999943</v>
      </c>
      <c r="K16" s="76">
        <f>1594*0.06</f>
        <v>95.64</v>
      </c>
      <c r="L16" s="9">
        <f>+I16-K16</f>
        <v>0.35999999999999943</v>
      </c>
      <c r="M16" s="79">
        <v>8</v>
      </c>
      <c r="N16" s="33">
        <f t="shared" si="21"/>
        <v>87.64</v>
      </c>
      <c r="O16" s="277">
        <f>+N16/B12</f>
        <v>5.4981179422835633E-2</v>
      </c>
      <c r="P16" s="19">
        <f t="shared" si="22"/>
        <v>8.36</v>
      </c>
      <c r="Q16" s="82">
        <v>0</v>
      </c>
      <c r="R16" s="9">
        <f t="shared" si="17"/>
        <v>8.36</v>
      </c>
      <c r="S16" s="9">
        <f t="shared" si="19"/>
        <v>8.36</v>
      </c>
      <c r="T16" s="9">
        <f t="shared" si="15"/>
        <v>401.28</v>
      </c>
      <c r="U16" s="12">
        <f>+R16/I16</f>
        <v>8.7083333333333332E-2</v>
      </c>
      <c r="W16" s="102">
        <f>+I16*G16</f>
        <v>96</v>
      </c>
      <c r="X16" s="103">
        <f t="shared" si="9"/>
        <v>95.64</v>
      </c>
      <c r="Y16" s="103">
        <f t="shared" si="10"/>
        <v>0.35999999999999943</v>
      </c>
      <c r="Z16" s="103">
        <f t="shared" si="11"/>
        <v>8</v>
      </c>
      <c r="AA16" s="284">
        <f t="shared" si="12"/>
        <v>0</v>
      </c>
      <c r="AB16" s="104">
        <f t="shared" si="16"/>
        <v>8.36</v>
      </c>
    </row>
    <row r="17" spans="1:29" ht="20.25" customHeight="1" x14ac:dyDescent="0.35">
      <c r="A17" s="293"/>
      <c r="B17" s="296"/>
      <c r="C17" s="35" t="s">
        <v>155</v>
      </c>
      <c r="D17" s="10">
        <v>35</v>
      </c>
      <c r="E17" s="31" t="s">
        <v>18</v>
      </c>
      <c r="F17" s="49">
        <v>0.06</v>
      </c>
      <c r="G17" s="11">
        <v>1</v>
      </c>
      <c r="H17" s="73">
        <f>+F17*B12</f>
        <v>95.64</v>
      </c>
      <c r="I17" s="68">
        <v>96</v>
      </c>
      <c r="J17" s="66">
        <f t="shared" ref="J17:J20" si="23">I17-H17</f>
        <v>0.35999999999999943</v>
      </c>
      <c r="K17" s="76">
        <v>95.64</v>
      </c>
      <c r="L17" s="9">
        <f t="shared" si="18"/>
        <v>0.35999999999999943</v>
      </c>
      <c r="M17" s="79">
        <v>7</v>
      </c>
      <c r="N17" s="23">
        <f t="shared" si="21"/>
        <v>88.64</v>
      </c>
      <c r="O17" s="277">
        <f>+N17/B12</f>
        <v>5.5608531994981177E-2</v>
      </c>
      <c r="P17" s="19">
        <f t="shared" si="22"/>
        <v>7.3599999999999994</v>
      </c>
      <c r="Q17" s="82">
        <v>0</v>
      </c>
      <c r="R17" s="9">
        <f t="shared" si="17"/>
        <v>7.3599999999999994</v>
      </c>
      <c r="S17" s="9">
        <f t="shared" si="19"/>
        <v>7.3599999999999994</v>
      </c>
      <c r="T17" s="9">
        <f t="shared" si="15"/>
        <v>257.59999999999997</v>
      </c>
      <c r="U17" s="12">
        <f t="shared" si="20"/>
        <v>7.6666666666666661E-2</v>
      </c>
      <c r="W17" s="102">
        <f t="shared" si="8"/>
        <v>96</v>
      </c>
      <c r="X17" s="103">
        <f t="shared" si="9"/>
        <v>95.64</v>
      </c>
      <c r="Y17" s="103">
        <f t="shared" si="10"/>
        <v>0.35999999999999943</v>
      </c>
      <c r="Z17" s="103">
        <f t="shared" si="11"/>
        <v>7</v>
      </c>
      <c r="AA17" s="284">
        <f t="shared" si="12"/>
        <v>0</v>
      </c>
      <c r="AB17" s="104">
        <f t="shared" si="16"/>
        <v>7.3599999999999994</v>
      </c>
    </row>
    <row r="18" spans="1:29" ht="20.25" customHeight="1" x14ac:dyDescent="0.35">
      <c r="A18" s="293"/>
      <c r="B18" s="296"/>
      <c r="C18" s="35" t="s">
        <v>33</v>
      </c>
      <c r="D18" s="10">
        <v>50</v>
      </c>
      <c r="E18" s="31" t="s">
        <v>17</v>
      </c>
      <c r="F18" s="49">
        <v>0.03</v>
      </c>
      <c r="G18" s="11">
        <v>1</v>
      </c>
      <c r="H18" s="72">
        <f>+F18*B12</f>
        <v>47.82</v>
      </c>
      <c r="I18" s="68">
        <v>49</v>
      </c>
      <c r="J18" s="13">
        <f t="shared" si="23"/>
        <v>1.1799999999999997</v>
      </c>
      <c r="K18" s="76">
        <v>47.82</v>
      </c>
      <c r="L18" s="9">
        <f t="shared" si="18"/>
        <v>1.1799999999999997</v>
      </c>
      <c r="M18" s="79">
        <v>5.5</v>
      </c>
      <c r="N18" s="23">
        <f t="shared" si="21"/>
        <v>42.32</v>
      </c>
      <c r="O18" s="277">
        <f>+N18/B12</f>
        <v>2.6549560853199497E-2</v>
      </c>
      <c r="P18" s="19">
        <f t="shared" si="22"/>
        <v>6.68</v>
      </c>
      <c r="Q18" s="82">
        <v>0</v>
      </c>
      <c r="R18" s="9">
        <f t="shared" si="17"/>
        <v>6.68</v>
      </c>
      <c r="S18" s="9">
        <f t="shared" si="19"/>
        <v>6.68</v>
      </c>
      <c r="T18" s="9">
        <f t="shared" si="15"/>
        <v>334</v>
      </c>
      <c r="U18" s="12">
        <f t="shared" si="20"/>
        <v>0.13632653061224489</v>
      </c>
      <c r="W18" s="102">
        <f t="shared" si="8"/>
        <v>49</v>
      </c>
      <c r="X18" s="103">
        <f t="shared" si="9"/>
        <v>47.82</v>
      </c>
      <c r="Y18" s="103">
        <f t="shared" si="10"/>
        <v>1.1799999999999997</v>
      </c>
      <c r="Z18" s="103">
        <f t="shared" si="11"/>
        <v>5.5</v>
      </c>
      <c r="AA18" s="284">
        <f t="shared" si="12"/>
        <v>0</v>
      </c>
      <c r="AB18" s="104">
        <f t="shared" si="16"/>
        <v>6.68</v>
      </c>
    </row>
    <row r="19" spans="1:29" ht="20.25" customHeight="1" x14ac:dyDescent="0.35">
      <c r="A19" s="293"/>
      <c r="B19" s="296"/>
      <c r="C19" s="35" t="s">
        <v>34</v>
      </c>
      <c r="D19" s="31">
        <v>70</v>
      </c>
      <c r="E19" s="31" t="s">
        <v>17</v>
      </c>
      <c r="F19" s="11">
        <v>0.1</v>
      </c>
      <c r="G19" s="11">
        <v>1</v>
      </c>
      <c r="H19" s="72">
        <f>+F19*B12</f>
        <v>159.4</v>
      </c>
      <c r="I19" s="68">
        <v>159.4</v>
      </c>
      <c r="J19" s="13">
        <f t="shared" si="23"/>
        <v>0</v>
      </c>
      <c r="K19" s="76">
        <v>159.4</v>
      </c>
      <c r="L19" s="9">
        <f t="shared" si="18"/>
        <v>0</v>
      </c>
      <c r="M19" s="79">
        <v>0</v>
      </c>
      <c r="N19" s="23">
        <f t="shared" si="21"/>
        <v>159.4</v>
      </c>
      <c r="O19" s="277">
        <f>+N19/B12</f>
        <v>0.1</v>
      </c>
      <c r="P19" s="19">
        <f t="shared" si="22"/>
        <v>0</v>
      </c>
      <c r="Q19" s="82">
        <v>0</v>
      </c>
      <c r="R19" s="9">
        <f t="shared" si="17"/>
        <v>0</v>
      </c>
      <c r="S19" s="9">
        <f t="shared" si="19"/>
        <v>0</v>
      </c>
      <c r="T19" s="9">
        <f t="shared" si="15"/>
        <v>0</v>
      </c>
      <c r="U19" s="12">
        <f t="shared" si="20"/>
        <v>0</v>
      </c>
      <c r="W19" s="102">
        <f t="shared" si="8"/>
        <v>159.4</v>
      </c>
      <c r="X19" s="103">
        <f t="shared" si="9"/>
        <v>159.4</v>
      </c>
      <c r="Y19" s="103">
        <f t="shared" si="10"/>
        <v>0</v>
      </c>
      <c r="Z19" s="103">
        <f t="shared" si="11"/>
        <v>0</v>
      </c>
      <c r="AA19" s="284">
        <f t="shared" si="12"/>
        <v>0</v>
      </c>
      <c r="AB19" s="104">
        <f t="shared" si="16"/>
        <v>0</v>
      </c>
    </row>
    <row r="20" spans="1:29" ht="20.25" customHeight="1" x14ac:dyDescent="0.35">
      <c r="A20" s="294"/>
      <c r="B20" s="297"/>
      <c r="C20" s="40" t="s">
        <v>35</v>
      </c>
      <c r="D20" s="44">
        <v>2</v>
      </c>
      <c r="E20" s="44" t="s">
        <v>16</v>
      </c>
      <c r="F20" s="53">
        <v>2</v>
      </c>
      <c r="G20" s="45">
        <v>0.04</v>
      </c>
      <c r="H20" s="72">
        <f>+F20*B12</f>
        <v>3188</v>
      </c>
      <c r="I20" s="68">
        <v>3200</v>
      </c>
      <c r="J20" s="13">
        <f t="shared" si="23"/>
        <v>12</v>
      </c>
      <c r="K20" s="76">
        <f>1594*2</f>
        <v>3188</v>
      </c>
      <c r="L20" s="9">
        <f t="shared" si="18"/>
        <v>12</v>
      </c>
      <c r="M20" s="79">
        <v>75</v>
      </c>
      <c r="N20" s="33">
        <f t="shared" si="21"/>
        <v>3113</v>
      </c>
      <c r="O20" s="277">
        <f>+N20/B12</f>
        <v>1.9529485570890841</v>
      </c>
      <c r="P20" s="19">
        <f t="shared" si="22"/>
        <v>87</v>
      </c>
      <c r="Q20" s="82">
        <v>0</v>
      </c>
      <c r="R20" s="9">
        <f t="shared" si="17"/>
        <v>87</v>
      </c>
      <c r="S20" s="9">
        <f t="shared" si="19"/>
        <v>3.48</v>
      </c>
      <c r="T20" s="9">
        <f t="shared" si="15"/>
        <v>174</v>
      </c>
      <c r="U20" s="12">
        <f t="shared" si="20"/>
        <v>2.71875E-2</v>
      </c>
      <c r="W20" s="115">
        <f t="shared" si="8"/>
        <v>128</v>
      </c>
      <c r="X20" s="116">
        <f t="shared" si="9"/>
        <v>127.52</v>
      </c>
      <c r="Y20" s="116">
        <f t="shared" si="10"/>
        <v>0.48</v>
      </c>
      <c r="Z20" s="116">
        <f t="shared" si="11"/>
        <v>3</v>
      </c>
      <c r="AA20" s="284">
        <f t="shared" si="12"/>
        <v>0</v>
      </c>
      <c r="AB20" s="117">
        <f t="shared" si="16"/>
        <v>3.48</v>
      </c>
    </row>
    <row r="21" spans="1:29" ht="20.25" customHeight="1" thickBot="1" x14ac:dyDescent="0.4">
      <c r="A21" s="27"/>
      <c r="B21" s="28"/>
      <c r="C21" s="29"/>
      <c r="D21" s="15"/>
      <c r="E21" s="15"/>
      <c r="F21" s="15"/>
      <c r="G21" s="15"/>
      <c r="H21" s="74"/>
      <c r="I21" s="69"/>
      <c r="J21" s="16"/>
      <c r="K21" s="77"/>
      <c r="L21" s="15"/>
      <c r="M21" s="80"/>
      <c r="N21" s="14"/>
      <c r="O21" s="278">
        <f>SUM(O12:O19)+0.06</f>
        <v>0.88036386449184434</v>
      </c>
      <c r="P21" s="20"/>
      <c r="Q21" s="83"/>
      <c r="R21" s="15"/>
      <c r="S21" s="56">
        <f>SUM(S12:S20)</f>
        <v>83.219999999999985</v>
      </c>
      <c r="T21" s="56">
        <f>SUM(T12:T20)</f>
        <v>3710.78</v>
      </c>
      <c r="U21" s="16"/>
      <c r="W21" s="118">
        <f>SUM(W12:W20)</f>
        <v>1560.4</v>
      </c>
      <c r="X21" s="110">
        <f t="shared" ref="X21:AB21" si="24">SUM(X12:X20)</f>
        <v>1546.18</v>
      </c>
      <c r="Y21" s="114">
        <f t="shared" si="24"/>
        <v>14.219999999999988</v>
      </c>
      <c r="Z21" s="109">
        <f t="shared" si="24"/>
        <v>114</v>
      </c>
      <c r="AA21" s="286">
        <f>SUM(AA12:AA20)</f>
        <v>45</v>
      </c>
      <c r="AB21" s="109">
        <f t="shared" si="24"/>
        <v>83.219999999999985</v>
      </c>
      <c r="AC21" s="94"/>
    </row>
    <row r="22" spans="1:29" ht="20.25" customHeight="1" x14ac:dyDescent="0.35">
      <c r="A22" s="292" t="s">
        <v>39</v>
      </c>
      <c r="B22" s="295">
        <v>1570</v>
      </c>
      <c r="C22" s="34" t="s">
        <v>260</v>
      </c>
      <c r="D22" s="4">
        <v>5</v>
      </c>
      <c r="E22" s="4" t="s">
        <v>186</v>
      </c>
      <c r="F22" s="135">
        <v>2</v>
      </c>
      <c r="G22" s="5">
        <v>0.03</v>
      </c>
      <c r="H22" s="71">
        <f>+F22*B22</f>
        <v>3140</v>
      </c>
      <c r="I22" s="67">
        <v>3140</v>
      </c>
      <c r="J22" s="22">
        <f>I22-H22</f>
        <v>0</v>
      </c>
      <c r="K22" s="75">
        <f>1570*2</f>
        <v>3140</v>
      </c>
      <c r="L22" s="3">
        <f>+I22-K22</f>
        <v>0</v>
      </c>
      <c r="M22" s="78">
        <v>40</v>
      </c>
      <c r="N22" s="21">
        <f>+K22-M22</f>
        <v>3100</v>
      </c>
      <c r="O22" s="41">
        <f>+N22/B22</f>
        <v>1.9745222929936306</v>
      </c>
      <c r="P22" s="18">
        <f>+L22+M22</f>
        <v>40</v>
      </c>
      <c r="Q22" s="81">
        <v>20</v>
      </c>
      <c r="R22" s="3">
        <f>+P22-Q22</f>
        <v>20</v>
      </c>
      <c r="S22" s="3">
        <f>+R22*G22</f>
        <v>0.6</v>
      </c>
      <c r="T22" s="3">
        <f>+R22*D22</f>
        <v>100</v>
      </c>
      <c r="U22" s="6">
        <f>+R22/I22</f>
        <v>6.369426751592357E-3</v>
      </c>
      <c r="W22" s="111">
        <f t="shared" si="8"/>
        <v>94.2</v>
      </c>
      <c r="X22" s="112">
        <f t="shared" si="9"/>
        <v>94.2</v>
      </c>
      <c r="Y22" s="112">
        <f t="shared" si="10"/>
        <v>0</v>
      </c>
      <c r="Z22" s="112">
        <f>+M22*G22</f>
        <v>1.2</v>
      </c>
      <c r="AA22" s="284">
        <f t="shared" si="12"/>
        <v>0.6</v>
      </c>
      <c r="AB22" s="113">
        <f>+R22*G22</f>
        <v>0.6</v>
      </c>
    </row>
    <row r="23" spans="1:29" ht="20.25" customHeight="1" x14ac:dyDescent="0.35">
      <c r="A23" s="293"/>
      <c r="B23" s="296"/>
      <c r="C23" s="35" t="s">
        <v>203</v>
      </c>
      <c r="D23" s="10">
        <v>0.64</v>
      </c>
      <c r="E23" s="10" t="s">
        <v>61</v>
      </c>
      <c r="F23" s="279">
        <v>1</v>
      </c>
      <c r="G23" s="11">
        <v>1</v>
      </c>
      <c r="H23" s="70">
        <f>+F23*B22</f>
        <v>1570</v>
      </c>
      <c r="I23" s="68">
        <v>1570</v>
      </c>
      <c r="J23" s="13">
        <f>I23-H23</f>
        <v>0</v>
      </c>
      <c r="K23" s="76">
        <v>1570</v>
      </c>
      <c r="L23" s="9">
        <f t="shared" ref="L23:L25" si="25">+I23-K23</f>
        <v>0</v>
      </c>
      <c r="M23" s="79">
        <v>30</v>
      </c>
      <c r="N23" s="23">
        <f>+K23-M23</f>
        <v>1540</v>
      </c>
      <c r="O23" s="42">
        <f>+N23/B22</f>
        <v>0.98089171974522293</v>
      </c>
      <c r="P23" s="19">
        <f>+L23+M23</f>
        <v>30</v>
      </c>
      <c r="Q23" s="82">
        <v>30</v>
      </c>
      <c r="R23" s="9">
        <f t="shared" ref="R23:R25" si="26">+P23-Q23</f>
        <v>0</v>
      </c>
      <c r="S23" s="9">
        <f>+R23*G23</f>
        <v>0</v>
      </c>
      <c r="T23" s="9">
        <f>+R23*D23</f>
        <v>0</v>
      </c>
      <c r="U23" s="12">
        <f t="shared" ref="U23:U25" si="27">+R23/I23</f>
        <v>0</v>
      </c>
      <c r="W23" s="102">
        <f t="shared" si="8"/>
        <v>1570</v>
      </c>
      <c r="X23" s="103">
        <f t="shared" si="9"/>
        <v>1570</v>
      </c>
      <c r="Y23" s="103">
        <f t="shared" si="10"/>
        <v>0</v>
      </c>
      <c r="Z23" s="103">
        <f>+M23*G23</f>
        <v>30</v>
      </c>
      <c r="AA23" s="284">
        <f t="shared" si="12"/>
        <v>30</v>
      </c>
      <c r="AB23" s="104">
        <f>+R23*G23</f>
        <v>0</v>
      </c>
    </row>
    <row r="24" spans="1:29" ht="20.25" customHeight="1" x14ac:dyDescent="0.35">
      <c r="A24" s="293"/>
      <c r="B24" s="296"/>
      <c r="C24" s="35" t="s">
        <v>261</v>
      </c>
      <c r="D24" s="10">
        <v>6</v>
      </c>
      <c r="E24" s="10" t="s">
        <v>16</v>
      </c>
      <c r="F24" s="126">
        <v>1</v>
      </c>
      <c r="G24" s="11">
        <v>0.05</v>
      </c>
      <c r="H24" s="72">
        <f>+F24*B22</f>
        <v>1570</v>
      </c>
      <c r="I24" s="68">
        <v>1440</v>
      </c>
      <c r="J24" s="13">
        <f>I24-H24</f>
        <v>-130</v>
      </c>
      <c r="K24" s="76">
        <f>1570-130</f>
        <v>1440</v>
      </c>
      <c r="L24" s="9">
        <f t="shared" si="25"/>
        <v>0</v>
      </c>
      <c r="M24" s="79">
        <v>0</v>
      </c>
      <c r="N24" s="33">
        <f t="shared" ref="N24:N25" si="28">+K24-M24</f>
        <v>1440</v>
      </c>
      <c r="O24" s="42">
        <f>+N24/B22</f>
        <v>0.91719745222929938</v>
      </c>
      <c r="P24" s="19">
        <f>+L24+M24</f>
        <v>0</v>
      </c>
      <c r="Q24" s="82">
        <v>0</v>
      </c>
      <c r="R24" s="9">
        <f t="shared" si="26"/>
        <v>0</v>
      </c>
      <c r="S24" s="9">
        <f>+R24*G24</f>
        <v>0</v>
      </c>
      <c r="T24" s="9">
        <f>+R24*D24</f>
        <v>0</v>
      </c>
      <c r="U24" s="12">
        <f t="shared" si="27"/>
        <v>0</v>
      </c>
      <c r="W24" s="102">
        <f t="shared" si="8"/>
        <v>72</v>
      </c>
      <c r="X24" s="103">
        <f t="shared" si="9"/>
        <v>72</v>
      </c>
      <c r="Y24" s="103">
        <f t="shared" si="10"/>
        <v>0</v>
      </c>
      <c r="Z24" s="103">
        <f t="shared" si="11"/>
        <v>0</v>
      </c>
      <c r="AA24" s="284">
        <f t="shared" si="12"/>
        <v>0</v>
      </c>
      <c r="AB24" s="104">
        <f>+R24*G24</f>
        <v>0</v>
      </c>
    </row>
    <row r="25" spans="1:29" ht="20.25" customHeight="1" x14ac:dyDescent="0.35">
      <c r="A25" s="293"/>
      <c r="B25" s="296"/>
      <c r="C25" s="35" t="s">
        <v>14</v>
      </c>
      <c r="D25" s="10">
        <v>60</v>
      </c>
      <c r="E25" s="10" t="s">
        <v>18</v>
      </c>
      <c r="F25" s="49">
        <v>0.1</v>
      </c>
      <c r="G25" s="11">
        <v>1</v>
      </c>
      <c r="H25" s="72">
        <f>+F25*B22</f>
        <v>157</v>
      </c>
      <c r="I25" s="68">
        <v>160</v>
      </c>
      <c r="J25" s="13">
        <f>I25-H25</f>
        <v>3</v>
      </c>
      <c r="K25" s="76">
        <v>157</v>
      </c>
      <c r="L25" s="9">
        <f t="shared" si="25"/>
        <v>3</v>
      </c>
      <c r="M25" s="79">
        <v>6</v>
      </c>
      <c r="N25" s="23">
        <f t="shared" si="28"/>
        <v>151</v>
      </c>
      <c r="O25" s="42">
        <f>+N25/B22</f>
        <v>9.6178343949044592E-2</v>
      </c>
      <c r="P25" s="19">
        <f t="shared" ref="P25" si="29">+L25+M25</f>
        <v>9</v>
      </c>
      <c r="Q25" s="82">
        <v>0</v>
      </c>
      <c r="R25" s="9">
        <f t="shared" si="26"/>
        <v>9</v>
      </c>
      <c r="S25" s="9">
        <f>+R25*G25</f>
        <v>9</v>
      </c>
      <c r="T25" s="9">
        <f>+R25*D25</f>
        <v>540</v>
      </c>
      <c r="U25" s="12">
        <f t="shared" si="27"/>
        <v>5.6250000000000001E-2</v>
      </c>
      <c r="W25" s="105">
        <f t="shared" si="8"/>
        <v>160</v>
      </c>
      <c r="X25" s="106">
        <f t="shared" si="9"/>
        <v>157</v>
      </c>
      <c r="Y25" s="106">
        <f t="shared" si="10"/>
        <v>3</v>
      </c>
      <c r="Z25" s="106">
        <f t="shared" si="11"/>
        <v>6</v>
      </c>
      <c r="AA25" s="284">
        <f t="shared" si="12"/>
        <v>0</v>
      </c>
      <c r="AB25" s="107">
        <f>+R25*G25</f>
        <v>9</v>
      </c>
    </row>
    <row r="26" spans="1:29" ht="21.75" customHeight="1" thickBot="1" x14ac:dyDescent="0.4">
      <c r="A26" s="27"/>
      <c r="B26" s="55"/>
      <c r="C26" s="29"/>
      <c r="D26" s="15"/>
      <c r="E26" s="15"/>
      <c r="F26" s="15"/>
      <c r="G26" s="15"/>
      <c r="H26" s="74"/>
      <c r="I26" s="69"/>
      <c r="J26" s="16"/>
      <c r="K26" s="77"/>
      <c r="L26" s="15"/>
      <c r="M26" s="80"/>
      <c r="N26" s="14"/>
      <c r="O26" s="16"/>
      <c r="P26" s="20"/>
      <c r="Q26" s="83"/>
      <c r="R26" s="15"/>
      <c r="S26" s="56">
        <f>SUM(S22:S25)</f>
        <v>9.6</v>
      </c>
      <c r="T26" s="56">
        <f>SUM(T22:T25)</f>
        <v>640</v>
      </c>
      <c r="U26" s="16"/>
      <c r="W26" s="123">
        <f>SUM(W22:W25)</f>
        <v>1896.2</v>
      </c>
      <c r="X26" s="124">
        <f t="shared" ref="X26:AB26" si="30">SUM(X22:X25)</f>
        <v>1893.2</v>
      </c>
      <c r="Y26" s="124">
        <f t="shared" si="30"/>
        <v>3</v>
      </c>
      <c r="Z26" s="124">
        <f t="shared" si="30"/>
        <v>37.200000000000003</v>
      </c>
      <c r="AA26" s="287">
        <f>SUM(AA22:AA25)</f>
        <v>30.6</v>
      </c>
      <c r="AB26" s="125">
        <f t="shared" si="30"/>
        <v>9.6</v>
      </c>
    </row>
    <row r="27" spans="1:29" ht="20.25" customHeight="1" x14ac:dyDescent="0.35">
      <c r="A27" s="292" t="s">
        <v>40</v>
      </c>
      <c r="B27" s="295">
        <v>1149</v>
      </c>
      <c r="C27" s="34" t="s">
        <v>31</v>
      </c>
      <c r="D27" s="4">
        <v>20</v>
      </c>
      <c r="E27" s="30" t="s">
        <v>17</v>
      </c>
      <c r="F27" s="52">
        <v>0.4</v>
      </c>
      <c r="G27" s="5">
        <v>1</v>
      </c>
      <c r="H27" s="71">
        <f>+F27*B27</f>
        <v>459.6</v>
      </c>
      <c r="I27" s="67">
        <v>465</v>
      </c>
      <c r="J27" s="22">
        <f t="shared" ref="J27:J35" si="31">I27-H27</f>
        <v>5.3999999999999773</v>
      </c>
      <c r="K27" s="75">
        <f>1149*0.4</f>
        <v>459.6</v>
      </c>
      <c r="L27" s="9">
        <f t="shared" ref="L27:L35" si="32">+I27-K27</f>
        <v>5.3999999999999773</v>
      </c>
      <c r="M27" s="78">
        <v>60</v>
      </c>
      <c r="N27" s="21">
        <f>+K27-M27</f>
        <v>399.6</v>
      </c>
      <c r="O27" s="41">
        <f>+N27/B27</f>
        <v>0.34778067885117497</v>
      </c>
      <c r="P27" s="18">
        <f>+L27+M27</f>
        <v>65.399999999999977</v>
      </c>
      <c r="Q27" s="81">
        <v>60</v>
      </c>
      <c r="R27" s="3">
        <f>+P27-Q27</f>
        <v>5.3999999999999773</v>
      </c>
      <c r="S27" s="3">
        <f t="shared" ref="S27:S35" si="33">+R27*G27</f>
        <v>5.3999999999999773</v>
      </c>
      <c r="T27" s="3">
        <f t="shared" ref="T27:T35" si="34">+R27*D27</f>
        <v>107.99999999999955</v>
      </c>
      <c r="U27" s="6">
        <f>+R27/I27</f>
        <v>1.1612903225806402E-2</v>
      </c>
      <c r="W27" s="111">
        <f t="shared" si="8"/>
        <v>465</v>
      </c>
      <c r="X27" s="112">
        <f t="shared" si="9"/>
        <v>459.6</v>
      </c>
      <c r="Y27" s="112">
        <f t="shared" si="10"/>
        <v>5.3999999999999773</v>
      </c>
      <c r="Z27" s="112">
        <f t="shared" si="11"/>
        <v>60</v>
      </c>
      <c r="AA27" s="284">
        <f t="shared" si="12"/>
        <v>60</v>
      </c>
      <c r="AB27" s="113">
        <f t="shared" ref="AB27:AB35" si="35">+R27*G27</f>
        <v>5.3999999999999773</v>
      </c>
    </row>
    <row r="28" spans="1:29" ht="20.25" customHeight="1" x14ac:dyDescent="0.35">
      <c r="A28" s="293"/>
      <c r="B28" s="296"/>
      <c r="C28" s="35" t="s">
        <v>262</v>
      </c>
      <c r="D28" s="10">
        <v>65</v>
      </c>
      <c r="E28" s="31" t="s">
        <v>17</v>
      </c>
      <c r="F28" s="49">
        <v>0.08</v>
      </c>
      <c r="G28" s="11">
        <v>1</v>
      </c>
      <c r="H28" s="70">
        <f>+F28*B27</f>
        <v>91.92</v>
      </c>
      <c r="I28" s="68">
        <v>116</v>
      </c>
      <c r="J28" s="13">
        <f t="shared" si="31"/>
        <v>24.08</v>
      </c>
      <c r="K28" s="76">
        <v>114.9</v>
      </c>
      <c r="L28" s="9">
        <f t="shared" si="32"/>
        <v>1.0999999999999943</v>
      </c>
      <c r="M28" s="79">
        <v>8</v>
      </c>
      <c r="N28" s="23">
        <f t="shared" ref="N28:N35" si="36">+K28-M28</f>
        <v>106.9</v>
      </c>
      <c r="O28" s="42">
        <f>+N28/B27</f>
        <v>9.3037423846823328E-2</v>
      </c>
      <c r="P28" s="19">
        <f>+L28+M28</f>
        <v>9.0999999999999943</v>
      </c>
      <c r="Q28" s="82">
        <v>0</v>
      </c>
      <c r="R28" s="9">
        <f>+P28-Q28</f>
        <v>9.0999999999999943</v>
      </c>
      <c r="S28" s="9">
        <f t="shared" si="33"/>
        <v>9.0999999999999943</v>
      </c>
      <c r="T28" s="9">
        <f t="shared" si="34"/>
        <v>591.49999999999966</v>
      </c>
      <c r="U28" s="12">
        <f t="shared" ref="U28:U35" si="37">+R28/I28</f>
        <v>7.8448275862068914E-2</v>
      </c>
      <c r="W28" s="102">
        <f t="shared" si="8"/>
        <v>116</v>
      </c>
      <c r="X28" s="103">
        <f t="shared" si="9"/>
        <v>114.9</v>
      </c>
      <c r="Y28" s="103">
        <f t="shared" si="10"/>
        <v>1.0999999999999943</v>
      </c>
      <c r="Z28" s="103">
        <f t="shared" si="11"/>
        <v>8</v>
      </c>
      <c r="AA28" s="284">
        <f t="shared" si="12"/>
        <v>0</v>
      </c>
      <c r="AB28" s="104">
        <f t="shared" si="35"/>
        <v>9.0999999999999943</v>
      </c>
    </row>
    <row r="29" spans="1:29" ht="20.25" customHeight="1" x14ac:dyDescent="0.35">
      <c r="A29" s="293"/>
      <c r="B29" s="296"/>
      <c r="C29" s="35" t="s">
        <v>79</v>
      </c>
      <c r="D29" s="10">
        <v>130</v>
      </c>
      <c r="E29" s="31" t="s">
        <v>17</v>
      </c>
      <c r="F29" s="49">
        <v>0.05</v>
      </c>
      <c r="G29" s="11">
        <v>1</v>
      </c>
      <c r="H29" s="72">
        <f>+F29*B27</f>
        <v>57.45</v>
      </c>
      <c r="I29" s="68">
        <v>58</v>
      </c>
      <c r="J29" s="13">
        <f t="shared" si="31"/>
        <v>0.54999999999999716</v>
      </c>
      <c r="K29" s="76">
        <f>1149*0.05</f>
        <v>57.45</v>
      </c>
      <c r="L29" s="9">
        <f t="shared" si="32"/>
        <v>0.54999999999999716</v>
      </c>
      <c r="M29" s="79">
        <v>4</v>
      </c>
      <c r="N29" s="33">
        <f t="shared" si="36"/>
        <v>53.45</v>
      </c>
      <c r="O29" s="42">
        <f>+N29/B27</f>
        <v>4.6518711923411664E-2</v>
      </c>
      <c r="P29" s="19">
        <f>+L29+M29</f>
        <v>4.5499999999999972</v>
      </c>
      <c r="Q29" s="82">
        <v>0</v>
      </c>
      <c r="R29" s="9">
        <f t="shared" ref="R29:R35" si="38">+P29-Q29</f>
        <v>4.5499999999999972</v>
      </c>
      <c r="S29" s="9">
        <f t="shared" si="33"/>
        <v>4.5499999999999972</v>
      </c>
      <c r="T29" s="9">
        <f t="shared" si="34"/>
        <v>591.49999999999966</v>
      </c>
      <c r="U29" s="12">
        <f t="shared" si="37"/>
        <v>7.8448275862068914E-2</v>
      </c>
      <c r="W29" s="102">
        <f t="shared" si="8"/>
        <v>58</v>
      </c>
      <c r="X29" s="103">
        <f t="shared" si="9"/>
        <v>57.45</v>
      </c>
      <c r="Y29" s="103">
        <f t="shared" si="10"/>
        <v>0.54999999999999716</v>
      </c>
      <c r="Z29" s="103">
        <f t="shared" si="11"/>
        <v>4</v>
      </c>
      <c r="AA29" s="284">
        <f t="shared" si="12"/>
        <v>0</v>
      </c>
      <c r="AB29" s="104">
        <f t="shared" si="35"/>
        <v>4.5499999999999972</v>
      </c>
    </row>
    <row r="30" spans="1:29" ht="20.25" customHeight="1" x14ac:dyDescent="0.35">
      <c r="A30" s="293"/>
      <c r="B30" s="296"/>
      <c r="C30" s="35" t="s">
        <v>85</v>
      </c>
      <c r="D30" s="10">
        <v>55</v>
      </c>
      <c r="E30" s="31" t="s">
        <v>17</v>
      </c>
      <c r="F30" s="49">
        <v>0.08</v>
      </c>
      <c r="G30" s="11">
        <v>1</v>
      </c>
      <c r="H30" s="72">
        <f>+F30*B27</f>
        <v>91.92</v>
      </c>
      <c r="I30" s="68">
        <v>93</v>
      </c>
      <c r="J30" s="13">
        <f t="shared" si="31"/>
        <v>1.0799999999999983</v>
      </c>
      <c r="K30" s="76">
        <f>1149*0.08</f>
        <v>91.92</v>
      </c>
      <c r="L30" s="9">
        <f t="shared" si="32"/>
        <v>1.0799999999999983</v>
      </c>
      <c r="M30" s="79">
        <v>6</v>
      </c>
      <c r="N30" s="23">
        <f t="shared" si="36"/>
        <v>85.92</v>
      </c>
      <c r="O30" s="42">
        <f>+N30/B27</f>
        <v>7.4778067885117497E-2</v>
      </c>
      <c r="P30" s="19">
        <f t="shared" ref="P30:P35" si="39">+L30+M30</f>
        <v>7.0799999999999983</v>
      </c>
      <c r="Q30" s="82">
        <v>0</v>
      </c>
      <c r="R30" s="9">
        <f t="shared" si="38"/>
        <v>7.0799999999999983</v>
      </c>
      <c r="S30" s="9">
        <f t="shared" si="33"/>
        <v>7.0799999999999983</v>
      </c>
      <c r="T30" s="9">
        <f t="shared" si="34"/>
        <v>389.39999999999992</v>
      </c>
      <c r="U30" s="12">
        <f t="shared" si="37"/>
        <v>7.61290322580645E-2</v>
      </c>
      <c r="W30" s="102">
        <f t="shared" si="8"/>
        <v>93</v>
      </c>
      <c r="X30" s="103">
        <f t="shared" si="9"/>
        <v>91.92</v>
      </c>
      <c r="Y30" s="103">
        <f t="shared" si="10"/>
        <v>1.0799999999999983</v>
      </c>
      <c r="Z30" s="103">
        <f t="shared" si="11"/>
        <v>6</v>
      </c>
      <c r="AA30" s="284">
        <f t="shared" si="12"/>
        <v>0</v>
      </c>
      <c r="AB30" s="104">
        <f t="shared" si="35"/>
        <v>7.0799999999999983</v>
      </c>
    </row>
    <row r="31" spans="1:29" ht="20.25" customHeight="1" x14ac:dyDescent="0.35">
      <c r="A31" s="293"/>
      <c r="B31" s="296"/>
      <c r="C31" s="35" t="s">
        <v>32</v>
      </c>
      <c r="D31" s="10">
        <v>48</v>
      </c>
      <c r="E31" s="31" t="s">
        <v>18</v>
      </c>
      <c r="F31" s="49">
        <v>0.06</v>
      </c>
      <c r="G31" s="11">
        <v>1</v>
      </c>
      <c r="H31" s="72">
        <f>+F31*B27</f>
        <v>68.94</v>
      </c>
      <c r="I31" s="68">
        <v>70</v>
      </c>
      <c r="J31" s="13">
        <f t="shared" si="31"/>
        <v>1.0600000000000023</v>
      </c>
      <c r="K31" s="76">
        <f>1149*0.06</f>
        <v>68.94</v>
      </c>
      <c r="L31" s="9">
        <f t="shared" si="32"/>
        <v>1.0600000000000023</v>
      </c>
      <c r="M31" s="79">
        <v>6.5</v>
      </c>
      <c r="N31" s="33">
        <f t="shared" si="36"/>
        <v>62.44</v>
      </c>
      <c r="O31" s="42">
        <f>+N31/B27</f>
        <v>5.4342906875543946E-2</v>
      </c>
      <c r="P31" s="19">
        <f t="shared" si="39"/>
        <v>7.5600000000000023</v>
      </c>
      <c r="Q31" s="82">
        <v>0</v>
      </c>
      <c r="R31" s="9">
        <f t="shared" si="38"/>
        <v>7.5600000000000023</v>
      </c>
      <c r="S31" s="9">
        <f t="shared" si="33"/>
        <v>7.5600000000000023</v>
      </c>
      <c r="T31" s="9">
        <f t="shared" si="34"/>
        <v>362.88000000000011</v>
      </c>
      <c r="U31" s="12">
        <f t="shared" si="37"/>
        <v>0.10800000000000003</v>
      </c>
      <c r="W31" s="102">
        <f t="shared" si="8"/>
        <v>70</v>
      </c>
      <c r="X31" s="103">
        <f t="shared" si="9"/>
        <v>68.94</v>
      </c>
      <c r="Y31" s="103">
        <f t="shared" si="10"/>
        <v>1.0600000000000023</v>
      </c>
      <c r="Z31" s="103">
        <f t="shared" si="11"/>
        <v>6.5</v>
      </c>
      <c r="AA31" s="284">
        <f t="shared" si="12"/>
        <v>0</v>
      </c>
      <c r="AB31" s="104">
        <f t="shared" si="35"/>
        <v>7.5600000000000023</v>
      </c>
    </row>
    <row r="32" spans="1:29" ht="20.25" customHeight="1" x14ac:dyDescent="0.35">
      <c r="A32" s="293"/>
      <c r="B32" s="296"/>
      <c r="C32" s="35" t="s">
        <v>54</v>
      </c>
      <c r="D32" s="10">
        <v>35</v>
      </c>
      <c r="E32" s="31" t="s">
        <v>18</v>
      </c>
      <c r="F32" s="49">
        <v>0.06</v>
      </c>
      <c r="G32" s="11">
        <v>1</v>
      </c>
      <c r="H32" s="73">
        <f>+F32*B27</f>
        <v>68.94</v>
      </c>
      <c r="I32" s="68">
        <v>71</v>
      </c>
      <c r="J32" s="13">
        <f t="shared" si="31"/>
        <v>2.0600000000000023</v>
      </c>
      <c r="K32" s="76">
        <v>68.94</v>
      </c>
      <c r="L32" s="9">
        <f t="shared" si="32"/>
        <v>2.0600000000000023</v>
      </c>
      <c r="M32" s="79">
        <v>7</v>
      </c>
      <c r="N32" s="23">
        <f t="shared" si="36"/>
        <v>61.94</v>
      </c>
      <c r="O32" s="42">
        <f>+N32/B27</f>
        <v>5.3907745865970406E-2</v>
      </c>
      <c r="P32" s="19">
        <f t="shared" si="39"/>
        <v>9.0600000000000023</v>
      </c>
      <c r="Q32" s="82">
        <v>0</v>
      </c>
      <c r="R32" s="9">
        <f t="shared" si="38"/>
        <v>9.0600000000000023</v>
      </c>
      <c r="S32" s="9">
        <f t="shared" si="33"/>
        <v>9.0600000000000023</v>
      </c>
      <c r="T32" s="9">
        <f t="shared" si="34"/>
        <v>317.10000000000008</v>
      </c>
      <c r="U32" s="12">
        <f t="shared" si="37"/>
        <v>0.12760563380281692</v>
      </c>
      <c r="W32" s="102">
        <f t="shared" si="8"/>
        <v>71</v>
      </c>
      <c r="X32" s="103">
        <f t="shared" si="9"/>
        <v>68.94</v>
      </c>
      <c r="Y32" s="103">
        <f t="shared" si="10"/>
        <v>2.0600000000000023</v>
      </c>
      <c r="Z32" s="103">
        <f t="shared" si="11"/>
        <v>7</v>
      </c>
      <c r="AA32" s="284">
        <f t="shared" si="12"/>
        <v>0</v>
      </c>
      <c r="AB32" s="104">
        <f t="shared" si="35"/>
        <v>9.0600000000000023</v>
      </c>
    </row>
    <row r="33" spans="1:29" ht="20.25" customHeight="1" x14ac:dyDescent="0.35">
      <c r="A33" s="293"/>
      <c r="B33" s="296"/>
      <c r="C33" s="35" t="s">
        <v>33</v>
      </c>
      <c r="D33" s="10">
        <v>50</v>
      </c>
      <c r="E33" s="31" t="s">
        <v>17</v>
      </c>
      <c r="F33" s="49">
        <v>0.03</v>
      </c>
      <c r="G33" s="11">
        <v>1</v>
      </c>
      <c r="H33" s="72">
        <f>+F33*B27</f>
        <v>34.47</v>
      </c>
      <c r="I33" s="68">
        <v>32</v>
      </c>
      <c r="J33" s="13">
        <f t="shared" si="31"/>
        <v>-2.4699999999999989</v>
      </c>
      <c r="K33" s="76">
        <f>1074*0.03</f>
        <v>32.22</v>
      </c>
      <c r="L33" s="9">
        <f t="shared" si="32"/>
        <v>-0.21999999999999886</v>
      </c>
      <c r="M33" s="79">
        <v>4</v>
      </c>
      <c r="N33" s="23">
        <f t="shared" si="36"/>
        <v>28.22</v>
      </c>
      <c r="O33" s="42">
        <f>+N33/B27</f>
        <v>2.4560487380330721E-2</v>
      </c>
      <c r="P33" s="19">
        <f t="shared" si="39"/>
        <v>3.7800000000000011</v>
      </c>
      <c r="Q33" s="82">
        <v>0</v>
      </c>
      <c r="R33" s="9">
        <f t="shared" si="38"/>
        <v>3.7800000000000011</v>
      </c>
      <c r="S33" s="9">
        <f t="shared" si="33"/>
        <v>3.7800000000000011</v>
      </c>
      <c r="T33" s="9">
        <f t="shared" si="34"/>
        <v>189.00000000000006</v>
      </c>
      <c r="U33" s="12">
        <f t="shared" si="37"/>
        <v>0.11812500000000004</v>
      </c>
      <c r="W33" s="102">
        <f t="shared" si="8"/>
        <v>32</v>
      </c>
      <c r="X33" s="103">
        <f t="shared" si="9"/>
        <v>32.22</v>
      </c>
      <c r="Y33" s="103">
        <f t="shared" si="10"/>
        <v>-0.21999999999999886</v>
      </c>
      <c r="Z33" s="103">
        <f t="shared" si="11"/>
        <v>4</v>
      </c>
      <c r="AA33" s="284">
        <f t="shared" si="12"/>
        <v>0</v>
      </c>
      <c r="AB33" s="104">
        <f t="shared" si="35"/>
        <v>3.7800000000000011</v>
      </c>
    </row>
    <row r="34" spans="1:29" ht="20.25" customHeight="1" x14ac:dyDescent="0.35">
      <c r="A34" s="293"/>
      <c r="B34" s="296"/>
      <c r="C34" s="35" t="s">
        <v>34</v>
      </c>
      <c r="D34" s="31">
        <v>70</v>
      </c>
      <c r="E34" s="31" t="s">
        <v>17</v>
      </c>
      <c r="F34" s="11">
        <v>0.1</v>
      </c>
      <c r="G34" s="11">
        <v>1</v>
      </c>
      <c r="H34" s="72">
        <f>+F34*B27</f>
        <v>114.9</v>
      </c>
      <c r="I34" s="68">
        <v>115</v>
      </c>
      <c r="J34" s="13">
        <f t="shared" si="31"/>
        <v>9.9999999999994316E-2</v>
      </c>
      <c r="K34" s="76">
        <v>114.9</v>
      </c>
      <c r="L34" s="9">
        <f t="shared" si="32"/>
        <v>9.9999999999994316E-2</v>
      </c>
      <c r="M34" s="79">
        <v>0</v>
      </c>
      <c r="N34" s="23">
        <f t="shared" si="36"/>
        <v>114.9</v>
      </c>
      <c r="O34" s="42">
        <f>+N34/B27</f>
        <v>0.1</v>
      </c>
      <c r="P34" s="19">
        <f t="shared" si="39"/>
        <v>9.9999999999994316E-2</v>
      </c>
      <c r="Q34" s="82">
        <v>0</v>
      </c>
      <c r="R34" s="9">
        <f t="shared" si="38"/>
        <v>9.9999999999994316E-2</v>
      </c>
      <c r="S34" s="9">
        <f t="shared" si="33"/>
        <v>9.9999999999994316E-2</v>
      </c>
      <c r="T34" s="9">
        <f t="shared" si="34"/>
        <v>6.9999999999996021</v>
      </c>
      <c r="U34" s="12">
        <f t="shared" si="37"/>
        <v>8.6956521739125494E-4</v>
      </c>
      <c r="W34" s="102">
        <f t="shared" si="8"/>
        <v>115</v>
      </c>
      <c r="X34" s="103">
        <f t="shared" si="9"/>
        <v>114.9</v>
      </c>
      <c r="Y34" s="103">
        <f t="shared" si="10"/>
        <v>9.9999999999994316E-2</v>
      </c>
      <c r="Z34" s="103">
        <f t="shared" si="11"/>
        <v>0</v>
      </c>
      <c r="AA34" s="284">
        <f t="shared" si="12"/>
        <v>0</v>
      </c>
      <c r="AB34" s="104">
        <f t="shared" si="35"/>
        <v>9.9999999999994316E-2</v>
      </c>
    </row>
    <row r="35" spans="1:29" ht="20.25" customHeight="1" x14ac:dyDescent="0.35">
      <c r="A35" s="294"/>
      <c r="B35" s="297"/>
      <c r="C35" s="40" t="s">
        <v>35</v>
      </c>
      <c r="D35" s="44">
        <v>2</v>
      </c>
      <c r="E35" s="44" t="s">
        <v>16</v>
      </c>
      <c r="F35" s="53">
        <v>2</v>
      </c>
      <c r="G35" s="45">
        <v>0.04</v>
      </c>
      <c r="H35" s="72">
        <f>+F35*B27</f>
        <v>2298</v>
      </c>
      <c r="I35" s="68">
        <v>2310</v>
      </c>
      <c r="J35" s="13">
        <f t="shared" si="31"/>
        <v>12</v>
      </c>
      <c r="K35" s="76">
        <f>1149*2</f>
        <v>2298</v>
      </c>
      <c r="L35" s="9">
        <f t="shared" si="32"/>
        <v>12</v>
      </c>
      <c r="M35" s="79">
        <v>60</v>
      </c>
      <c r="N35" s="33">
        <f t="shared" si="36"/>
        <v>2238</v>
      </c>
      <c r="O35" s="42">
        <f>+N35/B27</f>
        <v>1.9477806788511749</v>
      </c>
      <c r="P35" s="19">
        <f t="shared" si="39"/>
        <v>72</v>
      </c>
      <c r="Q35" s="82">
        <v>0</v>
      </c>
      <c r="R35" s="9">
        <f t="shared" si="38"/>
        <v>72</v>
      </c>
      <c r="S35" s="9">
        <f t="shared" si="33"/>
        <v>2.88</v>
      </c>
      <c r="T35" s="9">
        <f t="shared" si="34"/>
        <v>144</v>
      </c>
      <c r="U35" s="12">
        <f t="shared" si="37"/>
        <v>3.1168831168831169E-2</v>
      </c>
      <c r="W35" s="105">
        <f t="shared" si="8"/>
        <v>92.4</v>
      </c>
      <c r="X35" s="106">
        <f t="shared" si="9"/>
        <v>91.92</v>
      </c>
      <c r="Y35" s="106">
        <f t="shared" si="10"/>
        <v>0.48</v>
      </c>
      <c r="Z35" s="106">
        <f t="shared" si="11"/>
        <v>2.4</v>
      </c>
      <c r="AA35" s="284">
        <f t="shared" si="12"/>
        <v>0</v>
      </c>
      <c r="AB35" s="107">
        <f t="shared" si="35"/>
        <v>2.88</v>
      </c>
    </row>
    <row r="36" spans="1:29" ht="23.25" customHeight="1" thickBot="1" x14ac:dyDescent="0.4">
      <c r="A36" s="27"/>
      <c r="B36" s="57"/>
      <c r="C36" s="29"/>
      <c r="D36" s="15"/>
      <c r="E36" s="15"/>
      <c r="F36" s="15"/>
      <c r="G36" s="15"/>
      <c r="H36" s="14"/>
      <c r="I36" s="15"/>
      <c r="J36" s="16"/>
      <c r="K36" s="14"/>
      <c r="L36" s="15"/>
      <c r="M36" s="16"/>
      <c r="N36" s="14"/>
      <c r="O36" s="16"/>
      <c r="P36" s="20"/>
      <c r="Q36" s="15"/>
      <c r="R36" s="15"/>
      <c r="S36" s="56">
        <f>SUM(S27:S35)</f>
        <v>49.50999999999997</v>
      </c>
      <c r="T36" s="56">
        <f>SUM(T27:T35)</f>
        <v>2700.3799999999983</v>
      </c>
      <c r="U36" s="16"/>
      <c r="W36" s="122">
        <f>SUM(W27:W35)</f>
        <v>1112.4000000000001</v>
      </c>
      <c r="X36" s="109">
        <f t="shared" ref="X36:AB36" si="40">SUM(X27:X35)</f>
        <v>1100.79</v>
      </c>
      <c r="Y36" s="109">
        <f t="shared" si="40"/>
        <v>11.609999999999967</v>
      </c>
      <c r="Z36" s="110">
        <f t="shared" si="40"/>
        <v>97.9</v>
      </c>
      <c r="AA36" s="285">
        <f>SUM(AA27:AA35)</f>
        <v>60</v>
      </c>
      <c r="AB36" s="288">
        <f t="shared" si="40"/>
        <v>49.50999999999997</v>
      </c>
      <c r="AC36" s="94"/>
    </row>
    <row r="37" spans="1:29" ht="31.5" customHeight="1" thickBot="1" x14ac:dyDescent="0.4">
      <c r="A37" s="58" t="s">
        <v>42</v>
      </c>
      <c r="B37" s="32">
        <f>+B4+B12+B22+B27</f>
        <v>6142</v>
      </c>
      <c r="C37" s="29"/>
      <c r="D37" s="15"/>
      <c r="E37" s="15"/>
      <c r="F37" s="15"/>
      <c r="G37" s="15"/>
      <c r="H37" s="14"/>
      <c r="I37" s="15"/>
      <c r="J37" s="16"/>
      <c r="K37" s="14"/>
      <c r="L37" s="15"/>
      <c r="M37" s="16"/>
      <c r="N37" s="14"/>
      <c r="O37" s="16"/>
      <c r="P37" s="20"/>
      <c r="Q37" s="15"/>
      <c r="R37" s="17"/>
      <c r="S37" s="85">
        <f>+S36+S26+S21+S11</f>
        <v>221.72999999999996</v>
      </c>
      <c r="T37" s="85">
        <f>+T36+T26+T21+T11</f>
        <v>11587.859999999997</v>
      </c>
      <c r="U37" s="62"/>
      <c r="W37" s="108">
        <f>+W11+W21+W26+W36</f>
        <v>5949.25</v>
      </c>
      <c r="X37" s="119">
        <f t="shared" ref="X37:AB37" si="41">+X11+X21+X26+X36</f>
        <v>5911.92</v>
      </c>
      <c r="Y37" s="119">
        <f t="shared" si="41"/>
        <v>37.32999999999997</v>
      </c>
      <c r="Z37" s="121">
        <f>+Z11+Z21+Z26+Z36</f>
        <v>320</v>
      </c>
      <c r="AA37" s="121">
        <f>+AA11+AA21+AA26+AA36</f>
        <v>135.6</v>
      </c>
      <c r="AB37" s="120">
        <f t="shared" si="41"/>
        <v>221.72999999999996</v>
      </c>
      <c r="AC37" s="94"/>
    </row>
    <row r="38" spans="1:29" x14ac:dyDescent="0.35">
      <c r="B38" s="59"/>
      <c r="Y38" s="63"/>
    </row>
    <row r="39" spans="1:29" ht="15" thickBot="1" x14ac:dyDescent="0.4">
      <c r="W39" s="63"/>
      <c r="X39" s="63"/>
      <c r="Y39" s="63"/>
      <c r="Z39" s="63"/>
      <c r="AA39" s="63"/>
    </row>
    <row r="40" spans="1:29" ht="23.25" customHeight="1" x14ac:dyDescent="0.35">
      <c r="A40" s="271"/>
      <c r="B40" s="271"/>
      <c r="C40" s="271"/>
      <c r="D40" s="271"/>
      <c r="E40" s="271"/>
      <c r="F40" s="271"/>
      <c r="S40" s="298" t="s">
        <v>263</v>
      </c>
      <c r="T40" s="299"/>
      <c r="U40" s="299"/>
      <c r="V40" s="299"/>
      <c r="W40" s="299"/>
      <c r="X40" s="299"/>
      <c r="Y40" s="299"/>
      <c r="Z40" s="299"/>
      <c r="AA40" s="299"/>
      <c r="AB40" s="300"/>
    </row>
    <row r="41" spans="1:29" ht="45.75" customHeight="1" x14ac:dyDescent="0.35">
      <c r="A41" s="255"/>
      <c r="B41" s="255"/>
      <c r="C41" s="255"/>
      <c r="D41" s="260"/>
      <c r="E41" s="260"/>
      <c r="F41" s="261"/>
      <c r="O41" s="255"/>
      <c r="P41" s="255"/>
      <c r="S41" s="7" t="s">
        <v>6</v>
      </c>
      <c r="T41" s="8" t="s">
        <v>7</v>
      </c>
      <c r="U41" s="60" t="s">
        <v>241</v>
      </c>
      <c r="V41" s="60" t="s">
        <v>242</v>
      </c>
      <c r="W41" s="60" t="s">
        <v>243</v>
      </c>
      <c r="X41" s="60" t="s">
        <v>244</v>
      </c>
      <c r="Y41" s="60" t="s">
        <v>234</v>
      </c>
      <c r="Z41" s="60" t="s">
        <v>164</v>
      </c>
      <c r="AA41" s="60" t="s">
        <v>165</v>
      </c>
      <c r="AB41" s="61" t="s">
        <v>166</v>
      </c>
    </row>
    <row r="42" spans="1:29" ht="31.5" customHeight="1" x14ac:dyDescent="0.35">
      <c r="A42" s="262"/>
      <c r="B42" s="263"/>
      <c r="C42" s="264"/>
      <c r="D42" s="264"/>
      <c r="E42" s="265"/>
      <c r="F42" s="266"/>
      <c r="O42" s="256"/>
      <c r="P42" s="256"/>
      <c r="S42" s="91" t="s">
        <v>47</v>
      </c>
      <c r="T42" s="35">
        <f>+B4</f>
        <v>1829</v>
      </c>
      <c r="U42" s="254">
        <f t="shared" ref="U42:Z42" si="42">+W11</f>
        <v>1380.25</v>
      </c>
      <c r="V42" s="254">
        <f t="shared" si="42"/>
        <v>1371.75</v>
      </c>
      <c r="W42" s="254">
        <f t="shared" si="42"/>
        <v>8.5000000000000107</v>
      </c>
      <c r="X42" s="254">
        <f t="shared" si="42"/>
        <v>70.900000000000006</v>
      </c>
      <c r="Y42" s="291">
        <f t="shared" si="42"/>
        <v>0</v>
      </c>
      <c r="Z42" s="254">
        <f t="shared" si="42"/>
        <v>79.400000000000006</v>
      </c>
      <c r="AA42" s="95">
        <f>+Z42/T42</f>
        <v>4.3411700382722802E-2</v>
      </c>
      <c r="AB42" s="253">
        <f>+Z42/U42</f>
        <v>5.7525810541568557E-2</v>
      </c>
    </row>
    <row r="43" spans="1:29" ht="31.5" customHeight="1" x14ac:dyDescent="0.35">
      <c r="A43" s="262"/>
      <c r="B43" s="263"/>
      <c r="C43" s="263"/>
      <c r="D43" s="264"/>
      <c r="E43" s="265"/>
      <c r="F43" s="266"/>
      <c r="O43" s="256"/>
      <c r="P43" s="256"/>
      <c r="Q43" s="133"/>
      <c r="R43" s="134"/>
      <c r="S43" s="91" t="s">
        <v>48</v>
      </c>
      <c r="T43" s="35">
        <f>+B12</f>
        <v>1594</v>
      </c>
      <c r="U43" s="254">
        <f t="shared" ref="U43:Z43" si="43">+W21</f>
        <v>1560.4</v>
      </c>
      <c r="V43" s="254">
        <f t="shared" si="43"/>
        <v>1546.18</v>
      </c>
      <c r="W43" s="254">
        <f t="shared" si="43"/>
        <v>14.219999999999988</v>
      </c>
      <c r="X43" s="254">
        <f t="shared" si="43"/>
        <v>114</v>
      </c>
      <c r="Y43" s="291">
        <f t="shared" si="43"/>
        <v>45</v>
      </c>
      <c r="Z43" s="254">
        <f t="shared" si="43"/>
        <v>83.219999999999985</v>
      </c>
      <c r="AA43" s="95">
        <f>+Z43/T43</f>
        <v>5.220828105395231E-2</v>
      </c>
      <c r="AB43" s="253">
        <f>+Z43/U43</f>
        <v>5.3332478851576506E-2</v>
      </c>
    </row>
    <row r="44" spans="1:29" ht="31.5" customHeight="1" x14ac:dyDescent="0.35">
      <c r="A44" s="262"/>
      <c r="B44" s="263"/>
      <c r="C44" s="263"/>
      <c r="D44" s="264"/>
      <c r="E44" s="265"/>
      <c r="F44" s="266"/>
      <c r="O44" s="256"/>
      <c r="P44" s="256"/>
      <c r="S44" s="91" t="s">
        <v>49</v>
      </c>
      <c r="T44" s="35">
        <f>+B22</f>
        <v>1570</v>
      </c>
      <c r="U44" s="254">
        <f t="shared" ref="U44:Z44" si="44">+W26</f>
        <v>1896.2</v>
      </c>
      <c r="V44" s="254">
        <f t="shared" si="44"/>
        <v>1893.2</v>
      </c>
      <c r="W44" s="254">
        <f t="shared" si="44"/>
        <v>3</v>
      </c>
      <c r="X44" s="254">
        <f t="shared" si="44"/>
        <v>37.200000000000003</v>
      </c>
      <c r="Y44" s="291">
        <f t="shared" si="44"/>
        <v>30.6</v>
      </c>
      <c r="Z44" s="254">
        <f t="shared" si="44"/>
        <v>9.6</v>
      </c>
      <c r="AA44" s="95">
        <f>+Z44/T44</f>
        <v>6.1146496815286623E-3</v>
      </c>
      <c r="AB44" s="253">
        <f>+Z44/U44</f>
        <v>5.0627570931336355E-3</v>
      </c>
    </row>
    <row r="45" spans="1:29" ht="31.5" customHeight="1" x14ac:dyDescent="0.35">
      <c r="A45" s="262"/>
      <c r="B45" s="263"/>
      <c r="C45" s="264"/>
      <c r="D45" s="264"/>
      <c r="E45" s="265"/>
      <c r="F45" s="266"/>
      <c r="O45" s="256"/>
      <c r="P45" s="256"/>
      <c r="S45" s="91" t="s">
        <v>50</v>
      </c>
      <c r="T45" s="35">
        <f>+B27</f>
        <v>1149</v>
      </c>
      <c r="U45" s="254">
        <f t="shared" ref="U45:Z45" si="45">+W36</f>
        <v>1112.4000000000001</v>
      </c>
      <c r="V45" s="254">
        <f t="shared" si="45"/>
        <v>1100.79</v>
      </c>
      <c r="W45" s="254">
        <f t="shared" si="45"/>
        <v>11.609999999999967</v>
      </c>
      <c r="X45" s="254">
        <f t="shared" si="45"/>
        <v>97.9</v>
      </c>
      <c r="Y45" s="291">
        <f t="shared" si="45"/>
        <v>60</v>
      </c>
      <c r="Z45" s="254">
        <f t="shared" si="45"/>
        <v>49.50999999999997</v>
      </c>
      <c r="AA45" s="95">
        <f>+Z45/T45</f>
        <v>4.3089643167972126E-2</v>
      </c>
      <c r="AB45" s="253">
        <f>+Z45/U45</f>
        <v>4.4507371449118989E-2</v>
      </c>
    </row>
    <row r="46" spans="1:29" ht="31.5" customHeight="1" thickBot="1" x14ac:dyDescent="0.4">
      <c r="A46" s="267"/>
      <c r="B46" s="268"/>
      <c r="C46" s="268"/>
      <c r="D46" s="269"/>
      <c r="E46" s="270"/>
      <c r="F46" s="266"/>
      <c r="G46" s="259"/>
      <c r="O46" s="257"/>
      <c r="P46" s="257"/>
      <c r="S46" s="93" t="s">
        <v>51</v>
      </c>
      <c r="T46" s="96">
        <f>SUM(T42:T45)</f>
        <v>6142</v>
      </c>
      <c r="U46" s="272">
        <f>SUM(U42:U45)</f>
        <v>5949.25</v>
      </c>
      <c r="V46" s="272">
        <f t="shared" ref="V46:Z46" si="46">SUM(V42:V45)</f>
        <v>5911.92</v>
      </c>
      <c r="W46" s="272">
        <f t="shared" si="46"/>
        <v>37.32999999999997</v>
      </c>
      <c r="X46" s="272">
        <f t="shared" si="46"/>
        <v>320</v>
      </c>
      <c r="Y46" s="272">
        <f t="shared" si="46"/>
        <v>135.6</v>
      </c>
      <c r="Z46" s="272">
        <f t="shared" si="46"/>
        <v>221.72999999999996</v>
      </c>
      <c r="AA46" s="273">
        <f>+Z46/T46</f>
        <v>3.6100618690980128E-2</v>
      </c>
      <c r="AB46" s="274">
        <f>+Z46/U46</f>
        <v>3.727024414842206E-2</v>
      </c>
    </row>
    <row r="47" spans="1:29" x14ac:dyDescent="0.35">
      <c r="S47" s="290" t="s">
        <v>236</v>
      </c>
      <c r="T47" s="262">
        <v>410</v>
      </c>
      <c r="U47">
        <v>368</v>
      </c>
    </row>
    <row r="48" spans="1:29" x14ac:dyDescent="0.35">
      <c r="T48" s="262">
        <f>+T46+T47</f>
        <v>6552</v>
      </c>
      <c r="U48" s="63">
        <f>+U47+U46</f>
        <v>6317.25</v>
      </c>
    </row>
  </sheetData>
  <mergeCells count="15">
    <mergeCell ref="A27:A35"/>
    <mergeCell ref="B27:B35"/>
    <mergeCell ref="S40:AB40"/>
    <mergeCell ref="A4:A10"/>
    <mergeCell ref="B4:B10"/>
    <mergeCell ref="A12:A20"/>
    <mergeCell ref="B12:B20"/>
    <mergeCell ref="A22:A25"/>
    <mergeCell ref="B22:B25"/>
    <mergeCell ref="P2:U2"/>
    <mergeCell ref="A1:F1"/>
    <mergeCell ref="A2:G2"/>
    <mergeCell ref="H2:J2"/>
    <mergeCell ref="K2:M2"/>
    <mergeCell ref="N2:O2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3BBCA-8F1E-4DAA-9B74-56865AC67833}">
  <dimension ref="A1:AC48"/>
  <sheetViews>
    <sheetView zoomScaleNormal="100" workbookViewId="0">
      <pane xSplit="7" ySplit="3" topLeftCell="H4" activePane="bottomRight" state="frozen"/>
      <selection pane="topRight" activeCell="H1" sqref="H1"/>
      <selection pane="bottomLeft" activeCell="A4" sqref="A4"/>
      <selection pane="bottomRight" activeCell="J20" sqref="J20"/>
    </sheetView>
  </sheetViews>
  <sheetFormatPr defaultRowHeight="14.5" x14ac:dyDescent="0.35"/>
  <cols>
    <col min="1" max="1" width="11" customWidth="1"/>
    <col min="2" max="2" width="7.81640625" customWidth="1"/>
    <col min="3" max="3" width="20" customWidth="1"/>
    <col min="4" max="4" width="9.1796875" customWidth="1"/>
    <col min="5" max="5" width="9.26953125" customWidth="1"/>
    <col min="6" max="6" width="10" customWidth="1"/>
    <col min="7" max="7" width="8.1796875" customWidth="1"/>
    <col min="8" max="8" width="12.54296875" customWidth="1"/>
    <col min="9" max="9" width="12.453125" customWidth="1"/>
    <col min="10" max="10" width="11" customWidth="1"/>
    <col min="11" max="11" width="9.453125" customWidth="1"/>
    <col min="12" max="12" width="11" customWidth="1"/>
    <col min="13" max="13" width="13.54296875" customWidth="1"/>
    <col min="14" max="14" width="14.81640625" customWidth="1"/>
    <col min="15" max="15" width="16" customWidth="1"/>
    <col min="16" max="16" width="11.26953125" customWidth="1"/>
    <col min="17" max="18" width="9.54296875" customWidth="1"/>
    <col min="19" max="19" width="12.54296875" customWidth="1"/>
    <col min="20" max="20" width="9.453125" customWidth="1"/>
    <col min="21" max="21" width="12.7265625" customWidth="1"/>
    <col min="22" max="22" width="10" customWidth="1"/>
    <col min="23" max="23" width="12.26953125" customWidth="1"/>
    <col min="24" max="24" width="11" customWidth="1"/>
    <col min="25" max="25" width="10.54296875" customWidth="1"/>
    <col min="26" max="26" width="11.26953125" customWidth="1"/>
    <col min="27" max="27" width="9.81640625" customWidth="1"/>
    <col min="28" max="28" width="11.26953125" customWidth="1"/>
  </cols>
  <sheetData>
    <row r="1" spans="1:29" ht="22.5" customHeight="1" thickBot="1" x14ac:dyDescent="0.4">
      <c r="A1" s="308" t="s">
        <v>36</v>
      </c>
      <c r="B1" s="309"/>
      <c r="C1" s="309"/>
      <c r="D1" s="309"/>
      <c r="E1" s="309"/>
      <c r="F1" s="310"/>
    </row>
    <row r="2" spans="1:29" ht="22.5" customHeight="1" thickBot="1" x14ac:dyDescent="0.4">
      <c r="A2" s="311" t="s">
        <v>264</v>
      </c>
      <c r="B2" s="312"/>
      <c r="C2" s="312"/>
      <c r="D2" s="312"/>
      <c r="E2" s="312"/>
      <c r="F2" s="312"/>
      <c r="G2" s="313"/>
      <c r="H2" s="314" t="s">
        <v>22</v>
      </c>
      <c r="I2" s="315"/>
      <c r="J2" s="316"/>
      <c r="K2" s="317" t="s">
        <v>23</v>
      </c>
      <c r="L2" s="318"/>
      <c r="M2" s="319"/>
      <c r="N2" s="320" t="s">
        <v>24</v>
      </c>
      <c r="O2" s="321"/>
      <c r="P2" s="305" t="s">
        <v>25</v>
      </c>
      <c r="Q2" s="306"/>
      <c r="R2" s="306"/>
      <c r="S2" s="306"/>
      <c r="T2" s="306"/>
      <c r="U2" s="307"/>
      <c r="W2" s="280" t="s">
        <v>43</v>
      </c>
      <c r="X2" s="281"/>
      <c r="Y2" s="281"/>
      <c r="Z2" s="281"/>
      <c r="AA2" s="283"/>
      <c r="AB2" s="282"/>
    </row>
    <row r="3" spans="1:29" ht="58.5" thickBot="1" x14ac:dyDescent="0.4">
      <c r="A3" s="39" t="s">
        <v>6</v>
      </c>
      <c r="B3" s="38" t="s">
        <v>7</v>
      </c>
      <c r="C3" s="38" t="s">
        <v>0</v>
      </c>
      <c r="D3" s="37" t="s">
        <v>15</v>
      </c>
      <c r="E3" s="38" t="s">
        <v>1</v>
      </c>
      <c r="F3" s="36" t="s">
        <v>27</v>
      </c>
      <c r="G3" s="37" t="s">
        <v>19</v>
      </c>
      <c r="H3" s="25" t="s">
        <v>4</v>
      </c>
      <c r="I3" s="89" t="s">
        <v>44</v>
      </c>
      <c r="J3" s="26" t="s">
        <v>29</v>
      </c>
      <c r="K3" s="88" t="s">
        <v>3</v>
      </c>
      <c r="L3" s="1" t="s">
        <v>28</v>
      </c>
      <c r="M3" s="87" t="s">
        <v>5</v>
      </c>
      <c r="N3" s="25" t="s">
        <v>20</v>
      </c>
      <c r="O3" s="275" t="s">
        <v>226</v>
      </c>
      <c r="P3" s="24" t="s">
        <v>8</v>
      </c>
      <c r="Q3" s="86" t="s">
        <v>9</v>
      </c>
      <c r="R3" s="2" t="s">
        <v>10</v>
      </c>
      <c r="S3" s="1" t="s">
        <v>26</v>
      </c>
      <c r="T3" s="1" t="s">
        <v>11</v>
      </c>
      <c r="U3" s="1" t="s">
        <v>30</v>
      </c>
      <c r="W3" s="43" t="s">
        <v>2</v>
      </c>
      <c r="X3" s="60" t="s">
        <v>3</v>
      </c>
      <c r="Y3" s="60" t="s">
        <v>28</v>
      </c>
      <c r="Z3" s="60" t="s">
        <v>5</v>
      </c>
      <c r="AA3" s="60" t="s">
        <v>233</v>
      </c>
      <c r="AB3" s="61" t="s">
        <v>26</v>
      </c>
    </row>
    <row r="4" spans="1:29" ht="20.25" customHeight="1" x14ac:dyDescent="0.35">
      <c r="A4" s="301" t="s">
        <v>37</v>
      </c>
      <c r="B4" s="303">
        <v>840</v>
      </c>
      <c r="C4" s="34" t="s">
        <v>55</v>
      </c>
      <c r="D4" s="4">
        <v>2</v>
      </c>
      <c r="E4" s="30" t="s">
        <v>16</v>
      </c>
      <c r="F4" s="47">
        <v>2</v>
      </c>
      <c r="G4" s="5">
        <v>0.05</v>
      </c>
      <c r="H4" s="71">
        <f>+F4*B4</f>
        <v>1680</v>
      </c>
      <c r="I4" s="67">
        <v>1690</v>
      </c>
      <c r="J4" s="64">
        <f>I4-H4</f>
        <v>10</v>
      </c>
      <c r="K4" s="75">
        <f>840*2</f>
        <v>1680</v>
      </c>
      <c r="L4" s="127">
        <f>+I4-K4</f>
        <v>10</v>
      </c>
      <c r="M4" s="78">
        <v>85</v>
      </c>
      <c r="N4" s="128">
        <f>+K4-M4</f>
        <v>1595</v>
      </c>
      <c r="O4" s="64">
        <f>+N4/B4</f>
        <v>1.8988095238095237</v>
      </c>
      <c r="P4" s="18">
        <f>+L4+M4</f>
        <v>95</v>
      </c>
      <c r="Q4" s="81">
        <v>60</v>
      </c>
      <c r="R4" s="3">
        <f t="shared" ref="R4:R10" si="0">+P4-Q4</f>
        <v>35</v>
      </c>
      <c r="S4" s="3">
        <f t="shared" ref="S4:S10" si="1">+R4*G4</f>
        <v>1.75</v>
      </c>
      <c r="T4" s="3">
        <f t="shared" ref="T4:T10" si="2">+R4*D4</f>
        <v>70</v>
      </c>
      <c r="U4" s="6">
        <f>+R4/I4</f>
        <v>2.0710059171597635E-2</v>
      </c>
      <c r="W4" s="102">
        <f>+I4*G4</f>
        <v>84.5</v>
      </c>
      <c r="X4" s="103">
        <f>+K4*G4</f>
        <v>84</v>
      </c>
      <c r="Y4" s="103">
        <f>+L4*G4</f>
        <v>0.5</v>
      </c>
      <c r="Z4" s="103">
        <f>+M4*G4</f>
        <v>4.25</v>
      </c>
      <c r="AA4" s="284">
        <f>+Q4*G4</f>
        <v>3</v>
      </c>
      <c r="AB4" s="104">
        <f t="shared" ref="AB4:AB10" si="3">+R4*G4</f>
        <v>1.75</v>
      </c>
    </row>
    <row r="5" spans="1:29" ht="20.25" customHeight="1" x14ac:dyDescent="0.35">
      <c r="A5" s="302"/>
      <c r="B5" s="304"/>
      <c r="C5" s="35" t="s">
        <v>266</v>
      </c>
      <c r="D5" s="10">
        <v>4</v>
      </c>
      <c r="E5" s="31" t="s">
        <v>16</v>
      </c>
      <c r="F5" s="48">
        <v>2</v>
      </c>
      <c r="G5" s="11">
        <v>0.05</v>
      </c>
      <c r="H5" s="70">
        <f>+F5*B4</f>
        <v>1680</v>
      </c>
      <c r="I5" s="68">
        <v>1680</v>
      </c>
      <c r="J5" s="13">
        <f t="shared" ref="J5:J10" si="4">I5-H5</f>
        <v>0</v>
      </c>
      <c r="K5" s="76">
        <v>1680</v>
      </c>
      <c r="L5" s="9">
        <f t="shared" ref="L5:L10" si="5">+I5-K5</f>
        <v>0</v>
      </c>
      <c r="M5" s="79">
        <v>40</v>
      </c>
      <c r="N5" s="23">
        <f t="shared" ref="N5:N10" si="6">+K5-M5</f>
        <v>1640</v>
      </c>
      <c r="O5" s="65">
        <f>+N5/B4</f>
        <v>1.9523809523809523</v>
      </c>
      <c r="P5" s="19">
        <f>+L5+M5</f>
        <v>40</v>
      </c>
      <c r="Q5" s="82">
        <v>20</v>
      </c>
      <c r="R5" s="9">
        <f t="shared" si="0"/>
        <v>20</v>
      </c>
      <c r="S5" s="9">
        <f>+R5*G5</f>
        <v>1</v>
      </c>
      <c r="T5" s="9">
        <f t="shared" si="2"/>
        <v>80</v>
      </c>
      <c r="U5" s="12">
        <f t="shared" ref="U5:U9" si="7">+R5/I5</f>
        <v>1.1904761904761904E-2</v>
      </c>
      <c r="W5" s="102">
        <f t="shared" ref="W5:W35" si="8">+I5*G5</f>
        <v>84</v>
      </c>
      <c r="X5" s="103">
        <f t="shared" ref="X5:X35" si="9">+K5*G5</f>
        <v>84</v>
      </c>
      <c r="Y5" s="103">
        <f t="shared" ref="Y5:Y35" si="10">+L5*G5</f>
        <v>0</v>
      </c>
      <c r="Z5" s="103">
        <f t="shared" ref="Z5:Z35" si="11">+M5*G5</f>
        <v>2</v>
      </c>
      <c r="AA5" s="284">
        <f t="shared" ref="AA5:AA35" si="12">+Q5*G5</f>
        <v>1</v>
      </c>
      <c r="AB5" s="104">
        <f t="shared" si="3"/>
        <v>1</v>
      </c>
    </row>
    <row r="6" spans="1:29" ht="20.25" customHeight="1" x14ac:dyDescent="0.35">
      <c r="A6" s="302"/>
      <c r="B6" s="304"/>
      <c r="C6" s="35" t="s">
        <v>149</v>
      </c>
      <c r="D6" s="10">
        <v>40</v>
      </c>
      <c r="E6" s="31" t="s">
        <v>17</v>
      </c>
      <c r="F6" s="49">
        <v>0.15</v>
      </c>
      <c r="G6" s="11">
        <v>1</v>
      </c>
      <c r="H6" s="72">
        <f>+F6*B4</f>
        <v>126</v>
      </c>
      <c r="I6" s="68">
        <v>127</v>
      </c>
      <c r="J6" s="13">
        <f t="shared" si="4"/>
        <v>1</v>
      </c>
      <c r="K6" s="76">
        <f>840*0.15</f>
        <v>126</v>
      </c>
      <c r="L6" s="9">
        <f t="shared" si="5"/>
        <v>1</v>
      </c>
      <c r="M6" s="79">
        <v>10</v>
      </c>
      <c r="N6" s="33">
        <f t="shared" si="6"/>
        <v>116</v>
      </c>
      <c r="O6" s="42">
        <f>+N6/B4</f>
        <v>0.1380952380952381</v>
      </c>
      <c r="P6" s="19">
        <f>+L6+M6</f>
        <v>11</v>
      </c>
      <c r="Q6" s="82">
        <v>0</v>
      </c>
      <c r="R6" s="9">
        <f t="shared" si="0"/>
        <v>11</v>
      </c>
      <c r="S6" s="9">
        <f t="shared" si="1"/>
        <v>11</v>
      </c>
      <c r="T6" s="9">
        <f t="shared" si="2"/>
        <v>440</v>
      </c>
      <c r="U6" s="12">
        <f t="shared" si="7"/>
        <v>8.6614173228346455E-2</v>
      </c>
      <c r="W6" s="102">
        <f t="shared" si="8"/>
        <v>127</v>
      </c>
      <c r="X6" s="103">
        <f t="shared" si="9"/>
        <v>126</v>
      </c>
      <c r="Y6" s="103">
        <f t="shared" si="10"/>
        <v>1</v>
      </c>
      <c r="Z6" s="103">
        <f t="shared" si="11"/>
        <v>10</v>
      </c>
      <c r="AA6" s="284">
        <f t="shared" si="12"/>
        <v>0</v>
      </c>
      <c r="AB6" s="104">
        <f t="shared" si="3"/>
        <v>11</v>
      </c>
    </row>
    <row r="7" spans="1:29" ht="20.25" customHeight="1" x14ac:dyDescent="0.35">
      <c r="A7" s="302"/>
      <c r="B7" s="304"/>
      <c r="C7" s="35" t="s">
        <v>12</v>
      </c>
      <c r="D7" s="10">
        <v>45</v>
      </c>
      <c r="E7" s="31" t="s">
        <v>17</v>
      </c>
      <c r="F7" s="49">
        <v>0.1</v>
      </c>
      <c r="G7" s="11">
        <v>1</v>
      </c>
      <c r="H7" s="72">
        <f>+F7*B4</f>
        <v>84</v>
      </c>
      <c r="I7" s="68">
        <v>84</v>
      </c>
      <c r="J7" s="13">
        <f t="shared" si="4"/>
        <v>0</v>
      </c>
      <c r="K7" s="76">
        <v>84</v>
      </c>
      <c r="L7" s="9">
        <f t="shared" si="5"/>
        <v>0</v>
      </c>
      <c r="M7" s="79">
        <v>7</v>
      </c>
      <c r="N7" s="23">
        <f t="shared" si="6"/>
        <v>77</v>
      </c>
      <c r="O7" s="42">
        <f>+N7/B4</f>
        <v>9.166666666666666E-2</v>
      </c>
      <c r="P7" s="19">
        <f t="shared" ref="P7:P10" si="13">+L7+M7</f>
        <v>7</v>
      </c>
      <c r="Q7" s="82">
        <v>0</v>
      </c>
      <c r="R7" s="9">
        <f t="shared" si="0"/>
        <v>7</v>
      </c>
      <c r="S7" s="9">
        <f t="shared" si="1"/>
        <v>7</v>
      </c>
      <c r="T7" s="9">
        <f t="shared" si="2"/>
        <v>315</v>
      </c>
      <c r="U7" s="12">
        <f t="shared" si="7"/>
        <v>8.3333333333333329E-2</v>
      </c>
      <c r="W7" s="102">
        <f t="shared" si="8"/>
        <v>84</v>
      </c>
      <c r="X7" s="103">
        <f t="shared" si="9"/>
        <v>84</v>
      </c>
      <c r="Y7" s="103">
        <f t="shared" si="10"/>
        <v>0</v>
      </c>
      <c r="Z7" s="103">
        <f t="shared" si="11"/>
        <v>7</v>
      </c>
      <c r="AA7" s="284">
        <f t="shared" si="12"/>
        <v>0</v>
      </c>
      <c r="AB7" s="104">
        <f t="shared" si="3"/>
        <v>7</v>
      </c>
    </row>
    <row r="8" spans="1:29" ht="20.25" customHeight="1" x14ac:dyDescent="0.35">
      <c r="A8" s="302"/>
      <c r="B8" s="304"/>
      <c r="C8" s="35" t="s">
        <v>13</v>
      </c>
      <c r="D8" s="10">
        <v>52</v>
      </c>
      <c r="E8" s="31" t="s">
        <v>17</v>
      </c>
      <c r="F8" s="49">
        <v>0.1</v>
      </c>
      <c r="G8" s="11">
        <v>1</v>
      </c>
      <c r="H8" s="72">
        <f>+F8*B4</f>
        <v>84</v>
      </c>
      <c r="I8" s="68">
        <v>85</v>
      </c>
      <c r="J8" s="13">
        <f t="shared" si="4"/>
        <v>1</v>
      </c>
      <c r="K8" s="76">
        <v>84</v>
      </c>
      <c r="L8" s="9">
        <f>+I8-K8</f>
        <v>1</v>
      </c>
      <c r="M8" s="79">
        <v>6.5</v>
      </c>
      <c r="N8" s="33">
        <f t="shared" si="6"/>
        <v>77.5</v>
      </c>
      <c r="O8" s="42">
        <f>+N8/B4</f>
        <v>9.2261904761904767E-2</v>
      </c>
      <c r="P8" s="19">
        <f t="shared" si="13"/>
        <v>7.5</v>
      </c>
      <c r="Q8" s="82">
        <v>0</v>
      </c>
      <c r="R8" s="9">
        <f t="shared" si="0"/>
        <v>7.5</v>
      </c>
      <c r="S8" s="9">
        <f t="shared" si="1"/>
        <v>7.5</v>
      </c>
      <c r="T8" s="9">
        <f t="shared" si="2"/>
        <v>390</v>
      </c>
      <c r="U8" s="12">
        <f t="shared" si="7"/>
        <v>8.8235294117647065E-2</v>
      </c>
      <c r="W8" s="102">
        <f t="shared" si="8"/>
        <v>85</v>
      </c>
      <c r="X8" s="103">
        <f t="shared" si="9"/>
        <v>84</v>
      </c>
      <c r="Y8" s="103">
        <f t="shared" si="10"/>
        <v>1</v>
      </c>
      <c r="Z8" s="103">
        <f t="shared" si="11"/>
        <v>6.5</v>
      </c>
      <c r="AA8" s="284">
        <f t="shared" si="12"/>
        <v>0</v>
      </c>
      <c r="AB8" s="104">
        <f t="shared" si="3"/>
        <v>7.5</v>
      </c>
    </row>
    <row r="9" spans="1:29" ht="20.25" customHeight="1" x14ac:dyDescent="0.35">
      <c r="A9" s="302"/>
      <c r="B9" s="304"/>
      <c r="C9" s="35" t="s">
        <v>169</v>
      </c>
      <c r="D9" s="10">
        <v>90</v>
      </c>
      <c r="E9" s="31" t="s">
        <v>17</v>
      </c>
      <c r="F9" s="49">
        <v>0.1</v>
      </c>
      <c r="G9" s="11">
        <v>1</v>
      </c>
      <c r="H9" s="73">
        <f>+F9*B4</f>
        <v>84</v>
      </c>
      <c r="I9" s="68">
        <v>43</v>
      </c>
      <c r="J9" s="13">
        <f t="shared" si="4"/>
        <v>-41</v>
      </c>
      <c r="K9" s="76">
        <v>42</v>
      </c>
      <c r="L9" s="54">
        <f>+I9-K9</f>
        <v>1</v>
      </c>
      <c r="M9" s="79">
        <v>5</v>
      </c>
      <c r="N9" s="23">
        <f t="shared" si="6"/>
        <v>37</v>
      </c>
      <c r="O9" s="42">
        <f>+N9/B4</f>
        <v>4.4047619047619051E-2</v>
      </c>
      <c r="P9" s="19">
        <f t="shared" si="13"/>
        <v>6</v>
      </c>
      <c r="Q9" s="82">
        <v>0</v>
      </c>
      <c r="R9" s="9">
        <f t="shared" si="0"/>
        <v>6</v>
      </c>
      <c r="S9" s="9">
        <f t="shared" si="1"/>
        <v>6</v>
      </c>
      <c r="T9" s="9">
        <f t="shared" si="2"/>
        <v>540</v>
      </c>
      <c r="U9" s="12">
        <f t="shared" si="7"/>
        <v>0.13953488372093023</v>
      </c>
      <c r="W9" s="102">
        <f t="shared" si="8"/>
        <v>43</v>
      </c>
      <c r="X9" s="103">
        <f t="shared" si="9"/>
        <v>42</v>
      </c>
      <c r="Y9" s="103">
        <f t="shared" si="10"/>
        <v>1</v>
      </c>
      <c r="Z9" s="103">
        <f t="shared" si="11"/>
        <v>5</v>
      </c>
      <c r="AA9" s="284">
        <f t="shared" si="12"/>
        <v>0</v>
      </c>
      <c r="AB9" s="104">
        <f t="shared" si="3"/>
        <v>6</v>
      </c>
    </row>
    <row r="10" spans="1:29" ht="20.25" customHeight="1" x14ac:dyDescent="0.35">
      <c r="A10" s="302"/>
      <c r="B10" s="304"/>
      <c r="C10" s="35" t="s">
        <v>14</v>
      </c>
      <c r="D10" s="10">
        <v>60</v>
      </c>
      <c r="E10" s="31" t="s">
        <v>18</v>
      </c>
      <c r="F10" s="49">
        <v>0.1</v>
      </c>
      <c r="G10" s="11">
        <v>1</v>
      </c>
      <c r="H10" s="72">
        <f>+F10*B4</f>
        <v>84</v>
      </c>
      <c r="I10" s="68">
        <v>85</v>
      </c>
      <c r="J10" s="13">
        <f t="shared" si="4"/>
        <v>1</v>
      </c>
      <c r="K10" s="76">
        <v>84</v>
      </c>
      <c r="L10" s="9">
        <f t="shared" si="5"/>
        <v>1</v>
      </c>
      <c r="M10" s="79">
        <v>5</v>
      </c>
      <c r="N10" s="33">
        <f t="shared" si="6"/>
        <v>79</v>
      </c>
      <c r="O10" s="42">
        <f>+N10/B4</f>
        <v>9.4047619047619047E-2</v>
      </c>
      <c r="P10" s="19">
        <f t="shared" si="13"/>
        <v>6</v>
      </c>
      <c r="Q10" s="82">
        <v>0</v>
      </c>
      <c r="R10" s="9">
        <f t="shared" si="0"/>
        <v>6</v>
      </c>
      <c r="S10" s="9">
        <f t="shared" si="1"/>
        <v>6</v>
      </c>
      <c r="T10" s="9">
        <f t="shared" si="2"/>
        <v>360</v>
      </c>
      <c r="U10" s="12">
        <f>+R10/I10</f>
        <v>7.0588235294117646E-2</v>
      </c>
      <c r="W10" s="115">
        <f t="shared" si="8"/>
        <v>85</v>
      </c>
      <c r="X10" s="116">
        <f t="shared" si="9"/>
        <v>84</v>
      </c>
      <c r="Y10" s="116">
        <f t="shared" si="10"/>
        <v>1</v>
      </c>
      <c r="Z10" s="116">
        <f t="shared" si="11"/>
        <v>5</v>
      </c>
      <c r="AA10" s="284">
        <f t="shared" si="12"/>
        <v>0</v>
      </c>
      <c r="AB10" s="117">
        <f t="shared" si="3"/>
        <v>6</v>
      </c>
    </row>
    <row r="11" spans="1:29" ht="20.25" customHeight="1" thickBot="1" x14ac:dyDescent="0.4">
      <c r="A11" s="27"/>
      <c r="B11" s="51"/>
      <c r="C11" s="50"/>
      <c r="D11" s="15"/>
      <c r="E11" s="15"/>
      <c r="F11" s="15"/>
      <c r="G11" s="15"/>
      <c r="H11" s="74"/>
      <c r="I11" s="69"/>
      <c r="J11" s="16"/>
      <c r="K11" s="77"/>
      <c r="L11" s="15"/>
      <c r="M11" s="80"/>
      <c r="N11" s="14"/>
      <c r="O11" s="16"/>
      <c r="P11" s="20"/>
      <c r="Q11" s="83"/>
      <c r="R11" s="15"/>
      <c r="S11" s="84">
        <f>SUM(S4:S10)</f>
        <v>40.25</v>
      </c>
      <c r="T11" s="56">
        <f>SUM(T4:T10)</f>
        <v>2195</v>
      </c>
      <c r="U11" s="16"/>
      <c r="W11" s="118">
        <f>SUM(W4:W10)</f>
        <v>592.5</v>
      </c>
      <c r="X11" s="109">
        <f t="shared" ref="X11:AB11" si="14">SUM(X4:X10)</f>
        <v>588</v>
      </c>
      <c r="Y11" s="109">
        <f t="shared" si="14"/>
        <v>4.5</v>
      </c>
      <c r="Z11" s="110">
        <f t="shared" si="14"/>
        <v>39.75</v>
      </c>
      <c r="AA11" s="289">
        <f>SUM(AA4:AA10)</f>
        <v>4</v>
      </c>
      <c r="AB11" s="114">
        <f t="shared" si="14"/>
        <v>40.25</v>
      </c>
      <c r="AC11" s="94"/>
    </row>
    <row r="12" spans="1:29" ht="20.25" customHeight="1" x14ac:dyDescent="0.35">
      <c r="A12" s="292" t="s">
        <v>38</v>
      </c>
      <c r="B12" s="295">
        <v>720</v>
      </c>
      <c r="C12" s="34" t="s">
        <v>31</v>
      </c>
      <c r="D12" s="4">
        <v>20</v>
      </c>
      <c r="E12" s="30" t="s">
        <v>17</v>
      </c>
      <c r="F12" s="52">
        <v>0.4</v>
      </c>
      <c r="G12" s="5">
        <v>1</v>
      </c>
      <c r="H12" s="71">
        <f>+F12*B12</f>
        <v>288</v>
      </c>
      <c r="I12" s="67">
        <v>295</v>
      </c>
      <c r="J12" s="64">
        <f>I12-H12</f>
        <v>7</v>
      </c>
      <c r="K12" s="75">
        <f>720*0.4</f>
        <v>288</v>
      </c>
      <c r="L12" s="3">
        <f>+I12-K12</f>
        <v>7</v>
      </c>
      <c r="M12" s="78">
        <v>35</v>
      </c>
      <c r="N12" s="21">
        <f>+K12-M12</f>
        <v>253</v>
      </c>
      <c r="O12" s="276">
        <f>+N12/B12</f>
        <v>0.35138888888888886</v>
      </c>
      <c r="P12" s="18">
        <f>+L12+M12</f>
        <v>42</v>
      </c>
      <c r="Q12" s="81">
        <v>35</v>
      </c>
      <c r="R12" s="3">
        <f>+P12-Q12</f>
        <v>7</v>
      </c>
      <c r="S12" s="3">
        <f>+R12*G12</f>
        <v>7</v>
      </c>
      <c r="T12" s="3">
        <f t="shared" ref="T12:T20" si="15">+R12*D12</f>
        <v>140</v>
      </c>
      <c r="U12" s="6">
        <f>+R12/I12</f>
        <v>2.3728813559322035E-2</v>
      </c>
      <c r="W12" s="111">
        <f>+I12*G12</f>
        <v>295</v>
      </c>
      <c r="X12" s="112">
        <f t="shared" si="9"/>
        <v>288</v>
      </c>
      <c r="Y12" s="112">
        <f t="shared" si="10"/>
        <v>7</v>
      </c>
      <c r="Z12" s="112">
        <f t="shared" si="11"/>
        <v>35</v>
      </c>
      <c r="AA12" s="284">
        <f t="shared" si="12"/>
        <v>35</v>
      </c>
      <c r="AB12" s="113">
        <f t="shared" ref="AB12:AB20" si="16">+R12*G12</f>
        <v>7</v>
      </c>
    </row>
    <row r="13" spans="1:29" ht="20.25" customHeight="1" x14ac:dyDescent="0.35">
      <c r="A13" s="293"/>
      <c r="B13" s="296"/>
      <c r="C13" s="35" t="s">
        <v>267</v>
      </c>
      <c r="D13" s="10">
        <v>65</v>
      </c>
      <c r="E13" s="31" t="s">
        <v>17</v>
      </c>
      <c r="F13" s="49">
        <v>0.08</v>
      </c>
      <c r="G13" s="11">
        <v>1</v>
      </c>
      <c r="H13" s="70">
        <f>+F13*B12</f>
        <v>57.6</v>
      </c>
      <c r="I13" s="68">
        <v>62</v>
      </c>
      <c r="J13" s="65">
        <f>+I13-H13</f>
        <v>4.3999999999999986</v>
      </c>
      <c r="K13" s="76">
        <v>57.6</v>
      </c>
      <c r="L13" s="9">
        <f>+I13-K13</f>
        <v>4.3999999999999986</v>
      </c>
      <c r="M13" s="79">
        <v>8</v>
      </c>
      <c r="N13" s="23">
        <f>+K13-M13</f>
        <v>49.6</v>
      </c>
      <c r="O13" s="277">
        <f>+N13/B12</f>
        <v>6.8888888888888888E-2</v>
      </c>
      <c r="P13" s="19">
        <f>+L13+M13</f>
        <v>12.399999999999999</v>
      </c>
      <c r="Q13" s="82">
        <v>4</v>
      </c>
      <c r="R13" s="9">
        <f t="shared" ref="R13:R20" si="17">+P13-Q13</f>
        <v>8.3999999999999986</v>
      </c>
      <c r="S13" s="9">
        <f>+R13*G13</f>
        <v>8.3999999999999986</v>
      </c>
      <c r="T13" s="9">
        <f t="shared" si="15"/>
        <v>545.99999999999989</v>
      </c>
      <c r="U13" s="12">
        <f>+R13/I13</f>
        <v>0.13548387096774192</v>
      </c>
      <c r="W13" s="102">
        <f>+I13*G13</f>
        <v>62</v>
      </c>
      <c r="X13" s="103">
        <f t="shared" si="9"/>
        <v>57.6</v>
      </c>
      <c r="Y13" s="103">
        <f t="shared" si="10"/>
        <v>4.3999999999999986</v>
      </c>
      <c r="Z13" s="103">
        <f>+M13*G13</f>
        <v>8</v>
      </c>
      <c r="AA13" s="284">
        <f t="shared" si="12"/>
        <v>4</v>
      </c>
      <c r="AB13" s="104">
        <f t="shared" si="16"/>
        <v>8.3999999999999986</v>
      </c>
    </row>
    <row r="14" spans="1:29" ht="20.25" customHeight="1" x14ac:dyDescent="0.35">
      <c r="A14" s="293"/>
      <c r="B14" s="296"/>
      <c r="C14" s="35" t="s">
        <v>69</v>
      </c>
      <c r="D14" s="10">
        <v>85</v>
      </c>
      <c r="E14" s="31" t="s">
        <v>17</v>
      </c>
      <c r="F14" s="49">
        <v>0.05</v>
      </c>
      <c r="G14" s="11">
        <v>1</v>
      </c>
      <c r="H14" s="72">
        <f>+F14*B12</f>
        <v>36</v>
      </c>
      <c r="I14" s="68">
        <v>36</v>
      </c>
      <c r="J14" s="65">
        <f>+I14-H14</f>
        <v>0</v>
      </c>
      <c r="K14" s="76">
        <v>34.5</v>
      </c>
      <c r="L14" s="9">
        <f t="shared" ref="L14:L20" si="18">+I14-K14</f>
        <v>1.5</v>
      </c>
      <c r="M14" s="79">
        <v>6</v>
      </c>
      <c r="N14" s="33">
        <f>+K14-M14</f>
        <v>28.5</v>
      </c>
      <c r="O14" s="277">
        <f>+N14/B12</f>
        <v>3.9583333333333331E-2</v>
      </c>
      <c r="P14" s="19">
        <f>+L14+M14</f>
        <v>7.5</v>
      </c>
      <c r="Q14" s="82">
        <v>0</v>
      </c>
      <c r="R14" s="9">
        <f t="shared" si="17"/>
        <v>7.5</v>
      </c>
      <c r="S14" s="9">
        <f t="shared" ref="S14:S20" si="19">+R14*G14</f>
        <v>7.5</v>
      </c>
      <c r="T14" s="9">
        <f t="shared" si="15"/>
        <v>637.5</v>
      </c>
      <c r="U14" s="12">
        <f t="shared" ref="U14:U20" si="20">+R14/I14</f>
        <v>0.20833333333333334</v>
      </c>
      <c r="W14" s="102">
        <f t="shared" si="8"/>
        <v>36</v>
      </c>
      <c r="X14" s="103">
        <f t="shared" si="9"/>
        <v>34.5</v>
      </c>
      <c r="Y14" s="103">
        <f t="shared" si="10"/>
        <v>1.5</v>
      </c>
      <c r="Z14" s="103">
        <f>+M14*G14</f>
        <v>6</v>
      </c>
      <c r="AA14" s="284">
        <f t="shared" si="12"/>
        <v>0</v>
      </c>
      <c r="AB14" s="104">
        <f t="shared" si="16"/>
        <v>7.5</v>
      </c>
    </row>
    <row r="15" spans="1:29" ht="20.25" customHeight="1" x14ac:dyDescent="0.35">
      <c r="A15" s="293"/>
      <c r="B15" s="296"/>
      <c r="C15" s="35" t="s">
        <v>108</v>
      </c>
      <c r="D15" s="10">
        <v>55</v>
      </c>
      <c r="E15" s="31" t="s">
        <v>17</v>
      </c>
      <c r="F15" s="49">
        <v>0.08</v>
      </c>
      <c r="G15" s="11">
        <v>1</v>
      </c>
      <c r="H15" s="72">
        <f>+F15*B12</f>
        <v>57.6</v>
      </c>
      <c r="I15" s="68">
        <v>62</v>
      </c>
      <c r="J15" s="13">
        <f>I15-H15</f>
        <v>4.3999999999999986</v>
      </c>
      <c r="K15" s="76">
        <v>57.6</v>
      </c>
      <c r="L15" s="9">
        <f>+I15-K15</f>
        <v>4.3999999999999986</v>
      </c>
      <c r="M15" s="79">
        <v>7.5</v>
      </c>
      <c r="N15" s="23">
        <f t="shared" ref="N15:N20" si="21">+K15-M15</f>
        <v>50.1</v>
      </c>
      <c r="O15" s="277">
        <f>+N15/B12</f>
        <v>6.958333333333333E-2</v>
      </c>
      <c r="P15" s="19">
        <f t="shared" ref="P15:P20" si="22">+L15+M15</f>
        <v>11.899999999999999</v>
      </c>
      <c r="Q15" s="82">
        <v>0</v>
      </c>
      <c r="R15" s="9">
        <f t="shared" si="17"/>
        <v>11.899999999999999</v>
      </c>
      <c r="S15" s="9">
        <f t="shared" si="19"/>
        <v>11.899999999999999</v>
      </c>
      <c r="T15" s="9">
        <f t="shared" si="15"/>
        <v>654.49999999999989</v>
      </c>
      <c r="U15" s="12">
        <f>+R15/I15</f>
        <v>0.19193548387096773</v>
      </c>
      <c r="W15" s="102">
        <f>+I15*G15</f>
        <v>62</v>
      </c>
      <c r="X15" s="103">
        <f t="shared" si="9"/>
        <v>57.6</v>
      </c>
      <c r="Y15" s="103">
        <f t="shared" si="10"/>
        <v>4.3999999999999986</v>
      </c>
      <c r="Z15" s="103">
        <f t="shared" si="11"/>
        <v>7.5</v>
      </c>
      <c r="AA15" s="284">
        <f t="shared" si="12"/>
        <v>0</v>
      </c>
      <c r="AB15" s="104">
        <f t="shared" si="16"/>
        <v>11.899999999999999</v>
      </c>
    </row>
    <row r="16" spans="1:29" ht="20.25" customHeight="1" x14ac:dyDescent="0.35">
      <c r="A16" s="293"/>
      <c r="B16" s="296"/>
      <c r="C16" s="35" t="s">
        <v>32</v>
      </c>
      <c r="D16" s="10">
        <v>48</v>
      </c>
      <c r="E16" s="31" t="s">
        <v>18</v>
      </c>
      <c r="F16" s="49">
        <v>0.06</v>
      </c>
      <c r="G16" s="11">
        <v>1</v>
      </c>
      <c r="H16" s="72">
        <f>+F16*B12</f>
        <v>43.199999999999996</v>
      </c>
      <c r="I16" s="68">
        <v>51</v>
      </c>
      <c r="J16" s="13">
        <f>I16-H16</f>
        <v>7.8000000000000043</v>
      </c>
      <c r="K16" s="76">
        <v>43</v>
      </c>
      <c r="L16" s="9">
        <f>+I16-K16</f>
        <v>8</v>
      </c>
      <c r="M16" s="79">
        <v>5</v>
      </c>
      <c r="N16" s="33">
        <f t="shared" si="21"/>
        <v>38</v>
      </c>
      <c r="O16" s="277">
        <f>+N16/B12</f>
        <v>5.2777777777777778E-2</v>
      </c>
      <c r="P16" s="19">
        <f t="shared" si="22"/>
        <v>13</v>
      </c>
      <c r="Q16" s="82">
        <v>13</v>
      </c>
      <c r="R16" s="9">
        <f t="shared" si="17"/>
        <v>0</v>
      </c>
      <c r="S16" s="9">
        <f t="shared" si="19"/>
        <v>0</v>
      </c>
      <c r="T16" s="9">
        <f t="shared" si="15"/>
        <v>0</v>
      </c>
      <c r="U16" s="12">
        <f>+R16/I16</f>
        <v>0</v>
      </c>
      <c r="W16" s="102">
        <f>+I16*G16</f>
        <v>51</v>
      </c>
      <c r="X16" s="103">
        <f t="shared" si="9"/>
        <v>43</v>
      </c>
      <c r="Y16" s="103">
        <f t="shared" si="10"/>
        <v>8</v>
      </c>
      <c r="Z16" s="103">
        <f t="shared" si="11"/>
        <v>5</v>
      </c>
      <c r="AA16" s="284">
        <f t="shared" si="12"/>
        <v>13</v>
      </c>
      <c r="AB16" s="104">
        <f t="shared" si="16"/>
        <v>0</v>
      </c>
    </row>
    <row r="17" spans="1:29" ht="20.25" customHeight="1" x14ac:dyDescent="0.35">
      <c r="A17" s="293"/>
      <c r="B17" s="296"/>
      <c r="C17" s="35" t="s">
        <v>155</v>
      </c>
      <c r="D17" s="10">
        <v>35</v>
      </c>
      <c r="E17" s="31" t="s">
        <v>18</v>
      </c>
      <c r="F17" s="49">
        <v>0.06</v>
      </c>
      <c r="G17" s="11">
        <v>1</v>
      </c>
      <c r="H17" s="73">
        <f>+F17*B12</f>
        <v>43.199999999999996</v>
      </c>
      <c r="I17" s="68">
        <v>49</v>
      </c>
      <c r="J17" s="66">
        <f t="shared" ref="J17:J20" si="23">I17-H17</f>
        <v>5.8000000000000043</v>
      </c>
      <c r="K17" s="76">
        <v>43</v>
      </c>
      <c r="L17" s="9">
        <f t="shared" si="18"/>
        <v>6</v>
      </c>
      <c r="M17" s="79">
        <v>6</v>
      </c>
      <c r="N17" s="23">
        <f t="shared" si="21"/>
        <v>37</v>
      </c>
      <c r="O17" s="277">
        <f>+N17/B12</f>
        <v>5.1388888888888887E-2</v>
      </c>
      <c r="P17" s="19">
        <f t="shared" si="22"/>
        <v>12</v>
      </c>
      <c r="Q17" s="82">
        <v>0</v>
      </c>
      <c r="R17" s="9">
        <f t="shared" si="17"/>
        <v>12</v>
      </c>
      <c r="S17" s="9">
        <f t="shared" si="19"/>
        <v>12</v>
      </c>
      <c r="T17" s="9">
        <f t="shared" si="15"/>
        <v>420</v>
      </c>
      <c r="U17" s="12">
        <f t="shared" si="20"/>
        <v>0.24489795918367346</v>
      </c>
      <c r="W17" s="102">
        <f t="shared" si="8"/>
        <v>49</v>
      </c>
      <c r="X17" s="103">
        <f t="shared" si="9"/>
        <v>43</v>
      </c>
      <c r="Y17" s="103">
        <f t="shared" si="10"/>
        <v>6</v>
      </c>
      <c r="Z17" s="103">
        <f t="shared" si="11"/>
        <v>6</v>
      </c>
      <c r="AA17" s="284">
        <f t="shared" si="12"/>
        <v>0</v>
      </c>
      <c r="AB17" s="104">
        <f t="shared" si="16"/>
        <v>12</v>
      </c>
    </row>
    <row r="18" spans="1:29" ht="20.25" customHeight="1" x14ac:dyDescent="0.35">
      <c r="A18" s="293"/>
      <c r="B18" s="296"/>
      <c r="C18" s="35" t="s">
        <v>33</v>
      </c>
      <c r="D18" s="10">
        <v>50</v>
      </c>
      <c r="E18" s="31" t="s">
        <v>17</v>
      </c>
      <c r="F18" s="49">
        <v>0.03</v>
      </c>
      <c r="G18" s="11">
        <v>1</v>
      </c>
      <c r="H18" s="72">
        <f>+F18*B12</f>
        <v>21.599999999999998</v>
      </c>
      <c r="I18" s="68">
        <v>25</v>
      </c>
      <c r="J18" s="13">
        <f t="shared" si="23"/>
        <v>3.4000000000000021</v>
      </c>
      <c r="K18" s="76">
        <f>720*0.03</f>
        <v>21.599999999999998</v>
      </c>
      <c r="L18" s="9">
        <f t="shared" si="18"/>
        <v>3.4000000000000021</v>
      </c>
      <c r="M18" s="79">
        <v>7</v>
      </c>
      <c r="N18" s="23">
        <f t="shared" si="21"/>
        <v>14.599999999999998</v>
      </c>
      <c r="O18" s="277">
        <f>+N18/B12</f>
        <v>2.0277777777777777E-2</v>
      </c>
      <c r="P18" s="19">
        <f t="shared" si="22"/>
        <v>10.400000000000002</v>
      </c>
      <c r="Q18" s="82">
        <v>0</v>
      </c>
      <c r="R18" s="9">
        <f t="shared" si="17"/>
        <v>10.400000000000002</v>
      </c>
      <c r="S18" s="9">
        <f t="shared" si="19"/>
        <v>10.400000000000002</v>
      </c>
      <c r="T18" s="9">
        <f t="shared" si="15"/>
        <v>520.00000000000011</v>
      </c>
      <c r="U18" s="12">
        <f t="shared" si="20"/>
        <v>0.41600000000000009</v>
      </c>
      <c r="W18" s="102">
        <f t="shared" si="8"/>
        <v>25</v>
      </c>
      <c r="X18" s="103">
        <f t="shared" si="9"/>
        <v>21.599999999999998</v>
      </c>
      <c r="Y18" s="103">
        <f t="shared" si="10"/>
        <v>3.4000000000000021</v>
      </c>
      <c r="Z18" s="103">
        <f t="shared" si="11"/>
        <v>7</v>
      </c>
      <c r="AA18" s="284">
        <f t="shared" si="12"/>
        <v>0</v>
      </c>
      <c r="AB18" s="104">
        <f t="shared" si="16"/>
        <v>10.400000000000002</v>
      </c>
    </row>
    <row r="19" spans="1:29" ht="20.25" customHeight="1" x14ac:dyDescent="0.35">
      <c r="A19" s="293"/>
      <c r="B19" s="296"/>
      <c r="C19" s="35" t="s">
        <v>34</v>
      </c>
      <c r="D19" s="31">
        <v>70</v>
      </c>
      <c r="E19" s="31" t="s">
        <v>17</v>
      </c>
      <c r="F19" s="11">
        <v>0.1</v>
      </c>
      <c r="G19" s="11">
        <v>1</v>
      </c>
      <c r="H19" s="72">
        <f>+F19*B12</f>
        <v>72</v>
      </c>
      <c r="I19" s="68">
        <v>72</v>
      </c>
      <c r="J19" s="13">
        <f t="shared" si="23"/>
        <v>0</v>
      </c>
      <c r="K19" s="76">
        <v>72</v>
      </c>
      <c r="L19" s="9">
        <f t="shared" si="18"/>
        <v>0</v>
      </c>
      <c r="M19" s="79">
        <v>0</v>
      </c>
      <c r="N19" s="23">
        <f t="shared" si="21"/>
        <v>72</v>
      </c>
      <c r="O19" s="277">
        <f>+N19/B12</f>
        <v>0.1</v>
      </c>
      <c r="P19" s="19">
        <f t="shared" si="22"/>
        <v>0</v>
      </c>
      <c r="Q19" s="82">
        <v>0</v>
      </c>
      <c r="R19" s="9">
        <f t="shared" si="17"/>
        <v>0</v>
      </c>
      <c r="S19" s="9">
        <f t="shared" si="19"/>
        <v>0</v>
      </c>
      <c r="T19" s="9">
        <f t="shared" si="15"/>
        <v>0</v>
      </c>
      <c r="U19" s="12">
        <f t="shared" si="20"/>
        <v>0</v>
      </c>
      <c r="W19" s="102">
        <f t="shared" si="8"/>
        <v>72</v>
      </c>
      <c r="X19" s="103">
        <f t="shared" si="9"/>
        <v>72</v>
      </c>
      <c r="Y19" s="103">
        <f t="shared" si="10"/>
        <v>0</v>
      </c>
      <c r="Z19" s="103">
        <f t="shared" si="11"/>
        <v>0</v>
      </c>
      <c r="AA19" s="284">
        <f t="shared" si="12"/>
        <v>0</v>
      </c>
      <c r="AB19" s="104">
        <f t="shared" si="16"/>
        <v>0</v>
      </c>
    </row>
    <row r="20" spans="1:29" ht="20.25" customHeight="1" x14ac:dyDescent="0.35">
      <c r="A20" s="294"/>
      <c r="B20" s="297"/>
      <c r="C20" s="40" t="s">
        <v>35</v>
      </c>
      <c r="D20" s="44">
        <v>2</v>
      </c>
      <c r="E20" s="44" t="s">
        <v>16</v>
      </c>
      <c r="F20" s="53">
        <v>2</v>
      </c>
      <c r="G20" s="45">
        <v>0.04</v>
      </c>
      <c r="H20" s="72">
        <f>+F20*B12</f>
        <v>1440</v>
      </c>
      <c r="I20" s="68">
        <v>1450</v>
      </c>
      <c r="J20" s="13">
        <f t="shared" si="23"/>
        <v>10</v>
      </c>
      <c r="K20" s="76">
        <f>720*2</f>
        <v>1440</v>
      </c>
      <c r="L20" s="9">
        <f t="shared" si="18"/>
        <v>10</v>
      </c>
      <c r="M20" s="79">
        <v>65</v>
      </c>
      <c r="N20" s="33">
        <f t="shared" si="21"/>
        <v>1375</v>
      </c>
      <c r="O20" s="277">
        <f>+N20/B12</f>
        <v>1.9097222222222223</v>
      </c>
      <c r="P20" s="19">
        <f t="shared" si="22"/>
        <v>75</v>
      </c>
      <c r="Q20" s="82">
        <v>0</v>
      </c>
      <c r="R20" s="9">
        <f t="shared" si="17"/>
        <v>75</v>
      </c>
      <c r="S20" s="9">
        <f t="shared" si="19"/>
        <v>3</v>
      </c>
      <c r="T20" s="9">
        <f t="shared" si="15"/>
        <v>150</v>
      </c>
      <c r="U20" s="12">
        <f t="shared" si="20"/>
        <v>5.1724137931034482E-2</v>
      </c>
      <c r="W20" s="115">
        <f t="shared" si="8"/>
        <v>58</v>
      </c>
      <c r="X20" s="116">
        <f t="shared" si="9"/>
        <v>57.6</v>
      </c>
      <c r="Y20" s="116">
        <f t="shared" si="10"/>
        <v>0.4</v>
      </c>
      <c r="Z20" s="116">
        <f t="shared" si="11"/>
        <v>2.6</v>
      </c>
      <c r="AA20" s="284">
        <f t="shared" si="12"/>
        <v>0</v>
      </c>
      <c r="AB20" s="117">
        <f t="shared" si="16"/>
        <v>3</v>
      </c>
    </row>
    <row r="21" spans="1:29" ht="20.25" customHeight="1" thickBot="1" x14ac:dyDescent="0.4">
      <c r="A21" s="27"/>
      <c r="B21" s="28"/>
      <c r="C21" s="29"/>
      <c r="D21" s="15"/>
      <c r="E21" s="15"/>
      <c r="F21" s="15"/>
      <c r="G21" s="15"/>
      <c r="H21" s="74"/>
      <c r="I21" s="69"/>
      <c r="J21" s="16"/>
      <c r="K21" s="77"/>
      <c r="L21" s="15"/>
      <c r="M21" s="80"/>
      <c r="N21" s="14"/>
      <c r="O21" s="278">
        <f>SUM(O12:O19)+0.06</f>
        <v>0.81388888888888888</v>
      </c>
      <c r="P21" s="20"/>
      <c r="Q21" s="83"/>
      <c r="R21" s="15"/>
      <c r="S21" s="56">
        <f>SUM(S12:S20)</f>
        <v>60.2</v>
      </c>
      <c r="T21" s="56">
        <f>SUM(T12:T20)</f>
        <v>3068</v>
      </c>
      <c r="U21" s="16"/>
      <c r="W21" s="118">
        <f>SUM(W12:W20)</f>
        <v>710</v>
      </c>
      <c r="X21" s="110">
        <f t="shared" ref="X21:AB21" si="24">SUM(X12:X20)</f>
        <v>674.90000000000009</v>
      </c>
      <c r="Y21" s="114">
        <f t="shared" si="24"/>
        <v>35.1</v>
      </c>
      <c r="Z21" s="109">
        <f t="shared" si="24"/>
        <v>77.099999999999994</v>
      </c>
      <c r="AA21" s="286">
        <f>SUM(AA12:AA20)</f>
        <v>52</v>
      </c>
      <c r="AB21" s="109">
        <f t="shared" si="24"/>
        <v>60.2</v>
      </c>
      <c r="AC21" s="94"/>
    </row>
    <row r="22" spans="1:29" ht="20.25" customHeight="1" x14ac:dyDescent="0.35">
      <c r="A22" s="292" t="s">
        <v>39</v>
      </c>
      <c r="B22" s="295">
        <v>515</v>
      </c>
      <c r="C22" s="34" t="s">
        <v>268</v>
      </c>
      <c r="D22" s="4">
        <v>5</v>
      </c>
      <c r="E22" s="4" t="s">
        <v>186</v>
      </c>
      <c r="F22" s="135">
        <v>2</v>
      </c>
      <c r="G22" s="5">
        <v>0.03</v>
      </c>
      <c r="H22" s="71">
        <f>+F22*B22</f>
        <v>1030</v>
      </c>
      <c r="I22" s="67">
        <v>1545</v>
      </c>
      <c r="J22" s="22">
        <f>I22-H22</f>
        <v>515</v>
      </c>
      <c r="K22" s="75">
        <f>515*3</f>
        <v>1545</v>
      </c>
      <c r="L22" s="3">
        <f>+I22-K22</f>
        <v>0</v>
      </c>
      <c r="M22" s="78">
        <v>0</v>
      </c>
      <c r="N22" s="21">
        <f>+K22-M22</f>
        <v>1545</v>
      </c>
      <c r="O22" s="41">
        <f>+N22/B22</f>
        <v>3</v>
      </c>
      <c r="P22" s="18">
        <f>+L22+M22</f>
        <v>0</v>
      </c>
      <c r="Q22" s="81">
        <v>0</v>
      </c>
      <c r="R22" s="3">
        <f>+P22-Q22</f>
        <v>0</v>
      </c>
      <c r="S22" s="3">
        <f>+R22*G22</f>
        <v>0</v>
      </c>
      <c r="T22" s="3">
        <f>+R22*D22</f>
        <v>0</v>
      </c>
      <c r="U22" s="6">
        <f>+R22/I22</f>
        <v>0</v>
      </c>
      <c r="W22" s="111">
        <f t="shared" si="8"/>
        <v>46.35</v>
      </c>
      <c r="X22" s="112">
        <f t="shared" si="9"/>
        <v>46.35</v>
      </c>
      <c r="Y22" s="112">
        <f t="shared" si="10"/>
        <v>0</v>
      </c>
      <c r="Z22" s="112">
        <f>+M22*G22</f>
        <v>0</v>
      </c>
      <c r="AA22" s="284">
        <f t="shared" si="12"/>
        <v>0</v>
      </c>
      <c r="AB22" s="113">
        <f>+R22*G22</f>
        <v>0</v>
      </c>
    </row>
    <row r="23" spans="1:29" ht="20.25" customHeight="1" x14ac:dyDescent="0.35">
      <c r="A23" s="293"/>
      <c r="B23" s="296"/>
      <c r="C23" s="35" t="s">
        <v>56</v>
      </c>
      <c r="D23" s="10">
        <v>0.64</v>
      </c>
      <c r="E23" s="10" t="s">
        <v>61</v>
      </c>
      <c r="F23" s="279">
        <v>1</v>
      </c>
      <c r="G23" s="11">
        <v>1</v>
      </c>
      <c r="H23" s="70">
        <f>+F23*B22</f>
        <v>515</v>
      </c>
      <c r="I23" s="68">
        <v>52</v>
      </c>
      <c r="J23" s="13">
        <f>I23-H23</f>
        <v>-463</v>
      </c>
      <c r="K23" s="76">
        <v>51.5</v>
      </c>
      <c r="L23" s="9">
        <f t="shared" ref="L23:L25" si="25">+I23-K23</f>
        <v>0.5</v>
      </c>
      <c r="M23" s="79">
        <v>4.5</v>
      </c>
      <c r="N23" s="23">
        <f>+K23-M23</f>
        <v>47</v>
      </c>
      <c r="O23" s="42">
        <f>+N23/B22</f>
        <v>9.1262135922330095E-2</v>
      </c>
      <c r="P23" s="19">
        <f>+L23+M23</f>
        <v>5</v>
      </c>
      <c r="Q23" s="82">
        <v>0</v>
      </c>
      <c r="R23" s="9">
        <f t="shared" ref="R23:R25" si="26">+P23-Q23</f>
        <v>5</v>
      </c>
      <c r="S23" s="9">
        <f>+R23*G23</f>
        <v>5</v>
      </c>
      <c r="T23" s="9">
        <f>+R23*D23</f>
        <v>3.2</v>
      </c>
      <c r="U23" s="12">
        <f t="shared" ref="U23:U25" si="27">+R23/I23</f>
        <v>9.6153846153846159E-2</v>
      </c>
      <c r="W23" s="102">
        <f t="shared" si="8"/>
        <v>52</v>
      </c>
      <c r="X23" s="103">
        <f t="shared" si="9"/>
        <v>51.5</v>
      </c>
      <c r="Y23" s="103">
        <f t="shared" si="10"/>
        <v>0.5</v>
      </c>
      <c r="Z23" s="103">
        <f>+M23*G23</f>
        <v>4.5</v>
      </c>
      <c r="AA23" s="284">
        <f t="shared" si="12"/>
        <v>0</v>
      </c>
      <c r="AB23" s="104">
        <f>+R23*G23</f>
        <v>5</v>
      </c>
    </row>
    <row r="24" spans="1:29" ht="20.25" customHeight="1" x14ac:dyDescent="0.35">
      <c r="A24" s="293"/>
      <c r="B24" s="296"/>
      <c r="C24" s="35" t="s">
        <v>195</v>
      </c>
      <c r="D24" s="10">
        <v>6</v>
      </c>
      <c r="E24" s="10" t="s">
        <v>16</v>
      </c>
      <c r="F24" s="126">
        <v>1</v>
      </c>
      <c r="G24" s="11">
        <v>0.05</v>
      </c>
      <c r="H24" s="72">
        <f>+F24*B22</f>
        <v>515</v>
      </c>
      <c r="I24" s="68">
        <v>515</v>
      </c>
      <c r="J24" s="13">
        <f>I24-H24</f>
        <v>0</v>
      </c>
      <c r="K24" s="76">
        <v>515</v>
      </c>
      <c r="L24" s="9">
        <f t="shared" si="25"/>
        <v>0</v>
      </c>
      <c r="M24" s="79">
        <v>0</v>
      </c>
      <c r="N24" s="33">
        <f t="shared" ref="N24:N25" si="28">+K24-M24</f>
        <v>515</v>
      </c>
      <c r="O24" s="42">
        <f>+N24/B22</f>
        <v>1</v>
      </c>
      <c r="P24" s="19">
        <f>+L24+M24</f>
        <v>0</v>
      </c>
      <c r="Q24" s="82">
        <v>0</v>
      </c>
      <c r="R24" s="9">
        <f t="shared" si="26"/>
        <v>0</v>
      </c>
      <c r="S24" s="9">
        <f>+R24*G24</f>
        <v>0</v>
      </c>
      <c r="T24" s="9">
        <f>+R24*D24</f>
        <v>0</v>
      </c>
      <c r="U24" s="12">
        <f t="shared" si="27"/>
        <v>0</v>
      </c>
      <c r="W24" s="102">
        <f t="shared" si="8"/>
        <v>25.75</v>
      </c>
      <c r="X24" s="103">
        <f t="shared" si="9"/>
        <v>25.75</v>
      </c>
      <c r="Y24" s="103">
        <f t="shared" si="10"/>
        <v>0</v>
      </c>
      <c r="Z24" s="103">
        <f t="shared" si="11"/>
        <v>0</v>
      </c>
      <c r="AA24" s="284">
        <f t="shared" si="12"/>
        <v>0</v>
      </c>
      <c r="AB24" s="104">
        <f>+R24*G24</f>
        <v>0</v>
      </c>
    </row>
    <row r="25" spans="1:29" ht="20.25" customHeight="1" x14ac:dyDescent="0.35">
      <c r="A25" s="293"/>
      <c r="B25" s="296"/>
      <c r="C25" s="35" t="s">
        <v>14</v>
      </c>
      <c r="D25" s="10">
        <v>60</v>
      </c>
      <c r="E25" s="10" t="s">
        <v>18</v>
      </c>
      <c r="F25" s="49">
        <v>0.1</v>
      </c>
      <c r="G25" s="11">
        <v>1</v>
      </c>
      <c r="H25" s="72">
        <f>+F25*B22</f>
        <v>51.5</v>
      </c>
      <c r="I25" s="68">
        <v>53</v>
      </c>
      <c r="J25" s="13">
        <f>I25-H25</f>
        <v>1.5</v>
      </c>
      <c r="K25" s="76">
        <v>51.5</v>
      </c>
      <c r="L25" s="9">
        <f t="shared" si="25"/>
        <v>1.5</v>
      </c>
      <c r="M25" s="79">
        <v>3.5</v>
      </c>
      <c r="N25" s="23">
        <f t="shared" si="28"/>
        <v>48</v>
      </c>
      <c r="O25" s="42">
        <f>+N25/B22</f>
        <v>9.3203883495145634E-2</v>
      </c>
      <c r="P25" s="19">
        <f t="shared" ref="P25" si="29">+L25+M25</f>
        <v>5</v>
      </c>
      <c r="Q25" s="82">
        <v>0</v>
      </c>
      <c r="R25" s="9">
        <f t="shared" si="26"/>
        <v>5</v>
      </c>
      <c r="S25" s="9">
        <f>+R25*G25</f>
        <v>5</v>
      </c>
      <c r="T25" s="9">
        <f>+R25*D25</f>
        <v>300</v>
      </c>
      <c r="U25" s="12">
        <f t="shared" si="27"/>
        <v>9.4339622641509441E-2</v>
      </c>
      <c r="W25" s="105">
        <f t="shared" si="8"/>
        <v>53</v>
      </c>
      <c r="X25" s="106">
        <f t="shared" si="9"/>
        <v>51.5</v>
      </c>
      <c r="Y25" s="106">
        <f t="shared" si="10"/>
        <v>1.5</v>
      </c>
      <c r="Z25" s="106">
        <f t="shared" si="11"/>
        <v>3.5</v>
      </c>
      <c r="AA25" s="284">
        <f t="shared" si="12"/>
        <v>0</v>
      </c>
      <c r="AB25" s="107">
        <f>+R25*G25</f>
        <v>5</v>
      </c>
    </row>
    <row r="26" spans="1:29" ht="21.75" customHeight="1" thickBot="1" x14ac:dyDescent="0.4">
      <c r="A26" s="27"/>
      <c r="B26" s="55"/>
      <c r="C26" s="29"/>
      <c r="D26" s="15"/>
      <c r="E26" s="15"/>
      <c r="F26" s="15"/>
      <c r="G26" s="15"/>
      <c r="H26" s="74"/>
      <c r="I26" s="69"/>
      <c r="J26" s="16"/>
      <c r="K26" s="77"/>
      <c r="L26" s="15"/>
      <c r="M26" s="80"/>
      <c r="N26" s="14"/>
      <c r="O26" s="16"/>
      <c r="P26" s="20"/>
      <c r="Q26" s="83"/>
      <c r="R26" s="15"/>
      <c r="S26" s="56">
        <f>SUM(S22:S25)</f>
        <v>10</v>
      </c>
      <c r="T26" s="56">
        <f>SUM(T22:T25)</f>
        <v>303.2</v>
      </c>
      <c r="U26" s="16"/>
      <c r="W26" s="123">
        <f>SUM(W22:W25)</f>
        <v>177.1</v>
      </c>
      <c r="X26" s="124">
        <f t="shared" ref="X26:AB26" si="30">SUM(X22:X25)</f>
        <v>175.1</v>
      </c>
      <c r="Y26" s="124">
        <f t="shared" si="30"/>
        <v>2</v>
      </c>
      <c r="Z26" s="124">
        <f t="shared" si="30"/>
        <v>8</v>
      </c>
      <c r="AA26" s="287">
        <f>SUM(AA22:AA25)</f>
        <v>0</v>
      </c>
      <c r="AB26" s="125">
        <f t="shared" si="30"/>
        <v>10</v>
      </c>
    </row>
    <row r="27" spans="1:29" ht="20.25" customHeight="1" x14ac:dyDescent="0.35">
      <c r="A27" s="292" t="s">
        <v>40</v>
      </c>
      <c r="B27" s="295">
        <v>498</v>
      </c>
      <c r="C27" s="34" t="s">
        <v>31</v>
      </c>
      <c r="D27" s="4">
        <v>20</v>
      </c>
      <c r="E27" s="30" t="s">
        <v>17</v>
      </c>
      <c r="F27" s="52">
        <v>0.4</v>
      </c>
      <c r="G27" s="5">
        <v>1</v>
      </c>
      <c r="H27" s="70">
        <f>+F27*B27</f>
        <v>199.20000000000002</v>
      </c>
      <c r="I27" s="67">
        <v>210</v>
      </c>
      <c r="J27" s="22">
        <f t="shared" ref="J27:J35" si="31">I27-H27</f>
        <v>10.799999999999983</v>
      </c>
      <c r="K27" s="75">
        <v>199.2</v>
      </c>
      <c r="L27" s="54">
        <f>+I27-K27</f>
        <v>10.800000000000011</v>
      </c>
      <c r="M27" s="78">
        <v>23</v>
      </c>
      <c r="N27" s="128">
        <f>+K27-M27</f>
        <v>176.2</v>
      </c>
      <c r="O27" s="41">
        <f>+N27/B27</f>
        <v>0.35381526104417671</v>
      </c>
      <c r="P27" s="18">
        <f>+L27+M27</f>
        <v>33.800000000000011</v>
      </c>
      <c r="Q27" s="81">
        <v>25</v>
      </c>
      <c r="R27" s="3">
        <f>+P27-Q27</f>
        <v>8.8000000000000114</v>
      </c>
      <c r="S27" s="3">
        <f t="shared" ref="S27:S35" si="32">+R27*G27</f>
        <v>8.8000000000000114</v>
      </c>
      <c r="T27" s="3">
        <f t="shared" ref="T27:T35" si="33">+R27*D27</f>
        <v>176.00000000000023</v>
      </c>
      <c r="U27" s="6">
        <f>+R27/I27</f>
        <v>4.1904761904761959E-2</v>
      </c>
      <c r="W27" s="111">
        <f t="shared" si="8"/>
        <v>210</v>
      </c>
      <c r="X27" s="112">
        <f t="shared" si="9"/>
        <v>199.2</v>
      </c>
      <c r="Y27" s="112">
        <f t="shared" si="10"/>
        <v>10.800000000000011</v>
      </c>
      <c r="Z27" s="112">
        <f t="shared" si="11"/>
        <v>23</v>
      </c>
      <c r="AA27" s="284">
        <f t="shared" si="12"/>
        <v>25</v>
      </c>
      <c r="AB27" s="113">
        <f t="shared" ref="AB27:AB35" si="34">+R27*G27</f>
        <v>8.8000000000000114</v>
      </c>
    </row>
    <row r="28" spans="1:29" ht="20.25" customHeight="1" x14ac:dyDescent="0.35">
      <c r="A28" s="293"/>
      <c r="B28" s="296"/>
      <c r="C28" s="35" t="s">
        <v>269</v>
      </c>
      <c r="D28" s="10">
        <v>65</v>
      </c>
      <c r="E28" s="31" t="s">
        <v>17</v>
      </c>
      <c r="F28" s="49">
        <v>0.08</v>
      </c>
      <c r="G28" s="11">
        <v>1</v>
      </c>
      <c r="H28" s="70">
        <f>+F28*B27</f>
        <v>39.840000000000003</v>
      </c>
      <c r="I28" s="68">
        <v>41.5</v>
      </c>
      <c r="J28" s="13">
        <f t="shared" si="31"/>
        <v>1.6599999999999966</v>
      </c>
      <c r="K28" s="76">
        <v>39.799999999999997</v>
      </c>
      <c r="L28" s="9">
        <f t="shared" ref="L28:L35" si="35">+I28-K28</f>
        <v>1.7000000000000028</v>
      </c>
      <c r="M28" s="79">
        <v>4</v>
      </c>
      <c r="N28" s="23">
        <f t="shared" ref="N28:N35" si="36">+K28-M28</f>
        <v>35.799999999999997</v>
      </c>
      <c r="O28" s="42">
        <f>+N28/B27</f>
        <v>7.1887550200803202E-2</v>
      </c>
      <c r="P28" s="19">
        <f>+L28+M28</f>
        <v>5.7000000000000028</v>
      </c>
      <c r="Q28" s="82">
        <v>0</v>
      </c>
      <c r="R28" s="9">
        <f>+P28-Q28</f>
        <v>5.7000000000000028</v>
      </c>
      <c r="S28" s="9">
        <f t="shared" si="32"/>
        <v>5.7000000000000028</v>
      </c>
      <c r="T28" s="9">
        <f t="shared" si="33"/>
        <v>370.50000000000017</v>
      </c>
      <c r="U28" s="12">
        <f t="shared" ref="U28:U35" si="37">+R28/I28</f>
        <v>0.13734939759036152</v>
      </c>
      <c r="W28" s="102">
        <f t="shared" si="8"/>
        <v>41.5</v>
      </c>
      <c r="X28" s="103">
        <f t="shared" si="9"/>
        <v>39.799999999999997</v>
      </c>
      <c r="Y28" s="103">
        <f t="shared" si="10"/>
        <v>1.7000000000000028</v>
      </c>
      <c r="Z28" s="103">
        <f t="shared" si="11"/>
        <v>4</v>
      </c>
      <c r="AA28" s="284">
        <f t="shared" si="12"/>
        <v>0</v>
      </c>
      <c r="AB28" s="104">
        <f t="shared" si="34"/>
        <v>5.7000000000000028</v>
      </c>
    </row>
    <row r="29" spans="1:29" ht="20.25" customHeight="1" x14ac:dyDescent="0.35">
      <c r="A29" s="293"/>
      <c r="B29" s="296"/>
      <c r="C29" s="35" t="s">
        <v>270</v>
      </c>
      <c r="D29" s="10">
        <v>130</v>
      </c>
      <c r="E29" s="31" t="s">
        <v>17</v>
      </c>
      <c r="F29" s="49">
        <v>0.05</v>
      </c>
      <c r="G29" s="11">
        <v>1</v>
      </c>
      <c r="H29" s="72">
        <f>+F29*B27</f>
        <v>24.900000000000002</v>
      </c>
      <c r="I29" s="68">
        <v>26.3</v>
      </c>
      <c r="J29" s="13">
        <f t="shared" si="31"/>
        <v>1.3999999999999986</v>
      </c>
      <c r="K29" s="76">
        <v>24.9</v>
      </c>
      <c r="L29" s="9">
        <f t="shared" si="35"/>
        <v>1.4000000000000021</v>
      </c>
      <c r="M29" s="79">
        <v>2.5</v>
      </c>
      <c r="N29" s="33">
        <f t="shared" si="36"/>
        <v>22.4</v>
      </c>
      <c r="O29" s="42">
        <f>+N29/B27</f>
        <v>4.4979919678714855E-2</v>
      </c>
      <c r="P29" s="19">
        <f>+L29+M29</f>
        <v>3.9000000000000021</v>
      </c>
      <c r="Q29" s="82">
        <v>0</v>
      </c>
      <c r="R29" s="9">
        <f t="shared" ref="R29:R35" si="38">+P29-Q29</f>
        <v>3.9000000000000021</v>
      </c>
      <c r="S29" s="9">
        <f t="shared" si="32"/>
        <v>3.9000000000000021</v>
      </c>
      <c r="T29" s="9">
        <f t="shared" si="33"/>
        <v>507.00000000000028</v>
      </c>
      <c r="U29" s="12">
        <f t="shared" si="37"/>
        <v>0.14828897338403049</v>
      </c>
      <c r="W29" s="102">
        <f t="shared" si="8"/>
        <v>26.3</v>
      </c>
      <c r="X29" s="103">
        <f t="shared" si="9"/>
        <v>24.9</v>
      </c>
      <c r="Y29" s="103">
        <f t="shared" si="10"/>
        <v>1.4000000000000021</v>
      </c>
      <c r="Z29" s="103">
        <f t="shared" si="11"/>
        <v>2.5</v>
      </c>
      <c r="AA29" s="284">
        <f t="shared" si="12"/>
        <v>0</v>
      </c>
      <c r="AB29" s="104">
        <f t="shared" si="34"/>
        <v>3.9000000000000021</v>
      </c>
    </row>
    <row r="30" spans="1:29" ht="20.25" customHeight="1" x14ac:dyDescent="0.35">
      <c r="A30" s="293"/>
      <c r="B30" s="296"/>
      <c r="C30" s="35" t="s">
        <v>85</v>
      </c>
      <c r="D30" s="10">
        <v>55</v>
      </c>
      <c r="E30" s="31" t="s">
        <v>17</v>
      </c>
      <c r="F30" s="49">
        <v>0.08</v>
      </c>
      <c r="G30" s="11">
        <v>1</v>
      </c>
      <c r="H30" s="72">
        <f>+F30*B27</f>
        <v>39.840000000000003</v>
      </c>
      <c r="I30" s="68">
        <v>41.5</v>
      </c>
      <c r="J30" s="13">
        <f t="shared" si="31"/>
        <v>1.6599999999999966</v>
      </c>
      <c r="K30" s="76">
        <v>39.799999999999997</v>
      </c>
      <c r="L30" s="9">
        <f t="shared" si="35"/>
        <v>1.7000000000000028</v>
      </c>
      <c r="M30" s="79">
        <v>3</v>
      </c>
      <c r="N30" s="23">
        <f t="shared" si="36"/>
        <v>36.799999999999997</v>
      </c>
      <c r="O30" s="42">
        <f>+N30/B27</f>
        <v>7.3895582329317269E-2</v>
      </c>
      <c r="P30" s="19">
        <f t="shared" ref="P30:P35" si="39">+L30+M30</f>
        <v>4.7000000000000028</v>
      </c>
      <c r="Q30" s="82">
        <v>0</v>
      </c>
      <c r="R30" s="9">
        <f t="shared" si="38"/>
        <v>4.7000000000000028</v>
      </c>
      <c r="S30" s="9">
        <f t="shared" si="32"/>
        <v>4.7000000000000028</v>
      </c>
      <c r="T30" s="9">
        <f t="shared" si="33"/>
        <v>258.50000000000017</v>
      </c>
      <c r="U30" s="12">
        <f t="shared" si="37"/>
        <v>0.11325301204819284</v>
      </c>
      <c r="W30" s="102">
        <f t="shared" si="8"/>
        <v>41.5</v>
      </c>
      <c r="X30" s="103">
        <f t="shared" si="9"/>
        <v>39.799999999999997</v>
      </c>
      <c r="Y30" s="103">
        <f t="shared" si="10"/>
        <v>1.7000000000000028</v>
      </c>
      <c r="Z30" s="103">
        <f t="shared" si="11"/>
        <v>3</v>
      </c>
      <c r="AA30" s="284">
        <f t="shared" si="12"/>
        <v>0</v>
      </c>
      <c r="AB30" s="104">
        <f t="shared" si="34"/>
        <v>4.7000000000000028</v>
      </c>
    </row>
    <row r="31" spans="1:29" ht="20.25" customHeight="1" x14ac:dyDescent="0.35">
      <c r="A31" s="293"/>
      <c r="B31" s="296"/>
      <c r="C31" s="35" t="s">
        <v>32</v>
      </c>
      <c r="D31" s="10">
        <v>48</v>
      </c>
      <c r="E31" s="31" t="s">
        <v>18</v>
      </c>
      <c r="F31" s="49">
        <v>0.06</v>
      </c>
      <c r="G31" s="11">
        <v>1</v>
      </c>
      <c r="H31" s="72">
        <f>+F31*B27</f>
        <v>29.88</v>
      </c>
      <c r="I31" s="68">
        <v>31.5</v>
      </c>
      <c r="J31" s="13">
        <f t="shared" si="31"/>
        <v>1.620000000000001</v>
      </c>
      <c r="K31" s="76">
        <v>29.9</v>
      </c>
      <c r="L31" s="9">
        <f t="shared" si="35"/>
        <v>1.6000000000000014</v>
      </c>
      <c r="M31" s="79">
        <v>4</v>
      </c>
      <c r="N31" s="33">
        <f t="shared" si="36"/>
        <v>25.9</v>
      </c>
      <c r="O31" s="42">
        <f>+N31/B27</f>
        <v>5.2008032128514056E-2</v>
      </c>
      <c r="P31" s="19">
        <f t="shared" si="39"/>
        <v>5.6000000000000014</v>
      </c>
      <c r="Q31" s="82">
        <v>0</v>
      </c>
      <c r="R31" s="9">
        <f t="shared" si="38"/>
        <v>5.6000000000000014</v>
      </c>
      <c r="S31" s="9">
        <f t="shared" si="32"/>
        <v>5.6000000000000014</v>
      </c>
      <c r="T31" s="9">
        <f t="shared" si="33"/>
        <v>268.80000000000007</v>
      </c>
      <c r="U31" s="12">
        <f t="shared" si="37"/>
        <v>0.17777777777777781</v>
      </c>
      <c r="W31" s="102">
        <f t="shared" si="8"/>
        <v>31.5</v>
      </c>
      <c r="X31" s="103">
        <f t="shared" si="9"/>
        <v>29.9</v>
      </c>
      <c r="Y31" s="103">
        <f t="shared" si="10"/>
        <v>1.6000000000000014</v>
      </c>
      <c r="Z31" s="103">
        <f t="shared" si="11"/>
        <v>4</v>
      </c>
      <c r="AA31" s="284">
        <f t="shared" si="12"/>
        <v>0</v>
      </c>
      <c r="AB31" s="104">
        <f t="shared" si="34"/>
        <v>5.6000000000000014</v>
      </c>
    </row>
    <row r="32" spans="1:29" ht="20.25" customHeight="1" x14ac:dyDescent="0.35">
      <c r="A32" s="293"/>
      <c r="B32" s="296"/>
      <c r="C32" s="35" t="s">
        <v>54</v>
      </c>
      <c r="D32" s="10">
        <v>35</v>
      </c>
      <c r="E32" s="31" t="s">
        <v>18</v>
      </c>
      <c r="F32" s="49">
        <v>0.06</v>
      </c>
      <c r="G32" s="11">
        <v>1</v>
      </c>
      <c r="H32" s="73">
        <v>30</v>
      </c>
      <c r="I32" s="68">
        <v>31</v>
      </c>
      <c r="J32" s="13">
        <f t="shared" si="31"/>
        <v>1</v>
      </c>
      <c r="K32" s="76">
        <v>29.9</v>
      </c>
      <c r="L32" s="9">
        <f t="shared" si="35"/>
        <v>1.1000000000000014</v>
      </c>
      <c r="M32" s="79">
        <v>4</v>
      </c>
      <c r="N32" s="23">
        <f t="shared" si="36"/>
        <v>25.9</v>
      </c>
      <c r="O32" s="42">
        <f>+N32/B27</f>
        <v>5.2008032128514056E-2</v>
      </c>
      <c r="P32" s="19">
        <f t="shared" si="39"/>
        <v>5.1000000000000014</v>
      </c>
      <c r="Q32" s="82">
        <v>0</v>
      </c>
      <c r="R32" s="9">
        <f t="shared" si="38"/>
        <v>5.1000000000000014</v>
      </c>
      <c r="S32" s="9">
        <f t="shared" si="32"/>
        <v>5.1000000000000014</v>
      </c>
      <c r="T32" s="9">
        <f t="shared" si="33"/>
        <v>178.50000000000006</v>
      </c>
      <c r="U32" s="12">
        <f t="shared" si="37"/>
        <v>0.16451612903225812</v>
      </c>
      <c r="W32" s="102">
        <f t="shared" si="8"/>
        <v>31</v>
      </c>
      <c r="X32" s="103">
        <f t="shared" si="9"/>
        <v>29.9</v>
      </c>
      <c r="Y32" s="103">
        <f t="shared" si="10"/>
        <v>1.1000000000000014</v>
      </c>
      <c r="Z32" s="103">
        <f t="shared" si="11"/>
        <v>4</v>
      </c>
      <c r="AA32" s="284">
        <f t="shared" si="12"/>
        <v>0</v>
      </c>
      <c r="AB32" s="104">
        <f t="shared" si="34"/>
        <v>5.1000000000000014</v>
      </c>
    </row>
    <row r="33" spans="1:29" ht="20.25" customHeight="1" x14ac:dyDescent="0.35">
      <c r="A33" s="293"/>
      <c r="B33" s="296"/>
      <c r="C33" s="35" t="s">
        <v>33</v>
      </c>
      <c r="D33" s="10">
        <v>50</v>
      </c>
      <c r="E33" s="31" t="s">
        <v>17</v>
      </c>
      <c r="F33" s="49">
        <v>0.03</v>
      </c>
      <c r="G33" s="11">
        <v>1</v>
      </c>
      <c r="H33" s="72">
        <f>+F33*B27</f>
        <v>14.94</v>
      </c>
      <c r="I33" s="68">
        <v>16.5</v>
      </c>
      <c r="J33" s="13">
        <f t="shared" si="31"/>
        <v>1.5600000000000005</v>
      </c>
      <c r="K33" s="76">
        <v>14.9</v>
      </c>
      <c r="L33" s="9">
        <f t="shared" si="35"/>
        <v>1.5999999999999996</v>
      </c>
      <c r="M33" s="79">
        <v>1.5</v>
      </c>
      <c r="N33" s="23">
        <f t="shared" si="36"/>
        <v>13.4</v>
      </c>
      <c r="O33" s="42">
        <f>+N33/B27</f>
        <v>2.6907630522088354E-2</v>
      </c>
      <c r="P33" s="19">
        <f t="shared" si="39"/>
        <v>3.0999999999999996</v>
      </c>
      <c r="Q33" s="82">
        <v>0</v>
      </c>
      <c r="R33" s="9">
        <f t="shared" si="38"/>
        <v>3.0999999999999996</v>
      </c>
      <c r="S33" s="9">
        <f t="shared" si="32"/>
        <v>3.0999999999999996</v>
      </c>
      <c r="T33" s="9">
        <f t="shared" si="33"/>
        <v>154.99999999999997</v>
      </c>
      <c r="U33" s="12">
        <f t="shared" si="37"/>
        <v>0.18787878787878787</v>
      </c>
      <c r="W33" s="102">
        <f t="shared" si="8"/>
        <v>16.5</v>
      </c>
      <c r="X33" s="103">
        <f t="shared" si="9"/>
        <v>14.9</v>
      </c>
      <c r="Y33" s="103">
        <f t="shared" si="10"/>
        <v>1.5999999999999996</v>
      </c>
      <c r="Z33" s="103">
        <f t="shared" si="11"/>
        <v>1.5</v>
      </c>
      <c r="AA33" s="284">
        <f t="shared" si="12"/>
        <v>0</v>
      </c>
      <c r="AB33" s="104">
        <f t="shared" si="34"/>
        <v>3.0999999999999996</v>
      </c>
    </row>
    <row r="34" spans="1:29" ht="20.25" customHeight="1" x14ac:dyDescent="0.35">
      <c r="A34" s="293"/>
      <c r="B34" s="296"/>
      <c r="C34" s="35" t="s">
        <v>34</v>
      </c>
      <c r="D34" s="31">
        <v>70</v>
      </c>
      <c r="E34" s="31" t="s">
        <v>17</v>
      </c>
      <c r="F34" s="11">
        <v>0.1</v>
      </c>
      <c r="G34" s="11">
        <v>1</v>
      </c>
      <c r="H34" s="72">
        <f>+F34*B27</f>
        <v>49.800000000000004</v>
      </c>
      <c r="I34" s="68">
        <v>50</v>
      </c>
      <c r="J34" s="13">
        <f t="shared" si="31"/>
        <v>0.19999999999999574</v>
      </c>
      <c r="K34" s="76">
        <v>49.8</v>
      </c>
      <c r="L34" s="9">
        <f t="shared" si="35"/>
        <v>0.20000000000000284</v>
      </c>
      <c r="M34" s="79">
        <v>0</v>
      </c>
      <c r="N34" s="23">
        <f t="shared" si="36"/>
        <v>49.8</v>
      </c>
      <c r="O34" s="42">
        <f>+N34/B27</f>
        <v>9.9999999999999992E-2</v>
      </c>
      <c r="P34" s="19">
        <f t="shared" si="39"/>
        <v>0.20000000000000284</v>
      </c>
      <c r="Q34" s="82">
        <v>0</v>
      </c>
      <c r="R34" s="9">
        <f t="shared" si="38"/>
        <v>0.20000000000000284</v>
      </c>
      <c r="S34" s="9">
        <f t="shared" si="32"/>
        <v>0.20000000000000284</v>
      </c>
      <c r="T34" s="9">
        <f t="shared" si="33"/>
        <v>14.000000000000199</v>
      </c>
      <c r="U34" s="12">
        <f t="shared" si="37"/>
        <v>4.0000000000000565E-3</v>
      </c>
      <c r="W34" s="102">
        <f t="shared" si="8"/>
        <v>50</v>
      </c>
      <c r="X34" s="103">
        <f t="shared" si="9"/>
        <v>49.8</v>
      </c>
      <c r="Y34" s="103">
        <f t="shared" si="10"/>
        <v>0.20000000000000284</v>
      </c>
      <c r="Z34" s="103">
        <f t="shared" si="11"/>
        <v>0</v>
      </c>
      <c r="AA34" s="284">
        <f t="shared" si="12"/>
        <v>0</v>
      </c>
      <c r="AB34" s="104">
        <f t="shared" si="34"/>
        <v>0.20000000000000284</v>
      </c>
    </row>
    <row r="35" spans="1:29" ht="20.25" customHeight="1" x14ac:dyDescent="0.35">
      <c r="A35" s="294"/>
      <c r="B35" s="297"/>
      <c r="C35" s="40" t="s">
        <v>35</v>
      </c>
      <c r="D35" s="44">
        <v>2</v>
      </c>
      <c r="E35" s="44" t="s">
        <v>16</v>
      </c>
      <c r="F35" s="53">
        <v>2</v>
      </c>
      <c r="G35" s="45">
        <v>0.04</v>
      </c>
      <c r="H35" s="72">
        <f>+F35*B27</f>
        <v>996</v>
      </c>
      <c r="I35" s="68">
        <v>1010</v>
      </c>
      <c r="J35" s="13">
        <f t="shared" si="31"/>
        <v>14</v>
      </c>
      <c r="K35" s="76">
        <v>996</v>
      </c>
      <c r="L35" s="9">
        <f t="shared" si="35"/>
        <v>14</v>
      </c>
      <c r="M35" s="79">
        <v>25</v>
      </c>
      <c r="N35" s="33">
        <f t="shared" si="36"/>
        <v>971</v>
      </c>
      <c r="O35" s="42">
        <f>+N35/B27</f>
        <v>1.9497991967871486</v>
      </c>
      <c r="P35" s="19">
        <f t="shared" si="39"/>
        <v>39</v>
      </c>
      <c r="Q35" s="82">
        <v>0</v>
      </c>
      <c r="R35" s="9">
        <f t="shared" si="38"/>
        <v>39</v>
      </c>
      <c r="S35" s="9">
        <f t="shared" si="32"/>
        <v>1.56</v>
      </c>
      <c r="T35" s="9">
        <f t="shared" si="33"/>
        <v>78</v>
      </c>
      <c r="U35" s="12">
        <f t="shared" si="37"/>
        <v>3.8613861386138613E-2</v>
      </c>
      <c r="W35" s="105">
        <f t="shared" si="8"/>
        <v>40.4</v>
      </c>
      <c r="X35" s="106">
        <f t="shared" si="9"/>
        <v>39.840000000000003</v>
      </c>
      <c r="Y35" s="106">
        <f t="shared" si="10"/>
        <v>0.56000000000000005</v>
      </c>
      <c r="Z35" s="106">
        <f t="shared" si="11"/>
        <v>1</v>
      </c>
      <c r="AA35" s="284">
        <f t="shared" si="12"/>
        <v>0</v>
      </c>
      <c r="AB35" s="107">
        <f t="shared" si="34"/>
        <v>1.56</v>
      </c>
    </row>
    <row r="36" spans="1:29" ht="23.25" customHeight="1" thickBot="1" x14ac:dyDescent="0.4">
      <c r="A36" s="27"/>
      <c r="B36" s="57"/>
      <c r="C36" s="29"/>
      <c r="D36" s="15"/>
      <c r="E36" s="15"/>
      <c r="F36" s="15"/>
      <c r="G36" s="15"/>
      <c r="H36" s="14"/>
      <c r="I36" s="15"/>
      <c r="J36" s="16"/>
      <c r="K36" s="14"/>
      <c r="L36" s="15"/>
      <c r="M36" s="16"/>
      <c r="N36" s="14"/>
      <c r="O36" s="16"/>
      <c r="P36" s="20"/>
      <c r="Q36" s="15"/>
      <c r="R36" s="15"/>
      <c r="S36" s="56">
        <f>SUM(S27:S35)</f>
        <v>38.660000000000032</v>
      </c>
      <c r="T36" s="56">
        <f>SUM(T27:T35)</f>
        <v>2006.3000000000013</v>
      </c>
      <c r="U36" s="16"/>
      <c r="W36" s="122">
        <f>SUM(W27:W35)</f>
        <v>488.7</v>
      </c>
      <c r="X36" s="109">
        <f t="shared" ref="X36:AB36" si="40">SUM(X27:X35)</f>
        <v>468.03999999999996</v>
      </c>
      <c r="Y36" s="109">
        <f t="shared" si="40"/>
        <v>20.660000000000021</v>
      </c>
      <c r="Z36" s="110">
        <f t="shared" si="40"/>
        <v>43</v>
      </c>
      <c r="AA36" s="285">
        <f>SUM(AA27:AA35)</f>
        <v>25</v>
      </c>
      <c r="AB36" s="288">
        <f t="shared" si="40"/>
        <v>38.660000000000032</v>
      </c>
      <c r="AC36" s="94"/>
    </row>
    <row r="37" spans="1:29" ht="31.5" customHeight="1" thickBot="1" x14ac:dyDescent="0.4">
      <c r="A37" s="58" t="s">
        <v>42</v>
      </c>
      <c r="B37" s="32">
        <f>+B4+B12+B22+B27</f>
        <v>2573</v>
      </c>
      <c r="C37" s="29"/>
      <c r="D37" s="15"/>
      <c r="E37" s="15"/>
      <c r="F37" s="15"/>
      <c r="G37" s="15"/>
      <c r="H37" s="14"/>
      <c r="I37" s="15"/>
      <c r="J37" s="16"/>
      <c r="K37" s="14"/>
      <c r="L37" s="15"/>
      <c r="M37" s="16"/>
      <c r="N37" s="14"/>
      <c r="O37" s="16"/>
      <c r="P37" s="20"/>
      <c r="Q37" s="15"/>
      <c r="R37" s="17"/>
      <c r="S37" s="85">
        <f>+S36+S26+S21+S11</f>
        <v>149.11000000000004</v>
      </c>
      <c r="T37" s="85">
        <f>+T36+T26+T21+T11</f>
        <v>7572.5000000000018</v>
      </c>
      <c r="U37" s="62"/>
      <c r="W37" s="108">
        <f>+W11+W21+W26+W36</f>
        <v>1968.3</v>
      </c>
      <c r="X37" s="119">
        <f t="shared" ref="X37:AB37" si="41">+X11+X21+X26+X36</f>
        <v>1906.04</v>
      </c>
      <c r="Y37" s="119">
        <f t="shared" si="41"/>
        <v>62.260000000000019</v>
      </c>
      <c r="Z37" s="121">
        <f>+Z11+Z21+Z26+Z36</f>
        <v>167.85</v>
      </c>
      <c r="AA37" s="121">
        <f>+AA11+AA21+AA26+AA36</f>
        <v>81</v>
      </c>
      <c r="AB37" s="120">
        <f t="shared" si="41"/>
        <v>149.11000000000004</v>
      </c>
      <c r="AC37" s="94"/>
    </row>
    <row r="38" spans="1:29" x14ac:dyDescent="0.35">
      <c r="B38" s="59"/>
      <c r="Y38" s="63"/>
    </row>
    <row r="39" spans="1:29" ht="15" thickBot="1" x14ac:dyDescent="0.4">
      <c r="W39" s="63"/>
      <c r="X39" s="63"/>
      <c r="Y39" s="63"/>
      <c r="Z39" s="63"/>
      <c r="AA39" s="63"/>
    </row>
    <row r="40" spans="1:29" ht="23.25" customHeight="1" x14ac:dyDescent="0.35">
      <c r="A40" s="271"/>
      <c r="B40" s="271"/>
      <c r="C40" s="271"/>
      <c r="D40" s="271"/>
      <c r="E40" s="271"/>
      <c r="F40" s="271"/>
      <c r="S40" s="298" t="s">
        <v>265</v>
      </c>
      <c r="T40" s="299"/>
      <c r="U40" s="299"/>
      <c r="V40" s="299"/>
      <c r="W40" s="299"/>
      <c r="X40" s="299"/>
      <c r="Y40" s="299"/>
      <c r="Z40" s="299"/>
      <c r="AA40" s="299"/>
      <c r="AB40" s="300"/>
    </row>
    <row r="41" spans="1:29" ht="45.75" customHeight="1" x14ac:dyDescent="0.35">
      <c r="A41" s="255"/>
      <c r="B41" s="255"/>
      <c r="C41" s="255"/>
      <c r="D41" s="260"/>
      <c r="E41" s="260"/>
      <c r="F41" s="261"/>
      <c r="O41" s="255"/>
      <c r="P41" s="255"/>
      <c r="S41" s="7" t="s">
        <v>6</v>
      </c>
      <c r="T41" s="8" t="s">
        <v>7</v>
      </c>
      <c r="U41" s="60" t="s">
        <v>241</v>
      </c>
      <c r="V41" s="60" t="s">
        <v>242</v>
      </c>
      <c r="W41" s="60" t="s">
        <v>243</v>
      </c>
      <c r="X41" s="60" t="s">
        <v>244</v>
      </c>
      <c r="Y41" s="60" t="s">
        <v>234</v>
      </c>
      <c r="Z41" s="60" t="s">
        <v>164</v>
      </c>
      <c r="AA41" s="60" t="s">
        <v>165</v>
      </c>
      <c r="AB41" s="61" t="s">
        <v>166</v>
      </c>
    </row>
    <row r="42" spans="1:29" ht="31.5" customHeight="1" x14ac:dyDescent="0.35">
      <c r="A42" s="262"/>
      <c r="B42" s="263"/>
      <c r="C42" s="264"/>
      <c r="D42" s="264"/>
      <c r="E42" s="265"/>
      <c r="F42" s="266"/>
      <c r="O42" s="256"/>
      <c r="P42" s="256"/>
      <c r="S42" s="91" t="s">
        <v>47</v>
      </c>
      <c r="T42" s="35">
        <f>+B4</f>
        <v>840</v>
      </c>
      <c r="U42" s="254">
        <f t="shared" ref="U42:Z42" si="42">+W11</f>
        <v>592.5</v>
      </c>
      <c r="V42" s="254">
        <f t="shared" si="42"/>
        <v>588</v>
      </c>
      <c r="W42" s="254">
        <f t="shared" si="42"/>
        <v>4.5</v>
      </c>
      <c r="X42" s="254">
        <f t="shared" si="42"/>
        <v>39.75</v>
      </c>
      <c r="Y42" s="291">
        <f t="shared" si="42"/>
        <v>4</v>
      </c>
      <c r="Z42" s="254">
        <f t="shared" si="42"/>
        <v>40.25</v>
      </c>
      <c r="AA42" s="95">
        <f>+Z42/T42</f>
        <v>4.791666666666667E-2</v>
      </c>
      <c r="AB42" s="253">
        <f>+Z42/U42</f>
        <v>6.7932489451476799E-2</v>
      </c>
    </row>
    <row r="43" spans="1:29" ht="31.5" customHeight="1" x14ac:dyDescent="0.35">
      <c r="A43" s="262"/>
      <c r="B43" s="263"/>
      <c r="C43" s="263"/>
      <c r="D43" s="264"/>
      <c r="E43" s="265"/>
      <c r="F43" s="266"/>
      <c r="O43" s="256"/>
      <c r="P43" s="256"/>
      <c r="Q43" s="133"/>
      <c r="R43" s="134"/>
      <c r="S43" s="91" t="s">
        <v>48</v>
      </c>
      <c r="T43" s="35">
        <f>+B12</f>
        <v>720</v>
      </c>
      <c r="U43" s="254">
        <f t="shared" ref="U43:Z43" si="43">+W21</f>
        <v>710</v>
      </c>
      <c r="V43" s="254">
        <f t="shared" si="43"/>
        <v>674.90000000000009</v>
      </c>
      <c r="W43" s="254">
        <f t="shared" si="43"/>
        <v>35.1</v>
      </c>
      <c r="X43" s="254">
        <f t="shared" si="43"/>
        <v>77.099999999999994</v>
      </c>
      <c r="Y43" s="291">
        <f t="shared" si="43"/>
        <v>52</v>
      </c>
      <c r="Z43" s="254">
        <f t="shared" si="43"/>
        <v>60.2</v>
      </c>
      <c r="AA43" s="95">
        <f>+Z43/T43</f>
        <v>8.3611111111111108E-2</v>
      </c>
      <c r="AB43" s="253">
        <f>+Z43/U43</f>
        <v>8.4788732394366198E-2</v>
      </c>
    </row>
    <row r="44" spans="1:29" ht="31.5" customHeight="1" x14ac:dyDescent="0.35">
      <c r="A44" s="262"/>
      <c r="B44" s="263"/>
      <c r="C44" s="263"/>
      <c r="D44" s="264"/>
      <c r="E44" s="265"/>
      <c r="F44" s="266"/>
      <c r="O44" s="256"/>
      <c r="P44" s="256"/>
      <c r="S44" s="91" t="s">
        <v>49</v>
      </c>
      <c r="T44" s="35">
        <f>+B22</f>
        <v>515</v>
      </c>
      <c r="U44" s="254">
        <f t="shared" ref="U44:Z44" si="44">+W26</f>
        <v>177.1</v>
      </c>
      <c r="V44" s="254">
        <f t="shared" si="44"/>
        <v>175.1</v>
      </c>
      <c r="W44" s="254">
        <f t="shared" si="44"/>
        <v>2</v>
      </c>
      <c r="X44" s="254">
        <f t="shared" si="44"/>
        <v>8</v>
      </c>
      <c r="Y44" s="291">
        <f t="shared" si="44"/>
        <v>0</v>
      </c>
      <c r="Z44" s="254">
        <f t="shared" si="44"/>
        <v>10</v>
      </c>
      <c r="AA44" s="95">
        <f>+Z44/T44</f>
        <v>1.9417475728155338E-2</v>
      </c>
      <c r="AB44" s="253">
        <f>+Z44/U44</f>
        <v>5.6465273856578208E-2</v>
      </c>
    </row>
    <row r="45" spans="1:29" ht="31.5" customHeight="1" x14ac:dyDescent="0.35">
      <c r="A45" s="262"/>
      <c r="B45" s="263"/>
      <c r="C45" s="264"/>
      <c r="D45" s="264"/>
      <c r="E45" s="265"/>
      <c r="F45" s="266"/>
      <c r="O45" s="256"/>
      <c r="P45" s="256"/>
      <c r="S45" s="91" t="s">
        <v>50</v>
      </c>
      <c r="T45" s="35">
        <f>+B27</f>
        <v>498</v>
      </c>
      <c r="U45" s="254">
        <f t="shared" ref="U45:Z45" si="45">+W36</f>
        <v>488.7</v>
      </c>
      <c r="V45" s="254">
        <f t="shared" si="45"/>
        <v>468.03999999999996</v>
      </c>
      <c r="W45" s="254">
        <f t="shared" si="45"/>
        <v>20.660000000000021</v>
      </c>
      <c r="X45" s="254">
        <f t="shared" si="45"/>
        <v>43</v>
      </c>
      <c r="Y45" s="291">
        <f t="shared" si="45"/>
        <v>25</v>
      </c>
      <c r="Z45" s="254">
        <f t="shared" si="45"/>
        <v>38.660000000000032</v>
      </c>
      <c r="AA45" s="95">
        <f>+Z45/T45</f>
        <v>7.7630522088353485E-2</v>
      </c>
      <c r="AB45" s="253">
        <f>+Z45/U45</f>
        <v>7.9107837118886914E-2</v>
      </c>
    </row>
    <row r="46" spans="1:29" ht="31.5" customHeight="1" thickBot="1" x14ac:dyDescent="0.4">
      <c r="A46" s="267"/>
      <c r="B46" s="268"/>
      <c r="C46" s="268"/>
      <c r="D46" s="269"/>
      <c r="E46" s="270"/>
      <c r="F46" s="266"/>
      <c r="G46" s="259"/>
      <c r="O46" s="257"/>
      <c r="P46" s="257"/>
      <c r="S46" s="93" t="s">
        <v>51</v>
      </c>
      <c r="T46" s="96">
        <f>SUM(T42:T45)</f>
        <v>2573</v>
      </c>
      <c r="U46" s="272">
        <f>SUM(U42:U45)</f>
        <v>1968.3</v>
      </c>
      <c r="V46" s="272">
        <f t="shared" ref="V46:Z46" si="46">SUM(V42:V45)</f>
        <v>1906.04</v>
      </c>
      <c r="W46" s="272">
        <f t="shared" si="46"/>
        <v>62.260000000000019</v>
      </c>
      <c r="X46" s="272">
        <f t="shared" si="46"/>
        <v>167.85</v>
      </c>
      <c r="Y46" s="272">
        <f t="shared" si="46"/>
        <v>81</v>
      </c>
      <c r="Z46" s="272">
        <f t="shared" si="46"/>
        <v>149.11000000000004</v>
      </c>
      <c r="AA46" s="273">
        <f>+Z46/T46</f>
        <v>5.7951807228915679E-2</v>
      </c>
      <c r="AB46" s="274">
        <f>+Z46/U46</f>
        <v>7.575572829345123E-2</v>
      </c>
    </row>
    <row r="47" spans="1:29" x14ac:dyDescent="0.35">
      <c r="S47" s="290" t="s">
        <v>236</v>
      </c>
      <c r="T47" s="262">
        <v>410</v>
      </c>
      <c r="U47">
        <v>368</v>
      </c>
    </row>
    <row r="48" spans="1:29" x14ac:dyDescent="0.35">
      <c r="T48" s="262">
        <f>+T46+T47</f>
        <v>2983</v>
      </c>
      <c r="U48" s="63">
        <f>+U47+U46</f>
        <v>2336.3000000000002</v>
      </c>
    </row>
  </sheetData>
  <mergeCells count="15">
    <mergeCell ref="A27:A35"/>
    <mergeCell ref="B27:B35"/>
    <mergeCell ref="S40:AB40"/>
    <mergeCell ref="A4:A10"/>
    <mergeCell ref="B4:B10"/>
    <mergeCell ref="A12:A20"/>
    <mergeCell ref="B12:B20"/>
    <mergeCell ref="A22:A25"/>
    <mergeCell ref="B22:B25"/>
    <mergeCell ref="P2:U2"/>
    <mergeCell ref="A1:F1"/>
    <mergeCell ref="A2:G2"/>
    <mergeCell ref="H2:J2"/>
    <mergeCell ref="K2:M2"/>
    <mergeCell ref="N2:O2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FF22F-5519-4561-A62E-217B56988550}">
  <dimension ref="A1:AC48"/>
  <sheetViews>
    <sheetView tabSelected="1" zoomScaleNormal="100" workbookViewId="0">
      <pane xSplit="7" ySplit="3" topLeftCell="H4" activePane="bottomRight" state="frozen"/>
      <selection pane="topRight" activeCell="H1" sqref="H1"/>
      <selection pane="bottomLeft" activeCell="A4" sqref="A4"/>
      <selection pane="bottomRight" activeCell="I11" sqref="I11"/>
    </sheetView>
  </sheetViews>
  <sheetFormatPr defaultRowHeight="14.5" x14ac:dyDescent="0.35"/>
  <cols>
    <col min="1" max="1" width="11" customWidth="1"/>
    <col min="2" max="2" width="7.81640625" customWidth="1"/>
    <col min="3" max="3" width="23.26953125" customWidth="1"/>
    <col min="4" max="4" width="9.1796875" customWidth="1"/>
    <col min="5" max="5" width="9.26953125" customWidth="1"/>
    <col min="6" max="6" width="10" customWidth="1"/>
    <col min="7" max="7" width="8.1796875" customWidth="1"/>
    <col min="8" max="8" width="12.54296875" customWidth="1"/>
    <col min="9" max="9" width="12.453125" customWidth="1"/>
    <col min="10" max="10" width="11" customWidth="1"/>
    <col min="11" max="11" width="9.453125" customWidth="1"/>
    <col min="12" max="12" width="11" customWidth="1"/>
    <col min="13" max="13" width="13.54296875" customWidth="1"/>
    <col min="14" max="14" width="14.81640625" customWidth="1"/>
    <col min="15" max="15" width="16" customWidth="1"/>
    <col min="16" max="16" width="11.26953125" customWidth="1"/>
    <col min="17" max="18" width="9.54296875" customWidth="1"/>
    <col min="19" max="19" width="12.54296875" customWidth="1"/>
    <col min="20" max="20" width="9.453125" customWidth="1"/>
    <col min="21" max="21" width="12.7265625" customWidth="1"/>
    <col min="22" max="22" width="10" customWidth="1"/>
    <col min="23" max="23" width="12.26953125" customWidth="1"/>
    <col min="24" max="24" width="11" customWidth="1"/>
    <col min="25" max="25" width="10.54296875" customWidth="1"/>
    <col min="26" max="26" width="11.26953125" customWidth="1"/>
    <col min="27" max="27" width="9.81640625" customWidth="1"/>
    <col min="28" max="28" width="11.26953125" customWidth="1"/>
  </cols>
  <sheetData>
    <row r="1" spans="1:29" ht="22.5" customHeight="1" thickBot="1" x14ac:dyDescent="0.4">
      <c r="A1" s="308" t="s">
        <v>36</v>
      </c>
      <c r="B1" s="309"/>
      <c r="C1" s="309"/>
      <c r="D1" s="309"/>
      <c r="E1" s="309"/>
      <c r="F1" s="310"/>
    </row>
    <row r="2" spans="1:29" ht="22.5" customHeight="1" thickBot="1" x14ac:dyDescent="0.4">
      <c r="A2" s="311" t="s">
        <v>271</v>
      </c>
      <c r="B2" s="312"/>
      <c r="C2" s="312"/>
      <c r="D2" s="312"/>
      <c r="E2" s="312"/>
      <c r="F2" s="312"/>
      <c r="G2" s="313"/>
      <c r="H2" s="314" t="s">
        <v>22</v>
      </c>
      <c r="I2" s="315"/>
      <c r="J2" s="316"/>
      <c r="K2" s="317" t="s">
        <v>23</v>
      </c>
      <c r="L2" s="318"/>
      <c r="M2" s="319"/>
      <c r="N2" s="320" t="s">
        <v>24</v>
      </c>
      <c r="O2" s="321"/>
      <c r="P2" s="305" t="s">
        <v>25</v>
      </c>
      <c r="Q2" s="306"/>
      <c r="R2" s="306"/>
      <c r="S2" s="306"/>
      <c r="T2" s="306"/>
      <c r="U2" s="307"/>
      <c r="W2" s="280" t="s">
        <v>43</v>
      </c>
      <c r="X2" s="281"/>
      <c r="Y2" s="281"/>
      <c r="Z2" s="281"/>
      <c r="AA2" s="283"/>
      <c r="AB2" s="282"/>
    </row>
    <row r="3" spans="1:29" ht="58.5" thickBot="1" x14ac:dyDescent="0.4">
      <c r="A3" s="39" t="s">
        <v>6</v>
      </c>
      <c r="B3" s="38" t="s">
        <v>7</v>
      </c>
      <c r="C3" s="38" t="s">
        <v>0</v>
      </c>
      <c r="D3" s="37" t="s">
        <v>15</v>
      </c>
      <c r="E3" s="38" t="s">
        <v>1</v>
      </c>
      <c r="F3" s="36" t="s">
        <v>27</v>
      </c>
      <c r="G3" s="37" t="s">
        <v>19</v>
      </c>
      <c r="H3" s="25" t="s">
        <v>4</v>
      </c>
      <c r="I3" s="89" t="s">
        <v>44</v>
      </c>
      <c r="J3" s="26" t="s">
        <v>29</v>
      </c>
      <c r="K3" s="88" t="s">
        <v>3</v>
      </c>
      <c r="L3" s="1" t="s">
        <v>28</v>
      </c>
      <c r="M3" s="87" t="s">
        <v>5</v>
      </c>
      <c r="N3" s="25" t="s">
        <v>20</v>
      </c>
      <c r="O3" s="275" t="s">
        <v>226</v>
      </c>
      <c r="P3" s="24" t="s">
        <v>8</v>
      </c>
      <c r="Q3" s="86" t="s">
        <v>9</v>
      </c>
      <c r="R3" s="2" t="s">
        <v>10</v>
      </c>
      <c r="S3" s="1" t="s">
        <v>26</v>
      </c>
      <c r="T3" s="1" t="s">
        <v>11</v>
      </c>
      <c r="U3" s="1" t="s">
        <v>30</v>
      </c>
      <c r="W3" s="43" t="s">
        <v>2</v>
      </c>
      <c r="X3" s="60" t="s">
        <v>3</v>
      </c>
      <c r="Y3" s="60" t="s">
        <v>28</v>
      </c>
      <c r="Z3" s="60" t="s">
        <v>5</v>
      </c>
      <c r="AA3" s="60" t="s">
        <v>233</v>
      </c>
      <c r="AB3" s="61" t="s">
        <v>26</v>
      </c>
    </row>
    <row r="4" spans="1:29" ht="20.25" customHeight="1" x14ac:dyDescent="0.35">
      <c r="A4" s="301" t="s">
        <v>37</v>
      </c>
      <c r="B4" s="303">
        <v>1904</v>
      </c>
      <c r="C4" s="34" t="s">
        <v>55</v>
      </c>
      <c r="D4" s="4">
        <v>2</v>
      </c>
      <c r="E4" s="30" t="s">
        <v>16</v>
      </c>
      <c r="F4" s="47">
        <v>2</v>
      </c>
      <c r="G4" s="5">
        <v>0.05</v>
      </c>
      <c r="H4" s="71">
        <f>+F4*B4</f>
        <v>3808</v>
      </c>
      <c r="I4" s="67">
        <v>3820</v>
      </c>
      <c r="J4" s="64">
        <f>I4-H4</f>
        <v>12</v>
      </c>
      <c r="K4" s="75">
        <v>3808</v>
      </c>
      <c r="L4" s="127">
        <f>+I4-K4</f>
        <v>12</v>
      </c>
      <c r="M4" s="78">
        <v>110</v>
      </c>
      <c r="N4" s="128">
        <f>+K4-M4</f>
        <v>3698</v>
      </c>
      <c r="O4" s="64">
        <f>+N4/B4</f>
        <v>1.9422268907563025</v>
      </c>
      <c r="P4" s="18">
        <f>+L4+M4</f>
        <v>122</v>
      </c>
      <c r="Q4" s="81">
        <v>40</v>
      </c>
      <c r="R4" s="3">
        <f t="shared" ref="R4:R10" si="0">+P4-Q4</f>
        <v>82</v>
      </c>
      <c r="S4" s="3">
        <f t="shared" ref="S4:S10" si="1">+R4*G4</f>
        <v>4.1000000000000005</v>
      </c>
      <c r="T4" s="3">
        <f t="shared" ref="T4:T10" si="2">+R4*D4</f>
        <v>164</v>
      </c>
      <c r="U4" s="6">
        <f>+R4/I4</f>
        <v>2.1465968586387434E-2</v>
      </c>
      <c r="W4" s="102">
        <f>+I4*G4</f>
        <v>191</v>
      </c>
      <c r="X4" s="103">
        <f>+K4*G4</f>
        <v>190.4</v>
      </c>
      <c r="Y4" s="103">
        <f>+L4*G4</f>
        <v>0.60000000000000009</v>
      </c>
      <c r="Z4" s="103">
        <f>+M4*G4</f>
        <v>5.5</v>
      </c>
      <c r="AA4" s="284">
        <f>+Q4*G4</f>
        <v>2</v>
      </c>
      <c r="AB4" s="104">
        <f t="shared" ref="AB4:AB10" si="3">+R4*G4</f>
        <v>4.1000000000000005</v>
      </c>
    </row>
    <row r="5" spans="1:29" ht="20.25" customHeight="1" x14ac:dyDescent="0.35">
      <c r="A5" s="302"/>
      <c r="B5" s="304"/>
      <c r="C5" s="35" t="s">
        <v>87</v>
      </c>
      <c r="D5" s="10">
        <v>4</v>
      </c>
      <c r="E5" s="31" t="s">
        <v>16</v>
      </c>
      <c r="F5" s="48">
        <v>2</v>
      </c>
      <c r="G5" s="11">
        <v>0.05</v>
      </c>
      <c r="H5" s="70">
        <f>+F5*B4</f>
        <v>3808</v>
      </c>
      <c r="I5" s="68">
        <v>3815</v>
      </c>
      <c r="J5" s="13">
        <f t="shared" ref="J5:J10" si="4">I5-H5</f>
        <v>7</v>
      </c>
      <c r="K5" s="76">
        <v>3808</v>
      </c>
      <c r="L5" s="9">
        <f t="shared" ref="L5:L10" si="5">+I5-K5</f>
        <v>7</v>
      </c>
      <c r="M5" s="79">
        <v>40</v>
      </c>
      <c r="N5" s="23">
        <f t="shared" ref="N5:N10" si="6">+K5-M5</f>
        <v>3768</v>
      </c>
      <c r="O5" s="65">
        <f>+N5/B4</f>
        <v>1.9789915966386555</v>
      </c>
      <c r="P5" s="19">
        <f>+L5+M5</f>
        <v>47</v>
      </c>
      <c r="Q5" s="82">
        <v>20</v>
      </c>
      <c r="R5" s="9">
        <f t="shared" si="0"/>
        <v>27</v>
      </c>
      <c r="S5" s="9">
        <f>+R5*G5</f>
        <v>1.35</v>
      </c>
      <c r="T5" s="9">
        <f t="shared" si="2"/>
        <v>108</v>
      </c>
      <c r="U5" s="12">
        <f t="shared" ref="U5:U9" si="7">+R5/I5</f>
        <v>7.0773263433813894E-3</v>
      </c>
      <c r="W5" s="102">
        <f t="shared" ref="W5:W35" si="8">+I5*G5</f>
        <v>190.75</v>
      </c>
      <c r="X5" s="103">
        <f t="shared" ref="X5:X35" si="9">+K5*G5</f>
        <v>190.4</v>
      </c>
      <c r="Y5" s="103">
        <f t="shared" ref="Y5:Y35" si="10">+L5*G5</f>
        <v>0.35000000000000003</v>
      </c>
      <c r="Z5" s="103">
        <f t="shared" ref="Z5:Z35" si="11">+M5*G5</f>
        <v>2</v>
      </c>
      <c r="AA5" s="284">
        <f t="shared" ref="AA5:AA35" si="12">+Q5*G5</f>
        <v>1</v>
      </c>
      <c r="AB5" s="104">
        <f t="shared" si="3"/>
        <v>1.35</v>
      </c>
    </row>
    <row r="6" spans="1:29" ht="20.25" customHeight="1" x14ac:dyDescent="0.35">
      <c r="A6" s="302"/>
      <c r="B6" s="304"/>
      <c r="C6" s="35" t="s">
        <v>122</v>
      </c>
      <c r="D6" s="10">
        <v>40</v>
      </c>
      <c r="E6" s="31" t="s">
        <v>17</v>
      </c>
      <c r="F6" s="49">
        <v>0.15</v>
      </c>
      <c r="G6" s="11">
        <v>1</v>
      </c>
      <c r="H6" s="72">
        <f>+F6*B4</f>
        <v>285.59999999999997</v>
      </c>
      <c r="I6" s="68">
        <v>290</v>
      </c>
      <c r="J6" s="13">
        <f t="shared" si="4"/>
        <v>4.4000000000000341</v>
      </c>
      <c r="K6" s="76">
        <v>285</v>
      </c>
      <c r="L6" s="9">
        <f t="shared" si="5"/>
        <v>5</v>
      </c>
      <c r="M6" s="79">
        <v>16.5</v>
      </c>
      <c r="N6" s="33">
        <f t="shared" si="6"/>
        <v>268.5</v>
      </c>
      <c r="O6" s="42">
        <f>+N6/B4</f>
        <v>0.14101890756302521</v>
      </c>
      <c r="P6" s="19">
        <f>+L6+M6</f>
        <v>21.5</v>
      </c>
      <c r="Q6" s="82">
        <v>0</v>
      </c>
      <c r="R6" s="9">
        <f t="shared" si="0"/>
        <v>21.5</v>
      </c>
      <c r="S6" s="9">
        <f t="shared" si="1"/>
        <v>21.5</v>
      </c>
      <c r="T6" s="9">
        <f t="shared" si="2"/>
        <v>860</v>
      </c>
      <c r="U6" s="12">
        <f t="shared" si="7"/>
        <v>7.4137931034482754E-2</v>
      </c>
      <c r="W6" s="102">
        <f t="shared" si="8"/>
        <v>290</v>
      </c>
      <c r="X6" s="103">
        <f t="shared" si="9"/>
        <v>285</v>
      </c>
      <c r="Y6" s="103">
        <f t="shared" si="10"/>
        <v>5</v>
      </c>
      <c r="Z6" s="103">
        <f t="shared" si="11"/>
        <v>16.5</v>
      </c>
      <c r="AA6" s="284">
        <f t="shared" si="12"/>
        <v>0</v>
      </c>
      <c r="AB6" s="104">
        <f t="shared" si="3"/>
        <v>21.5</v>
      </c>
    </row>
    <row r="7" spans="1:29" ht="20.25" customHeight="1" x14ac:dyDescent="0.35">
      <c r="A7" s="302"/>
      <c r="B7" s="304"/>
      <c r="C7" s="35" t="s">
        <v>12</v>
      </c>
      <c r="D7" s="10">
        <v>45</v>
      </c>
      <c r="E7" s="31" t="s">
        <v>17</v>
      </c>
      <c r="F7" s="49">
        <v>0.1</v>
      </c>
      <c r="G7" s="11">
        <v>1</v>
      </c>
      <c r="H7" s="72">
        <f>+F7*B4</f>
        <v>190.4</v>
      </c>
      <c r="I7" s="68">
        <v>194.5</v>
      </c>
      <c r="J7" s="13">
        <f t="shared" si="4"/>
        <v>4.0999999999999943</v>
      </c>
      <c r="K7" s="76">
        <v>190.4</v>
      </c>
      <c r="L7" s="9">
        <f t="shared" si="5"/>
        <v>4.0999999999999943</v>
      </c>
      <c r="M7" s="79">
        <v>12.5</v>
      </c>
      <c r="N7" s="23">
        <f t="shared" si="6"/>
        <v>177.9</v>
      </c>
      <c r="O7" s="42">
        <f>+N7/B4</f>
        <v>9.3434873949579833E-2</v>
      </c>
      <c r="P7" s="19">
        <f t="shared" ref="P7:P10" si="13">+L7+M7</f>
        <v>16.599999999999994</v>
      </c>
      <c r="Q7" s="82">
        <v>0</v>
      </c>
      <c r="R7" s="9">
        <f t="shared" si="0"/>
        <v>16.599999999999994</v>
      </c>
      <c r="S7" s="9">
        <f t="shared" si="1"/>
        <v>16.599999999999994</v>
      </c>
      <c r="T7" s="9">
        <f t="shared" si="2"/>
        <v>746.99999999999977</v>
      </c>
      <c r="U7" s="12">
        <f t="shared" si="7"/>
        <v>8.5347043701799463E-2</v>
      </c>
      <c r="W7" s="102">
        <f t="shared" si="8"/>
        <v>194.5</v>
      </c>
      <c r="X7" s="103">
        <f t="shared" si="9"/>
        <v>190.4</v>
      </c>
      <c r="Y7" s="103">
        <f t="shared" si="10"/>
        <v>4.0999999999999943</v>
      </c>
      <c r="Z7" s="103">
        <f t="shared" si="11"/>
        <v>12.5</v>
      </c>
      <c r="AA7" s="284">
        <f t="shared" si="12"/>
        <v>0</v>
      </c>
      <c r="AB7" s="104">
        <f t="shared" si="3"/>
        <v>16.599999999999994</v>
      </c>
    </row>
    <row r="8" spans="1:29" ht="20.25" customHeight="1" x14ac:dyDescent="0.35">
      <c r="A8" s="302"/>
      <c r="B8" s="304"/>
      <c r="C8" s="35" t="s">
        <v>13</v>
      </c>
      <c r="D8" s="10">
        <v>52</v>
      </c>
      <c r="E8" s="31" t="s">
        <v>17</v>
      </c>
      <c r="F8" s="49">
        <v>0.1</v>
      </c>
      <c r="G8" s="11">
        <v>1</v>
      </c>
      <c r="H8" s="72">
        <f>+F8*B4</f>
        <v>190.4</v>
      </c>
      <c r="I8" s="68">
        <v>193</v>
      </c>
      <c r="J8" s="13">
        <f t="shared" si="4"/>
        <v>2.5999999999999943</v>
      </c>
      <c r="K8" s="76">
        <v>190.4</v>
      </c>
      <c r="L8" s="9">
        <f>+I8-K8</f>
        <v>2.5999999999999943</v>
      </c>
      <c r="M8" s="79">
        <v>6.5</v>
      </c>
      <c r="N8" s="33">
        <f t="shared" si="6"/>
        <v>183.9</v>
      </c>
      <c r="O8" s="42">
        <f>+N8/B4</f>
        <v>9.6586134453781516E-2</v>
      </c>
      <c r="P8" s="19">
        <f t="shared" si="13"/>
        <v>9.0999999999999943</v>
      </c>
      <c r="Q8" s="82">
        <v>0</v>
      </c>
      <c r="R8" s="9">
        <f t="shared" si="0"/>
        <v>9.0999999999999943</v>
      </c>
      <c r="S8" s="9">
        <f t="shared" si="1"/>
        <v>9.0999999999999943</v>
      </c>
      <c r="T8" s="9">
        <f t="shared" si="2"/>
        <v>473.1999999999997</v>
      </c>
      <c r="U8" s="12">
        <f t="shared" si="7"/>
        <v>4.7150259067357481E-2</v>
      </c>
      <c r="W8" s="102">
        <f t="shared" si="8"/>
        <v>193</v>
      </c>
      <c r="X8" s="103">
        <f t="shared" si="9"/>
        <v>190.4</v>
      </c>
      <c r="Y8" s="103">
        <f t="shared" si="10"/>
        <v>2.5999999999999943</v>
      </c>
      <c r="Z8" s="103">
        <f t="shared" si="11"/>
        <v>6.5</v>
      </c>
      <c r="AA8" s="284">
        <f t="shared" si="12"/>
        <v>0</v>
      </c>
      <c r="AB8" s="104">
        <f t="shared" si="3"/>
        <v>9.0999999999999943</v>
      </c>
    </row>
    <row r="9" spans="1:29" ht="20.25" customHeight="1" x14ac:dyDescent="0.35">
      <c r="A9" s="302"/>
      <c r="B9" s="304"/>
      <c r="C9" s="35" t="s">
        <v>169</v>
      </c>
      <c r="D9" s="10">
        <v>90</v>
      </c>
      <c r="E9" s="31" t="s">
        <v>17</v>
      </c>
      <c r="F9" s="49">
        <v>0.1</v>
      </c>
      <c r="G9" s="11">
        <v>1</v>
      </c>
      <c r="H9" s="73">
        <f>+F9*B4</f>
        <v>190.4</v>
      </c>
      <c r="I9" s="68">
        <v>191.5</v>
      </c>
      <c r="J9" s="13">
        <f t="shared" si="4"/>
        <v>1.0999999999999943</v>
      </c>
      <c r="K9" s="76">
        <v>190.4</v>
      </c>
      <c r="L9" s="54">
        <f>+I9-K9</f>
        <v>1.0999999999999943</v>
      </c>
      <c r="M9" s="79">
        <v>1</v>
      </c>
      <c r="N9" s="23">
        <f t="shared" si="6"/>
        <v>189.4</v>
      </c>
      <c r="O9" s="42">
        <f>+N9/B4</f>
        <v>9.9474789915966394E-2</v>
      </c>
      <c r="P9" s="19">
        <f t="shared" si="13"/>
        <v>2.0999999999999943</v>
      </c>
      <c r="Q9" s="82">
        <v>0</v>
      </c>
      <c r="R9" s="9">
        <f t="shared" si="0"/>
        <v>2.0999999999999943</v>
      </c>
      <c r="S9" s="9">
        <f t="shared" si="1"/>
        <v>2.0999999999999943</v>
      </c>
      <c r="T9" s="9">
        <f t="shared" si="2"/>
        <v>188.99999999999949</v>
      </c>
      <c r="U9" s="12">
        <f t="shared" si="7"/>
        <v>1.0966057441253235E-2</v>
      </c>
      <c r="W9" s="102">
        <f t="shared" si="8"/>
        <v>191.5</v>
      </c>
      <c r="X9" s="103">
        <f t="shared" si="9"/>
        <v>190.4</v>
      </c>
      <c r="Y9" s="103">
        <f t="shared" si="10"/>
        <v>1.0999999999999943</v>
      </c>
      <c r="Z9" s="103">
        <f t="shared" si="11"/>
        <v>1</v>
      </c>
      <c r="AA9" s="284">
        <f t="shared" si="12"/>
        <v>0</v>
      </c>
      <c r="AB9" s="104">
        <f t="shared" si="3"/>
        <v>2.0999999999999943</v>
      </c>
    </row>
    <row r="10" spans="1:29" ht="20.25" customHeight="1" x14ac:dyDescent="0.35">
      <c r="A10" s="302"/>
      <c r="B10" s="304"/>
      <c r="C10" s="35" t="s">
        <v>14</v>
      </c>
      <c r="D10" s="10">
        <v>60</v>
      </c>
      <c r="E10" s="31" t="s">
        <v>18</v>
      </c>
      <c r="F10" s="49">
        <v>0.1</v>
      </c>
      <c r="G10" s="11">
        <v>1</v>
      </c>
      <c r="H10" s="72">
        <f>+F10*B4</f>
        <v>190.4</v>
      </c>
      <c r="I10" s="68">
        <v>193.5</v>
      </c>
      <c r="J10" s="13">
        <f t="shared" si="4"/>
        <v>3.0999999999999943</v>
      </c>
      <c r="K10" s="76">
        <v>190.4</v>
      </c>
      <c r="L10" s="9">
        <f t="shared" si="5"/>
        <v>3.0999999999999943</v>
      </c>
      <c r="M10" s="79">
        <v>4</v>
      </c>
      <c r="N10" s="33">
        <f t="shared" si="6"/>
        <v>186.4</v>
      </c>
      <c r="O10" s="42">
        <f>+N10/B4</f>
        <v>9.7899159663865545E-2</v>
      </c>
      <c r="P10" s="19">
        <f t="shared" si="13"/>
        <v>7.0999999999999943</v>
      </c>
      <c r="Q10" s="82">
        <v>0</v>
      </c>
      <c r="R10" s="9">
        <f t="shared" si="0"/>
        <v>7.0999999999999943</v>
      </c>
      <c r="S10" s="9">
        <f t="shared" si="1"/>
        <v>7.0999999999999943</v>
      </c>
      <c r="T10" s="9">
        <f t="shared" si="2"/>
        <v>425.99999999999966</v>
      </c>
      <c r="U10" s="12">
        <f>+R10/I10</f>
        <v>3.6692506459948294E-2</v>
      </c>
      <c r="W10" s="115">
        <f t="shared" si="8"/>
        <v>193.5</v>
      </c>
      <c r="X10" s="116">
        <f t="shared" si="9"/>
        <v>190.4</v>
      </c>
      <c r="Y10" s="116">
        <f t="shared" si="10"/>
        <v>3.0999999999999943</v>
      </c>
      <c r="Z10" s="116">
        <f t="shared" si="11"/>
        <v>4</v>
      </c>
      <c r="AA10" s="284">
        <f t="shared" si="12"/>
        <v>0</v>
      </c>
      <c r="AB10" s="117">
        <f t="shared" si="3"/>
        <v>7.0999999999999943</v>
      </c>
    </row>
    <row r="11" spans="1:29" ht="20.25" customHeight="1" thickBot="1" x14ac:dyDescent="0.4">
      <c r="A11" s="27"/>
      <c r="B11" s="51"/>
      <c r="C11" s="50"/>
      <c r="D11" s="15"/>
      <c r="E11" s="15"/>
      <c r="F11" s="15"/>
      <c r="G11" s="15"/>
      <c r="H11" s="74"/>
      <c r="I11" s="69"/>
      <c r="J11" s="16"/>
      <c r="K11" s="77"/>
      <c r="L11" s="15"/>
      <c r="M11" s="80"/>
      <c r="N11" s="14"/>
      <c r="O11" s="16"/>
      <c r="P11" s="20"/>
      <c r="Q11" s="83"/>
      <c r="R11" s="15"/>
      <c r="S11" s="84">
        <f>SUM(S4:S10)</f>
        <v>61.84999999999998</v>
      </c>
      <c r="T11" s="56">
        <f>SUM(T4:T10)</f>
        <v>2967.1999999999985</v>
      </c>
      <c r="U11" s="16"/>
      <c r="W11" s="118">
        <f>SUM(W4:W10)</f>
        <v>1444.25</v>
      </c>
      <c r="X11" s="109">
        <f t="shared" ref="X11:AB11" si="14">SUM(X4:X10)</f>
        <v>1427.4</v>
      </c>
      <c r="Y11" s="109">
        <f t="shared" si="14"/>
        <v>16.849999999999977</v>
      </c>
      <c r="Z11" s="110">
        <f t="shared" si="14"/>
        <v>48</v>
      </c>
      <c r="AA11" s="289">
        <f>SUM(AA4:AA10)</f>
        <v>3</v>
      </c>
      <c r="AB11" s="114">
        <f t="shared" si="14"/>
        <v>61.84999999999998</v>
      </c>
      <c r="AC11" s="94"/>
    </row>
    <row r="12" spans="1:29" ht="20.25" customHeight="1" x14ac:dyDescent="0.35">
      <c r="A12" s="292" t="s">
        <v>38</v>
      </c>
      <c r="B12" s="295">
        <v>1722</v>
      </c>
      <c r="C12" s="34" t="s">
        <v>31</v>
      </c>
      <c r="D12" s="4">
        <v>20</v>
      </c>
      <c r="E12" s="30" t="s">
        <v>17</v>
      </c>
      <c r="F12" s="52">
        <v>0.4</v>
      </c>
      <c r="G12" s="5">
        <v>1</v>
      </c>
      <c r="H12" s="71">
        <f>+F12*B12</f>
        <v>688.80000000000007</v>
      </c>
      <c r="I12" s="67">
        <v>700</v>
      </c>
      <c r="J12" s="64">
        <f>I12-H12</f>
        <v>11.199999999999932</v>
      </c>
      <c r="K12" s="75">
        <v>688.8</v>
      </c>
      <c r="L12" s="3">
        <f>+I12-K12</f>
        <v>11.200000000000045</v>
      </c>
      <c r="M12" s="78">
        <v>135</v>
      </c>
      <c r="N12" s="21">
        <f>+K12-M12</f>
        <v>553.79999999999995</v>
      </c>
      <c r="O12" s="276">
        <f>+N12/B12</f>
        <v>0.32160278745644599</v>
      </c>
      <c r="P12" s="18">
        <f>+L12+M12</f>
        <v>146.20000000000005</v>
      </c>
      <c r="Q12" s="81">
        <v>120</v>
      </c>
      <c r="R12" s="3">
        <f>+P12-Q12</f>
        <v>26.200000000000045</v>
      </c>
      <c r="S12" s="3">
        <f>+R12*G12</f>
        <v>26.200000000000045</v>
      </c>
      <c r="T12" s="3">
        <f t="shared" ref="T12:T20" si="15">+R12*D12</f>
        <v>524.00000000000091</v>
      </c>
      <c r="U12" s="6">
        <f>+R12/I12</f>
        <v>3.7428571428571492E-2</v>
      </c>
      <c r="W12" s="111">
        <f>+I12*G12</f>
        <v>700</v>
      </c>
      <c r="X12" s="112">
        <f t="shared" si="9"/>
        <v>688.8</v>
      </c>
      <c r="Y12" s="112">
        <f t="shared" si="10"/>
        <v>11.200000000000045</v>
      </c>
      <c r="Z12" s="112">
        <f t="shared" si="11"/>
        <v>135</v>
      </c>
      <c r="AA12" s="284">
        <f t="shared" si="12"/>
        <v>120</v>
      </c>
      <c r="AB12" s="113">
        <f t="shared" ref="AB12:AB20" si="16">+R12*G12</f>
        <v>26.200000000000045</v>
      </c>
    </row>
    <row r="13" spans="1:29" ht="20.25" customHeight="1" x14ac:dyDescent="0.35">
      <c r="A13" s="293"/>
      <c r="B13" s="296"/>
      <c r="C13" s="35" t="s">
        <v>272</v>
      </c>
      <c r="D13" s="10">
        <v>65</v>
      </c>
      <c r="E13" s="31" t="s">
        <v>17</v>
      </c>
      <c r="F13" s="49">
        <v>0.08</v>
      </c>
      <c r="G13" s="11">
        <v>1</v>
      </c>
      <c r="H13" s="70">
        <f>+F13*B12</f>
        <v>137.76</v>
      </c>
      <c r="I13" s="68">
        <v>140.5</v>
      </c>
      <c r="J13" s="65">
        <f>+I13-H13</f>
        <v>2.7400000000000091</v>
      </c>
      <c r="K13" s="76">
        <v>137.80000000000001</v>
      </c>
      <c r="L13" s="9">
        <f>+I13-K13</f>
        <v>2.6999999999999886</v>
      </c>
      <c r="M13" s="79">
        <v>9.5</v>
      </c>
      <c r="N13" s="23">
        <f>+K13-M13</f>
        <v>128.30000000000001</v>
      </c>
      <c r="O13" s="277">
        <f>+N13/B12</f>
        <v>7.4506387921022071E-2</v>
      </c>
      <c r="P13" s="19">
        <f>+L13+M13</f>
        <v>12.199999999999989</v>
      </c>
      <c r="Q13" s="82">
        <v>2</v>
      </c>
      <c r="R13" s="9">
        <f t="shared" ref="R13:R20" si="17">+P13-Q13</f>
        <v>10.199999999999989</v>
      </c>
      <c r="S13" s="9">
        <f>+R13*G13</f>
        <v>10.199999999999989</v>
      </c>
      <c r="T13" s="9">
        <f t="shared" si="15"/>
        <v>662.99999999999932</v>
      </c>
      <c r="U13" s="12">
        <f>+R13/I13</f>
        <v>7.2597864768683198E-2</v>
      </c>
      <c r="W13" s="102">
        <f>+I13*G13</f>
        <v>140.5</v>
      </c>
      <c r="X13" s="103">
        <f t="shared" si="9"/>
        <v>137.80000000000001</v>
      </c>
      <c r="Y13" s="103">
        <f t="shared" si="10"/>
        <v>2.6999999999999886</v>
      </c>
      <c r="Z13" s="103">
        <f>+M13*G13</f>
        <v>9.5</v>
      </c>
      <c r="AA13" s="284">
        <f t="shared" si="12"/>
        <v>2</v>
      </c>
      <c r="AB13" s="104">
        <f t="shared" si="16"/>
        <v>10.199999999999989</v>
      </c>
    </row>
    <row r="14" spans="1:29" ht="20.25" customHeight="1" x14ac:dyDescent="0.35">
      <c r="A14" s="293"/>
      <c r="B14" s="296"/>
      <c r="C14" s="35" t="s">
        <v>97</v>
      </c>
      <c r="D14" s="10">
        <v>85</v>
      </c>
      <c r="E14" s="31" t="s">
        <v>17</v>
      </c>
      <c r="F14" s="49">
        <v>0.05</v>
      </c>
      <c r="G14" s="11">
        <v>1</v>
      </c>
      <c r="H14" s="72">
        <f>+F14*B12</f>
        <v>86.100000000000009</v>
      </c>
      <c r="I14" s="68">
        <v>89</v>
      </c>
      <c r="J14" s="65">
        <f>+I14-H14</f>
        <v>2.8999999999999915</v>
      </c>
      <c r="K14" s="76">
        <v>76.099999999999994</v>
      </c>
      <c r="L14" s="9">
        <f t="shared" ref="L14:L20" si="18">+I14-K14</f>
        <v>12.900000000000006</v>
      </c>
      <c r="M14" s="79">
        <v>5</v>
      </c>
      <c r="N14" s="33">
        <f>+K14-M14</f>
        <v>71.099999999999994</v>
      </c>
      <c r="O14" s="277">
        <f>+N14/B12</f>
        <v>4.1289198606271775E-2</v>
      </c>
      <c r="P14" s="19">
        <f>+L14+M14</f>
        <v>17.900000000000006</v>
      </c>
      <c r="Q14" s="82">
        <v>10</v>
      </c>
      <c r="R14" s="9">
        <f t="shared" si="17"/>
        <v>7.9000000000000057</v>
      </c>
      <c r="S14" s="9">
        <f t="shared" ref="S14:S20" si="19">+R14*G14</f>
        <v>7.9000000000000057</v>
      </c>
      <c r="T14" s="9">
        <f t="shared" si="15"/>
        <v>671.50000000000045</v>
      </c>
      <c r="U14" s="12">
        <f t="shared" ref="U14:U20" si="20">+R14/I14</f>
        <v>8.8764044943820286E-2</v>
      </c>
      <c r="W14" s="102">
        <f t="shared" si="8"/>
        <v>89</v>
      </c>
      <c r="X14" s="103">
        <f t="shared" si="9"/>
        <v>76.099999999999994</v>
      </c>
      <c r="Y14" s="103">
        <f t="shared" si="10"/>
        <v>12.900000000000006</v>
      </c>
      <c r="Z14" s="103">
        <f>+M14*G14</f>
        <v>5</v>
      </c>
      <c r="AA14" s="284">
        <f t="shared" si="12"/>
        <v>10</v>
      </c>
      <c r="AB14" s="104">
        <f t="shared" si="16"/>
        <v>7.9000000000000057</v>
      </c>
    </row>
    <row r="15" spans="1:29" ht="20.25" customHeight="1" x14ac:dyDescent="0.35">
      <c r="A15" s="293"/>
      <c r="B15" s="296"/>
      <c r="C15" s="35" t="s">
        <v>273</v>
      </c>
      <c r="D15" s="10">
        <v>55</v>
      </c>
      <c r="E15" s="31" t="s">
        <v>17</v>
      </c>
      <c r="F15" s="49">
        <v>0.08</v>
      </c>
      <c r="G15" s="11">
        <v>1</v>
      </c>
      <c r="H15" s="72">
        <f>+F15*B12</f>
        <v>137.76</v>
      </c>
      <c r="I15" s="68">
        <v>139.5</v>
      </c>
      <c r="J15" s="13">
        <f>I15-H15</f>
        <v>1.7400000000000091</v>
      </c>
      <c r="K15" s="76">
        <v>137.80000000000001</v>
      </c>
      <c r="L15" s="9">
        <f>+I15-K15</f>
        <v>1.6999999999999886</v>
      </c>
      <c r="M15" s="79">
        <v>7</v>
      </c>
      <c r="N15" s="23">
        <f t="shared" ref="N15:N20" si="21">+K15-M15</f>
        <v>130.80000000000001</v>
      </c>
      <c r="O15" s="277">
        <f>+N15/B12</f>
        <v>7.5958188153310111E-2</v>
      </c>
      <c r="P15" s="19">
        <f t="shared" ref="P15:P20" si="22">+L15+M15</f>
        <v>8.6999999999999886</v>
      </c>
      <c r="Q15" s="82">
        <v>0</v>
      </c>
      <c r="R15" s="9">
        <f t="shared" si="17"/>
        <v>8.6999999999999886</v>
      </c>
      <c r="S15" s="9">
        <f t="shared" si="19"/>
        <v>8.6999999999999886</v>
      </c>
      <c r="T15" s="9">
        <f t="shared" si="15"/>
        <v>478.49999999999937</v>
      </c>
      <c r="U15" s="12">
        <f>+R15/I15</f>
        <v>6.2365591397849383E-2</v>
      </c>
      <c r="W15" s="102">
        <f>+I15*G15</f>
        <v>139.5</v>
      </c>
      <c r="X15" s="103">
        <f t="shared" si="9"/>
        <v>137.80000000000001</v>
      </c>
      <c r="Y15" s="103">
        <f t="shared" si="10"/>
        <v>1.6999999999999886</v>
      </c>
      <c r="Z15" s="103">
        <f t="shared" si="11"/>
        <v>7</v>
      </c>
      <c r="AA15" s="284">
        <f t="shared" si="12"/>
        <v>0</v>
      </c>
      <c r="AB15" s="104">
        <f t="shared" si="16"/>
        <v>8.6999999999999886</v>
      </c>
    </row>
    <row r="16" spans="1:29" ht="20.25" customHeight="1" x14ac:dyDescent="0.35">
      <c r="A16" s="293"/>
      <c r="B16" s="296"/>
      <c r="C16" s="35" t="s">
        <v>32</v>
      </c>
      <c r="D16" s="10">
        <v>48</v>
      </c>
      <c r="E16" s="31" t="s">
        <v>18</v>
      </c>
      <c r="F16" s="49">
        <v>0.06</v>
      </c>
      <c r="G16" s="11">
        <v>1</v>
      </c>
      <c r="H16" s="72">
        <f>+F16*B12</f>
        <v>103.32</v>
      </c>
      <c r="I16" s="68">
        <v>105</v>
      </c>
      <c r="J16" s="13">
        <f>I16-H16</f>
        <v>1.6800000000000068</v>
      </c>
      <c r="K16" s="76">
        <v>103.3</v>
      </c>
      <c r="L16" s="9">
        <f>+I16-K16</f>
        <v>1.7000000000000028</v>
      </c>
      <c r="M16" s="79">
        <v>11</v>
      </c>
      <c r="N16" s="33">
        <f t="shared" si="21"/>
        <v>92.3</v>
      </c>
      <c r="O16" s="277">
        <f>+N16/B12</f>
        <v>5.3600464576074328E-2</v>
      </c>
      <c r="P16" s="19">
        <f t="shared" si="22"/>
        <v>12.700000000000003</v>
      </c>
      <c r="Q16" s="82">
        <v>0</v>
      </c>
      <c r="R16" s="9">
        <f t="shared" si="17"/>
        <v>12.700000000000003</v>
      </c>
      <c r="S16" s="9">
        <f t="shared" si="19"/>
        <v>12.700000000000003</v>
      </c>
      <c r="T16" s="9">
        <f t="shared" si="15"/>
        <v>609.60000000000014</v>
      </c>
      <c r="U16" s="12">
        <f>+R16/I16</f>
        <v>0.12095238095238098</v>
      </c>
      <c r="W16" s="102">
        <f>+I16*G16</f>
        <v>105</v>
      </c>
      <c r="X16" s="103">
        <f t="shared" si="9"/>
        <v>103.3</v>
      </c>
      <c r="Y16" s="103">
        <f t="shared" si="10"/>
        <v>1.7000000000000028</v>
      </c>
      <c r="Z16" s="103">
        <f t="shared" si="11"/>
        <v>11</v>
      </c>
      <c r="AA16" s="284">
        <f t="shared" si="12"/>
        <v>0</v>
      </c>
      <c r="AB16" s="104">
        <f t="shared" si="16"/>
        <v>12.700000000000003</v>
      </c>
    </row>
    <row r="17" spans="1:29" ht="20.25" customHeight="1" x14ac:dyDescent="0.35">
      <c r="A17" s="293"/>
      <c r="B17" s="296"/>
      <c r="C17" s="35" t="s">
        <v>155</v>
      </c>
      <c r="D17" s="10">
        <v>35</v>
      </c>
      <c r="E17" s="31" t="s">
        <v>18</v>
      </c>
      <c r="F17" s="49">
        <v>0.06</v>
      </c>
      <c r="G17" s="11">
        <v>1</v>
      </c>
      <c r="H17" s="73">
        <f>+F17*B12</f>
        <v>103.32</v>
      </c>
      <c r="I17" s="68">
        <v>107</v>
      </c>
      <c r="J17" s="66">
        <f t="shared" ref="J17:J20" si="23">I17-H17</f>
        <v>3.6800000000000068</v>
      </c>
      <c r="K17" s="76">
        <v>103.3</v>
      </c>
      <c r="L17" s="9">
        <f t="shared" si="18"/>
        <v>3.7000000000000028</v>
      </c>
      <c r="M17" s="79">
        <v>12.3</v>
      </c>
      <c r="N17" s="23">
        <f t="shared" si="21"/>
        <v>91</v>
      </c>
      <c r="O17" s="277">
        <f>+N17/B12</f>
        <v>5.2845528455284556E-2</v>
      </c>
      <c r="P17" s="19">
        <f t="shared" si="22"/>
        <v>16.000000000000004</v>
      </c>
      <c r="Q17" s="82">
        <v>0</v>
      </c>
      <c r="R17" s="9">
        <f t="shared" si="17"/>
        <v>16.000000000000004</v>
      </c>
      <c r="S17" s="9">
        <f t="shared" si="19"/>
        <v>16.000000000000004</v>
      </c>
      <c r="T17" s="9">
        <f t="shared" si="15"/>
        <v>560.00000000000011</v>
      </c>
      <c r="U17" s="12">
        <f t="shared" si="20"/>
        <v>0.14953271028037388</v>
      </c>
      <c r="W17" s="102">
        <f t="shared" si="8"/>
        <v>107</v>
      </c>
      <c r="X17" s="103">
        <f t="shared" si="9"/>
        <v>103.3</v>
      </c>
      <c r="Y17" s="103">
        <f t="shared" si="10"/>
        <v>3.7000000000000028</v>
      </c>
      <c r="Z17" s="103">
        <f t="shared" si="11"/>
        <v>12.3</v>
      </c>
      <c r="AA17" s="284">
        <f t="shared" si="12"/>
        <v>0</v>
      </c>
      <c r="AB17" s="104">
        <f t="shared" si="16"/>
        <v>16.000000000000004</v>
      </c>
    </row>
    <row r="18" spans="1:29" ht="20.25" customHeight="1" x14ac:dyDescent="0.35">
      <c r="A18" s="293"/>
      <c r="B18" s="296"/>
      <c r="C18" s="35" t="s">
        <v>33</v>
      </c>
      <c r="D18" s="10">
        <v>50</v>
      </c>
      <c r="E18" s="31" t="s">
        <v>17</v>
      </c>
      <c r="F18" s="49">
        <v>0.03</v>
      </c>
      <c r="G18" s="11">
        <v>1</v>
      </c>
      <c r="H18" s="72">
        <f>+F18*B12</f>
        <v>51.66</v>
      </c>
      <c r="I18" s="68">
        <v>54.5</v>
      </c>
      <c r="J18" s="13">
        <f t="shared" si="23"/>
        <v>2.8400000000000034</v>
      </c>
      <c r="K18" s="76">
        <v>51.7</v>
      </c>
      <c r="L18" s="9">
        <f t="shared" si="18"/>
        <v>2.7999999999999972</v>
      </c>
      <c r="M18" s="79">
        <v>6</v>
      </c>
      <c r="N18" s="23">
        <f t="shared" si="21"/>
        <v>45.7</v>
      </c>
      <c r="O18" s="277">
        <f>+N18/B12</f>
        <v>2.6538908246225321E-2</v>
      </c>
      <c r="P18" s="19">
        <f t="shared" si="22"/>
        <v>8.7999999999999972</v>
      </c>
      <c r="Q18" s="82">
        <v>0</v>
      </c>
      <c r="R18" s="9">
        <f t="shared" si="17"/>
        <v>8.7999999999999972</v>
      </c>
      <c r="S18" s="9">
        <f t="shared" si="19"/>
        <v>8.7999999999999972</v>
      </c>
      <c r="T18" s="9">
        <f t="shared" si="15"/>
        <v>439.99999999999989</v>
      </c>
      <c r="U18" s="12">
        <f t="shared" si="20"/>
        <v>0.16146788990825683</v>
      </c>
      <c r="W18" s="102">
        <f t="shared" si="8"/>
        <v>54.5</v>
      </c>
      <c r="X18" s="103">
        <f t="shared" si="9"/>
        <v>51.7</v>
      </c>
      <c r="Y18" s="103">
        <f t="shared" si="10"/>
        <v>2.7999999999999972</v>
      </c>
      <c r="Z18" s="103">
        <f t="shared" si="11"/>
        <v>6</v>
      </c>
      <c r="AA18" s="284">
        <f t="shared" si="12"/>
        <v>0</v>
      </c>
      <c r="AB18" s="104">
        <f t="shared" si="16"/>
        <v>8.7999999999999972</v>
      </c>
    </row>
    <row r="19" spans="1:29" ht="20.25" customHeight="1" x14ac:dyDescent="0.35">
      <c r="A19" s="293"/>
      <c r="B19" s="296"/>
      <c r="C19" s="35" t="s">
        <v>34</v>
      </c>
      <c r="D19" s="31">
        <v>70</v>
      </c>
      <c r="E19" s="31" t="s">
        <v>17</v>
      </c>
      <c r="F19" s="11">
        <v>0.1</v>
      </c>
      <c r="G19" s="11">
        <v>1</v>
      </c>
      <c r="H19" s="72">
        <f>+F19*B12</f>
        <v>172.20000000000002</v>
      </c>
      <c r="I19" s="68">
        <v>172.2</v>
      </c>
      <c r="J19" s="13">
        <f t="shared" si="23"/>
        <v>0</v>
      </c>
      <c r="K19" s="76">
        <v>172.2</v>
      </c>
      <c r="L19" s="9">
        <f t="shared" si="18"/>
        <v>0</v>
      </c>
      <c r="M19" s="79">
        <v>0</v>
      </c>
      <c r="N19" s="23">
        <f t="shared" si="21"/>
        <v>172.2</v>
      </c>
      <c r="O19" s="277">
        <f>+N19/B12</f>
        <v>9.9999999999999992E-2</v>
      </c>
      <c r="P19" s="19">
        <f t="shared" si="22"/>
        <v>0</v>
      </c>
      <c r="Q19" s="82">
        <v>0</v>
      </c>
      <c r="R19" s="9">
        <f t="shared" si="17"/>
        <v>0</v>
      </c>
      <c r="S19" s="9">
        <f t="shared" si="19"/>
        <v>0</v>
      </c>
      <c r="T19" s="9">
        <f t="shared" si="15"/>
        <v>0</v>
      </c>
      <c r="U19" s="12">
        <f t="shared" si="20"/>
        <v>0</v>
      </c>
      <c r="W19" s="102">
        <f t="shared" si="8"/>
        <v>172.2</v>
      </c>
      <c r="X19" s="103">
        <f t="shared" si="9"/>
        <v>172.2</v>
      </c>
      <c r="Y19" s="103">
        <f t="shared" si="10"/>
        <v>0</v>
      </c>
      <c r="Z19" s="103">
        <f t="shared" si="11"/>
        <v>0</v>
      </c>
      <c r="AA19" s="284">
        <f t="shared" si="12"/>
        <v>0</v>
      </c>
      <c r="AB19" s="104">
        <f t="shared" si="16"/>
        <v>0</v>
      </c>
    </row>
    <row r="20" spans="1:29" ht="20.25" customHeight="1" x14ac:dyDescent="0.35">
      <c r="A20" s="294"/>
      <c r="B20" s="297"/>
      <c r="C20" s="40" t="s">
        <v>35</v>
      </c>
      <c r="D20" s="44">
        <v>2</v>
      </c>
      <c r="E20" s="44" t="s">
        <v>16</v>
      </c>
      <c r="F20" s="53">
        <v>2</v>
      </c>
      <c r="G20" s="45">
        <v>0.04</v>
      </c>
      <c r="H20" s="72">
        <f>+F20*B12</f>
        <v>3444</v>
      </c>
      <c r="I20" s="68">
        <v>3460</v>
      </c>
      <c r="J20" s="13">
        <f t="shared" si="23"/>
        <v>16</v>
      </c>
      <c r="K20" s="76">
        <v>3444</v>
      </c>
      <c r="L20" s="9">
        <f t="shared" si="18"/>
        <v>16</v>
      </c>
      <c r="M20" s="79">
        <v>35</v>
      </c>
      <c r="N20" s="33">
        <f t="shared" si="21"/>
        <v>3409</v>
      </c>
      <c r="O20" s="277">
        <f>+N20/B12</f>
        <v>1.9796747967479675</v>
      </c>
      <c r="P20" s="19">
        <f t="shared" si="22"/>
        <v>51</v>
      </c>
      <c r="Q20" s="82">
        <v>0</v>
      </c>
      <c r="R20" s="9">
        <f t="shared" si="17"/>
        <v>51</v>
      </c>
      <c r="S20" s="9">
        <f t="shared" si="19"/>
        <v>2.04</v>
      </c>
      <c r="T20" s="9">
        <f t="shared" si="15"/>
        <v>102</v>
      </c>
      <c r="U20" s="12">
        <f t="shared" si="20"/>
        <v>1.4739884393063583E-2</v>
      </c>
      <c r="W20" s="115">
        <f t="shared" si="8"/>
        <v>138.4</v>
      </c>
      <c r="X20" s="116">
        <f t="shared" si="9"/>
        <v>137.76</v>
      </c>
      <c r="Y20" s="116">
        <f t="shared" si="10"/>
        <v>0.64</v>
      </c>
      <c r="Z20" s="116">
        <f t="shared" si="11"/>
        <v>1.4000000000000001</v>
      </c>
      <c r="AA20" s="284">
        <f t="shared" si="12"/>
        <v>0</v>
      </c>
      <c r="AB20" s="117">
        <f t="shared" si="16"/>
        <v>2.04</v>
      </c>
    </row>
    <row r="21" spans="1:29" ht="20.25" customHeight="1" thickBot="1" x14ac:dyDescent="0.4">
      <c r="A21" s="27"/>
      <c r="B21" s="28"/>
      <c r="C21" s="29"/>
      <c r="D21" s="15"/>
      <c r="E21" s="15"/>
      <c r="F21" s="15"/>
      <c r="G21" s="15"/>
      <c r="H21" s="74"/>
      <c r="I21" s="69"/>
      <c r="J21" s="16"/>
      <c r="K21" s="77"/>
      <c r="L21" s="15"/>
      <c r="M21" s="80"/>
      <c r="N21" s="14"/>
      <c r="O21" s="278">
        <f>SUM(O12:O19)+0.06</f>
        <v>0.8063414634146342</v>
      </c>
      <c r="P21" s="20"/>
      <c r="Q21" s="83"/>
      <c r="R21" s="15"/>
      <c r="S21" s="56">
        <f>SUM(S12:S20)</f>
        <v>92.540000000000035</v>
      </c>
      <c r="T21" s="56">
        <f>SUM(T12:T20)</f>
        <v>4048.6000000000004</v>
      </c>
      <c r="U21" s="16"/>
      <c r="W21" s="118">
        <f>SUM(W12:W20)</f>
        <v>1646.1000000000001</v>
      </c>
      <c r="X21" s="110">
        <f t="shared" ref="X21:AB21" si="24">SUM(X12:X20)</f>
        <v>1608.76</v>
      </c>
      <c r="Y21" s="114">
        <f t="shared" si="24"/>
        <v>37.340000000000032</v>
      </c>
      <c r="Z21" s="109">
        <f t="shared" si="24"/>
        <v>187.20000000000002</v>
      </c>
      <c r="AA21" s="286">
        <f>SUM(AA12:AA20)</f>
        <v>132</v>
      </c>
      <c r="AB21" s="109">
        <f t="shared" si="24"/>
        <v>92.540000000000035</v>
      </c>
      <c r="AC21" s="94"/>
    </row>
    <row r="22" spans="1:29" ht="20.25" customHeight="1" x14ac:dyDescent="0.35">
      <c r="A22" s="292" t="s">
        <v>39</v>
      </c>
      <c r="B22" s="295">
        <v>1520</v>
      </c>
      <c r="C22" s="34" t="s">
        <v>93</v>
      </c>
      <c r="D22" s="4">
        <v>9.5</v>
      </c>
      <c r="E22" s="4" t="s">
        <v>16</v>
      </c>
      <c r="F22" s="135">
        <v>2</v>
      </c>
      <c r="G22" s="5">
        <v>0.03</v>
      </c>
      <c r="H22" s="71">
        <f>+F22*B22</f>
        <v>3040</v>
      </c>
      <c r="I22" s="67">
        <v>3050</v>
      </c>
      <c r="J22" s="22">
        <f>I22-H22</f>
        <v>10</v>
      </c>
      <c r="K22" s="75">
        <v>3040</v>
      </c>
      <c r="L22" s="3">
        <f>+I22-K22</f>
        <v>10</v>
      </c>
      <c r="M22" s="78">
        <v>15</v>
      </c>
      <c r="N22" s="21">
        <f>+K22-M22</f>
        <v>3025</v>
      </c>
      <c r="O22" s="41">
        <f>+N22/B22</f>
        <v>1.9901315789473684</v>
      </c>
      <c r="P22" s="18">
        <f>+L22+M22</f>
        <v>25</v>
      </c>
      <c r="Q22" s="81">
        <v>10</v>
      </c>
      <c r="R22" s="3">
        <f>+P22-Q22</f>
        <v>15</v>
      </c>
      <c r="S22" s="3">
        <f>+R22*G22</f>
        <v>0.44999999999999996</v>
      </c>
      <c r="T22" s="3">
        <f>+R22*D22</f>
        <v>142.5</v>
      </c>
      <c r="U22" s="6">
        <f>+R22/I22</f>
        <v>4.9180327868852463E-3</v>
      </c>
      <c r="W22" s="111">
        <f t="shared" si="8"/>
        <v>91.5</v>
      </c>
      <c r="X22" s="112">
        <f t="shared" si="9"/>
        <v>91.2</v>
      </c>
      <c r="Y22" s="112">
        <f t="shared" si="10"/>
        <v>0.3</v>
      </c>
      <c r="Z22" s="112">
        <f>+M22*G22</f>
        <v>0.44999999999999996</v>
      </c>
      <c r="AA22" s="284">
        <f t="shared" si="12"/>
        <v>0.3</v>
      </c>
      <c r="AB22" s="113">
        <f>+R22*G22</f>
        <v>0.44999999999999996</v>
      </c>
    </row>
    <row r="23" spans="1:29" ht="20.25" customHeight="1" x14ac:dyDescent="0.35">
      <c r="A23" s="293"/>
      <c r="B23" s="296"/>
      <c r="C23" s="35" t="s">
        <v>94</v>
      </c>
      <c r="D23" s="10">
        <v>0.64</v>
      </c>
      <c r="E23" s="10" t="s">
        <v>61</v>
      </c>
      <c r="F23" s="279">
        <v>1</v>
      </c>
      <c r="G23" s="11">
        <v>1</v>
      </c>
      <c r="H23" s="70">
        <f>+F23*B22</f>
        <v>1520</v>
      </c>
      <c r="I23" s="68">
        <v>1520</v>
      </c>
      <c r="J23" s="13">
        <f>I23-H23</f>
        <v>0</v>
      </c>
      <c r="K23" s="76">
        <v>1520</v>
      </c>
      <c r="L23" s="9">
        <f t="shared" ref="L23:L25" si="25">+I23-K23</f>
        <v>0</v>
      </c>
      <c r="M23" s="79">
        <v>20</v>
      </c>
      <c r="N23" s="23">
        <f>+K23-M23</f>
        <v>1500</v>
      </c>
      <c r="O23" s="42">
        <f>+N23/B22</f>
        <v>0.98684210526315785</v>
      </c>
      <c r="P23" s="19">
        <f>+L23+M23</f>
        <v>20</v>
      </c>
      <c r="Q23" s="82">
        <v>20</v>
      </c>
      <c r="R23" s="9">
        <f t="shared" ref="R23:R25" si="26">+P23-Q23</f>
        <v>0</v>
      </c>
      <c r="S23" s="9">
        <f>+R23*G23</f>
        <v>0</v>
      </c>
      <c r="T23" s="9">
        <f>+R23*D23</f>
        <v>0</v>
      </c>
      <c r="U23" s="12">
        <f t="shared" ref="U23:U25" si="27">+R23/I23</f>
        <v>0</v>
      </c>
      <c r="W23" s="102">
        <f t="shared" si="8"/>
        <v>1520</v>
      </c>
      <c r="X23" s="103">
        <f t="shared" si="9"/>
        <v>1520</v>
      </c>
      <c r="Y23" s="103">
        <f t="shared" si="10"/>
        <v>0</v>
      </c>
      <c r="Z23" s="103">
        <f>+M23*G23</f>
        <v>20</v>
      </c>
      <c r="AA23" s="284">
        <f t="shared" si="12"/>
        <v>20</v>
      </c>
      <c r="AB23" s="104">
        <f>+R23*G23</f>
        <v>0</v>
      </c>
    </row>
    <row r="24" spans="1:29" ht="20.25" customHeight="1" x14ac:dyDescent="0.35">
      <c r="A24" s="293"/>
      <c r="B24" s="296"/>
      <c r="C24" s="35" t="s">
        <v>145</v>
      </c>
      <c r="D24" s="10">
        <v>6</v>
      </c>
      <c r="E24" s="10" t="s">
        <v>16</v>
      </c>
      <c r="F24" s="126">
        <v>1</v>
      </c>
      <c r="G24" s="11">
        <v>0.05</v>
      </c>
      <c r="H24" s="72">
        <f>+F24*B22</f>
        <v>1520</v>
      </c>
      <c r="I24" s="68">
        <v>1520</v>
      </c>
      <c r="J24" s="13">
        <f>I24-H24</f>
        <v>0</v>
      </c>
      <c r="K24" s="76">
        <v>1520</v>
      </c>
      <c r="L24" s="9">
        <f t="shared" si="25"/>
        <v>0</v>
      </c>
      <c r="M24" s="79">
        <v>0</v>
      </c>
      <c r="N24" s="33">
        <f t="shared" ref="N24:N25" si="28">+K24-M24</f>
        <v>1520</v>
      </c>
      <c r="O24" s="42">
        <f>+N24/B22</f>
        <v>1</v>
      </c>
      <c r="P24" s="19">
        <f>+L24+M24</f>
        <v>0</v>
      </c>
      <c r="Q24" s="82">
        <v>0</v>
      </c>
      <c r="R24" s="9">
        <f t="shared" si="26"/>
        <v>0</v>
      </c>
      <c r="S24" s="9">
        <f>+R24*G24</f>
        <v>0</v>
      </c>
      <c r="T24" s="9">
        <f>+R24*D24</f>
        <v>0</v>
      </c>
      <c r="U24" s="12">
        <f t="shared" si="27"/>
        <v>0</v>
      </c>
      <c r="W24" s="102">
        <f t="shared" si="8"/>
        <v>76</v>
      </c>
      <c r="X24" s="103">
        <f t="shared" si="9"/>
        <v>76</v>
      </c>
      <c r="Y24" s="103">
        <f t="shared" si="10"/>
        <v>0</v>
      </c>
      <c r="Z24" s="103">
        <f t="shared" si="11"/>
        <v>0</v>
      </c>
      <c r="AA24" s="284">
        <f t="shared" si="12"/>
        <v>0</v>
      </c>
      <c r="AB24" s="104">
        <f>+R24*G24</f>
        <v>0</v>
      </c>
    </row>
    <row r="25" spans="1:29" ht="20.25" customHeight="1" x14ac:dyDescent="0.35">
      <c r="A25" s="293"/>
      <c r="B25" s="296"/>
      <c r="C25" s="35" t="s">
        <v>14</v>
      </c>
      <c r="D25" s="10">
        <v>60</v>
      </c>
      <c r="E25" s="10" t="s">
        <v>18</v>
      </c>
      <c r="F25" s="49">
        <v>0.1</v>
      </c>
      <c r="G25" s="11">
        <v>1</v>
      </c>
      <c r="H25" s="72">
        <f>+F25*B22</f>
        <v>152</v>
      </c>
      <c r="I25" s="68">
        <v>152</v>
      </c>
      <c r="J25" s="13">
        <f>I25-H25</f>
        <v>0</v>
      </c>
      <c r="K25" s="76">
        <v>152</v>
      </c>
      <c r="L25" s="9">
        <f t="shared" si="25"/>
        <v>0</v>
      </c>
      <c r="M25" s="79">
        <v>4.5</v>
      </c>
      <c r="N25" s="23">
        <f t="shared" si="28"/>
        <v>147.5</v>
      </c>
      <c r="O25" s="42">
        <f>+N25/B22</f>
        <v>9.7039473684210523E-2</v>
      </c>
      <c r="P25" s="19">
        <f t="shared" ref="P25" si="29">+L25+M25</f>
        <v>4.5</v>
      </c>
      <c r="Q25" s="82">
        <v>0</v>
      </c>
      <c r="R25" s="9">
        <f t="shared" si="26"/>
        <v>4.5</v>
      </c>
      <c r="S25" s="9">
        <f>+R25*G25</f>
        <v>4.5</v>
      </c>
      <c r="T25" s="9">
        <f>+R25*D25</f>
        <v>270</v>
      </c>
      <c r="U25" s="12">
        <f t="shared" si="27"/>
        <v>2.9605263157894735E-2</v>
      </c>
      <c r="W25" s="105">
        <f t="shared" si="8"/>
        <v>152</v>
      </c>
      <c r="X25" s="106">
        <f t="shared" si="9"/>
        <v>152</v>
      </c>
      <c r="Y25" s="106">
        <f t="shared" si="10"/>
        <v>0</v>
      </c>
      <c r="Z25" s="106">
        <f t="shared" si="11"/>
        <v>4.5</v>
      </c>
      <c r="AA25" s="284">
        <f t="shared" si="12"/>
        <v>0</v>
      </c>
      <c r="AB25" s="107">
        <f>+R25*G25</f>
        <v>4.5</v>
      </c>
    </row>
    <row r="26" spans="1:29" ht="21.75" customHeight="1" thickBot="1" x14ac:dyDescent="0.4">
      <c r="A26" s="27"/>
      <c r="B26" s="55"/>
      <c r="C26" s="29"/>
      <c r="D26" s="15"/>
      <c r="E26" s="15"/>
      <c r="F26" s="15"/>
      <c r="G26" s="15"/>
      <c r="H26" s="74"/>
      <c r="I26" s="69"/>
      <c r="J26" s="16"/>
      <c r="K26" s="77"/>
      <c r="L26" s="15"/>
      <c r="M26" s="80"/>
      <c r="N26" s="14"/>
      <c r="O26" s="16"/>
      <c r="P26" s="20"/>
      <c r="Q26" s="83"/>
      <c r="R26" s="15"/>
      <c r="S26" s="56">
        <f>SUM(S22:S25)</f>
        <v>4.95</v>
      </c>
      <c r="T26" s="56">
        <f>SUM(T22:T25)</f>
        <v>412.5</v>
      </c>
      <c r="U26" s="16"/>
      <c r="W26" s="123">
        <f>SUM(W22:W25)</f>
        <v>1839.5</v>
      </c>
      <c r="X26" s="124">
        <f t="shared" ref="X26:AB26" si="30">SUM(X22:X25)</f>
        <v>1839.2</v>
      </c>
      <c r="Y26" s="124">
        <f t="shared" si="30"/>
        <v>0.3</v>
      </c>
      <c r="Z26" s="124">
        <f t="shared" si="30"/>
        <v>24.95</v>
      </c>
      <c r="AA26" s="287">
        <f>SUM(AA22:AA25)</f>
        <v>20.3</v>
      </c>
      <c r="AB26" s="125">
        <f t="shared" si="30"/>
        <v>4.95</v>
      </c>
    </row>
    <row r="27" spans="1:29" ht="20.25" customHeight="1" x14ac:dyDescent="0.35">
      <c r="A27" s="292" t="s">
        <v>40</v>
      </c>
      <c r="B27" s="295">
        <v>752</v>
      </c>
      <c r="C27" s="34" t="s">
        <v>31</v>
      </c>
      <c r="D27" s="4">
        <v>20</v>
      </c>
      <c r="E27" s="30" t="s">
        <v>17</v>
      </c>
      <c r="F27" s="52">
        <v>0.4</v>
      </c>
      <c r="G27" s="5">
        <v>1</v>
      </c>
      <c r="H27" s="70">
        <f>+F27*B27</f>
        <v>300.8</v>
      </c>
      <c r="I27" s="67">
        <v>320</v>
      </c>
      <c r="J27" s="22">
        <f t="shared" ref="J27:J35" si="31">I27-H27</f>
        <v>19.199999999999989</v>
      </c>
      <c r="K27" s="75">
        <v>300.8</v>
      </c>
      <c r="L27" s="54">
        <f>+I27-K27</f>
        <v>19.199999999999989</v>
      </c>
      <c r="M27" s="78">
        <v>35</v>
      </c>
      <c r="N27" s="128">
        <f>+K27-M27</f>
        <v>265.8</v>
      </c>
      <c r="O27" s="41">
        <f>+N27/B27</f>
        <v>0.35345744680851066</v>
      </c>
      <c r="P27" s="18">
        <f>+L27+M27</f>
        <v>54.199999999999989</v>
      </c>
      <c r="Q27" s="81">
        <v>25</v>
      </c>
      <c r="R27" s="3">
        <f>+P27-Q27</f>
        <v>29.199999999999989</v>
      </c>
      <c r="S27" s="3">
        <f t="shared" ref="S27:S35" si="32">+R27*G27</f>
        <v>29.199999999999989</v>
      </c>
      <c r="T27" s="3">
        <f t="shared" ref="T27:T35" si="33">+R27*D27</f>
        <v>583.99999999999977</v>
      </c>
      <c r="U27" s="6">
        <f>+R27/I27</f>
        <v>9.124999999999997E-2</v>
      </c>
      <c r="W27" s="111">
        <f t="shared" si="8"/>
        <v>320</v>
      </c>
      <c r="X27" s="112">
        <f t="shared" si="9"/>
        <v>300.8</v>
      </c>
      <c r="Y27" s="112">
        <f t="shared" si="10"/>
        <v>19.199999999999989</v>
      </c>
      <c r="Z27" s="112">
        <f t="shared" si="11"/>
        <v>35</v>
      </c>
      <c r="AA27" s="284">
        <f t="shared" si="12"/>
        <v>25</v>
      </c>
      <c r="AB27" s="113">
        <f t="shared" ref="AB27:AB35" si="34">+R27*G27</f>
        <v>29.199999999999989</v>
      </c>
    </row>
    <row r="28" spans="1:29" ht="20.25" customHeight="1" x14ac:dyDescent="0.35">
      <c r="A28" s="293"/>
      <c r="B28" s="296"/>
      <c r="C28" s="35" t="s">
        <v>274</v>
      </c>
      <c r="D28" s="10">
        <v>65</v>
      </c>
      <c r="E28" s="31" t="s">
        <v>17</v>
      </c>
      <c r="F28" s="49">
        <v>0.08</v>
      </c>
      <c r="G28" s="11">
        <v>1</v>
      </c>
      <c r="H28" s="70">
        <f>+F28*B27</f>
        <v>60.160000000000004</v>
      </c>
      <c r="I28" s="68">
        <v>63.5</v>
      </c>
      <c r="J28" s="13">
        <f t="shared" si="31"/>
        <v>3.3399999999999963</v>
      </c>
      <c r="K28" s="76">
        <v>60.2</v>
      </c>
      <c r="L28" s="9">
        <f t="shared" ref="L28:L35" si="35">+I28-K28</f>
        <v>3.2999999999999972</v>
      </c>
      <c r="M28" s="79">
        <v>4</v>
      </c>
      <c r="N28" s="23">
        <f t="shared" ref="N28:N35" si="36">+K28-M28</f>
        <v>56.2</v>
      </c>
      <c r="O28" s="42">
        <f>+N28/B27</f>
        <v>7.4734042553191493E-2</v>
      </c>
      <c r="P28" s="19">
        <f>+L28+M28</f>
        <v>7.2999999999999972</v>
      </c>
      <c r="Q28" s="82">
        <v>0</v>
      </c>
      <c r="R28" s="9">
        <f>+P28-Q28</f>
        <v>7.2999999999999972</v>
      </c>
      <c r="S28" s="9">
        <f t="shared" si="32"/>
        <v>7.2999999999999972</v>
      </c>
      <c r="T28" s="9">
        <f t="shared" si="33"/>
        <v>474.49999999999983</v>
      </c>
      <c r="U28" s="12">
        <f t="shared" ref="U28:U35" si="37">+R28/I28</f>
        <v>0.1149606299212598</v>
      </c>
      <c r="W28" s="102">
        <f t="shared" si="8"/>
        <v>63.5</v>
      </c>
      <c r="X28" s="103">
        <f t="shared" si="9"/>
        <v>60.2</v>
      </c>
      <c r="Y28" s="103">
        <f t="shared" si="10"/>
        <v>3.2999999999999972</v>
      </c>
      <c r="Z28" s="103">
        <f t="shared" si="11"/>
        <v>4</v>
      </c>
      <c r="AA28" s="284">
        <f t="shared" si="12"/>
        <v>0</v>
      </c>
      <c r="AB28" s="104">
        <f t="shared" si="34"/>
        <v>7.2999999999999972</v>
      </c>
    </row>
    <row r="29" spans="1:29" ht="20.25" customHeight="1" x14ac:dyDescent="0.35">
      <c r="A29" s="293"/>
      <c r="B29" s="296"/>
      <c r="C29" s="35" t="s">
        <v>275</v>
      </c>
      <c r="D29" s="10">
        <v>130</v>
      </c>
      <c r="E29" s="31" t="s">
        <v>17</v>
      </c>
      <c r="F29" s="49">
        <v>0.05</v>
      </c>
      <c r="G29" s="11">
        <v>1</v>
      </c>
      <c r="H29" s="72">
        <f>+F29*B27</f>
        <v>37.6</v>
      </c>
      <c r="I29" s="68">
        <v>40.5</v>
      </c>
      <c r="J29" s="13">
        <f t="shared" si="31"/>
        <v>2.8999999999999986</v>
      </c>
      <c r="K29" s="76">
        <v>37.6</v>
      </c>
      <c r="L29" s="9">
        <f t="shared" si="35"/>
        <v>2.8999999999999986</v>
      </c>
      <c r="M29" s="79">
        <v>5</v>
      </c>
      <c r="N29" s="33">
        <f t="shared" si="36"/>
        <v>32.6</v>
      </c>
      <c r="O29" s="42">
        <f>+N29/B27</f>
        <v>4.3351063829787234E-2</v>
      </c>
      <c r="P29" s="19">
        <f>+L29+M29</f>
        <v>7.8999999999999986</v>
      </c>
      <c r="Q29" s="82">
        <v>0</v>
      </c>
      <c r="R29" s="9">
        <f t="shared" ref="R29:R35" si="38">+P29-Q29</f>
        <v>7.8999999999999986</v>
      </c>
      <c r="S29" s="9">
        <f t="shared" si="32"/>
        <v>7.8999999999999986</v>
      </c>
      <c r="T29" s="9">
        <f t="shared" si="33"/>
        <v>1026.9999999999998</v>
      </c>
      <c r="U29" s="12">
        <f t="shared" si="37"/>
        <v>0.1950617283950617</v>
      </c>
      <c r="W29" s="102">
        <f t="shared" si="8"/>
        <v>40.5</v>
      </c>
      <c r="X29" s="103">
        <f t="shared" si="9"/>
        <v>37.6</v>
      </c>
      <c r="Y29" s="103">
        <f t="shared" si="10"/>
        <v>2.8999999999999986</v>
      </c>
      <c r="Z29" s="103">
        <f t="shared" si="11"/>
        <v>5</v>
      </c>
      <c r="AA29" s="284">
        <f t="shared" si="12"/>
        <v>0</v>
      </c>
      <c r="AB29" s="104">
        <f t="shared" si="34"/>
        <v>7.8999999999999986</v>
      </c>
    </row>
    <row r="30" spans="1:29" ht="20.25" customHeight="1" x14ac:dyDescent="0.35">
      <c r="A30" s="293"/>
      <c r="B30" s="296"/>
      <c r="C30" s="35" t="s">
        <v>146</v>
      </c>
      <c r="D30" s="10">
        <v>55</v>
      </c>
      <c r="E30" s="31" t="s">
        <v>17</v>
      </c>
      <c r="F30" s="49">
        <v>0.08</v>
      </c>
      <c r="G30" s="11">
        <v>1</v>
      </c>
      <c r="H30" s="72">
        <f>+F30*B27</f>
        <v>60.160000000000004</v>
      </c>
      <c r="I30" s="68">
        <v>63</v>
      </c>
      <c r="J30" s="13">
        <f t="shared" si="31"/>
        <v>2.8399999999999963</v>
      </c>
      <c r="K30" s="76">
        <v>60.2</v>
      </c>
      <c r="L30" s="9">
        <f t="shared" si="35"/>
        <v>2.7999999999999972</v>
      </c>
      <c r="M30" s="79">
        <v>2.5</v>
      </c>
      <c r="N30" s="23">
        <f t="shared" si="36"/>
        <v>57.7</v>
      </c>
      <c r="O30" s="42">
        <f>+N30/B27</f>
        <v>7.6728723404255322E-2</v>
      </c>
      <c r="P30" s="19">
        <f t="shared" ref="P30:P35" si="39">+L30+M30</f>
        <v>5.2999999999999972</v>
      </c>
      <c r="Q30" s="82">
        <v>0</v>
      </c>
      <c r="R30" s="9">
        <f t="shared" si="38"/>
        <v>5.2999999999999972</v>
      </c>
      <c r="S30" s="9">
        <f t="shared" si="32"/>
        <v>5.2999999999999972</v>
      </c>
      <c r="T30" s="9">
        <f t="shared" si="33"/>
        <v>291.49999999999983</v>
      </c>
      <c r="U30" s="12">
        <f t="shared" si="37"/>
        <v>8.4126984126984078E-2</v>
      </c>
      <c r="W30" s="102">
        <f t="shared" si="8"/>
        <v>63</v>
      </c>
      <c r="X30" s="103">
        <f t="shared" si="9"/>
        <v>60.2</v>
      </c>
      <c r="Y30" s="103">
        <f t="shared" si="10"/>
        <v>2.7999999999999972</v>
      </c>
      <c r="Z30" s="103">
        <f t="shared" si="11"/>
        <v>2.5</v>
      </c>
      <c r="AA30" s="284">
        <f t="shared" si="12"/>
        <v>0</v>
      </c>
      <c r="AB30" s="104">
        <f t="shared" si="34"/>
        <v>5.2999999999999972</v>
      </c>
    </row>
    <row r="31" spans="1:29" ht="20.25" customHeight="1" x14ac:dyDescent="0.35">
      <c r="A31" s="293"/>
      <c r="B31" s="296"/>
      <c r="C31" s="35" t="s">
        <v>32</v>
      </c>
      <c r="D31" s="10">
        <v>48</v>
      </c>
      <c r="E31" s="31" t="s">
        <v>18</v>
      </c>
      <c r="F31" s="49">
        <v>0.06</v>
      </c>
      <c r="G31" s="11">
        <v>1</v>
      </c>
      <c r="H31" s="72">
        <f>+F31*B27</f>
        <v>45.12</v>
      </c>
      <c r="I31" s="68">
        <v>46</v>
      </c>
      <c r="J31" s="13">
        <f t="shared" si="31"/>
        <v>0.88000000000000256</v>
      </c>
      <c r="K31" s="76">
        <v>45.1</v>
      </c>
      <c r="L31" s="9">
        <f t="shared" si="35"/>
        <v>0.89999999999999858</v>
      </c>
      <c r="M31" s="79">
        <v>2</v>
      </c>
      <c r="N31" s="33">
        <f t="shared" si="36"/>
        <v>43.1</v>
      </c>
      <c r="O31" s="42">
        <f>+N31/B27</f>
        <v>5.7313829787234045E-2</v>
      </c>
      <c r="P31" s="19">
        <f t="shared" si="39"/>
        <v>2.8999999999999986</v>
      </c>
      <c r="Q31" s="82">
        <v>0</v>
      </c>
      <c r="R31" s="9">
        <f t="shared" si="38"/>
        <v>2.8999999999999986</v>
      </c>
      <c r="S31" s="9">
        <f t="shared" si="32"/>
        <v>2.8999999999999986</v>
      </c>
      <c r="T31" s="9">
        <f t="shared" si="33"/>
        <v>139.19999999999993</v>
      </c>
      <c r="U31" s="12">
        <f t="shared" si="37"/>
        <v>6.3043478260869534E-2</v>
      </c>
      <c r="W31" s="102">
        <f t="shared" si="8"/>
        <v>46</v>
      </c>
      <c r="X31" s="103">
        <f t="shared" si="9"/>
        <v>45.1</v>
      </c>
      <c r="Y31" s="103">
        <f t="shared" si="10"/>
        <v>0.89999999999999858</v>
      </c>
      <c r="Z31" s="103">
        <f t="shared" si="11"/>
        <v>2</v>
      </c>
      <c r="AA31" s="284">
        <f t="shared" si="12"/>
        <v>0</v>
      </c>
      <c r="AB31" s="104">
        <f t="shared" si="34"/>
        <v>2.8999999999999986</v>
      </c>
    </row>
    <row r="32" spans="1:29" ht="20.25" customHeight="1" x14ac:dyDescent="0.35">
      <c r="A32" s="293"/>
      <c r="B32" s="296"/>
      <c r="C32" s="35" t="s">
        <v>54</v>
      </c>
      <c r="D32" s="10">
        <v>35</v>
      </c>
      <c r="E32" s="31" t="s">
        <v>18</v>
      </c>
      <c r="F32" s="49">
        <v>0.06</v>
      </c>
      <c r="G32" s="11">
        <v>1</v>
      </c>
      <c r="H32" s="72">
        <f>+F32*B27</f>
        <v>45.12</v>
      </c>
      <c r="I32" s="68">
        <v>48</v>
      </c>
      <c r="J32" s="13">
        <f t="shared" si="31"/>
        <v>2.8800000000000026</v>
      </c>
      <c r="K32" s="76">
        <v>45.1</v>
      </c>
      <c r="L32" s="9">
        <f t="shared" si="35"/>
        <v>2.8999999999999986</v>
      </c>
      <c r="M32" s="79">
        <v>2.5</v>
      </c>
      <c r="N32" s="23">
        <f t="shared" si="36"/>
        <v>42.6</v>
      </c>
      <c r="O32" s="42">
        <f>+N32/B27</f>
        <v>5.6648936170212764E-2</v>
      </c>
      <c r="P32" s="19">
        <f t="shared" si="39"/>
        <v>5.3999999999999986</v>
      </c>
      <c r="Q32" s="82">
        <v>0</v>
      </c>
      <c r="R32" s="9">
        <f t="shared" si="38"/>
        <v>5.3999999999999986</v>
      </c>
      <c r="S32" s="9">
        <f t="shared" si="32"/>
        <v>5.3999999999999986</v>
      </c>
      <c r="T32" s="9">
        <f t="shared" si="33"/>
        <v>188.99999999999994</v>
      </c>
      <c r="U32" s="12">
        <f t="shared" si="37"/>
        <v>0.11249999999999998</v>
      </c>
      <c r="W32" s="102">
        <f t="shared" si="8"/>
        <v>48</v>
      </c>
      <c r="X32" s="103">
        <f t="shared" si="9"/>
        <v>45.1</v>
      </c>
      <c r="Y32" s="103">
        <f t="shared" si="10"/>
        <v>2.8999999999999986</v>
      </c>
      <c r="Z32" s="103">
        <f t="shared" si="11"/>
        <v>2.5</v>
      </c>
      <c r="AA32" s="284">
        <f t="shared" si="12"/>
        <v>0</v>
      </c>
      <c r="AB32" s="104">
        <f t="shared" si="34"/>
        <v>5.3999999999999986</v>
      </c>
    </row>
    <row r="33" spans="1:29" ht="20.25" customHeight="1" x14ac:dyDescent="0.35">
      <c r="A33" s="293"/>
      <c r="B33" s="296"/>
      <c r="C33" s="35" t="s">
        <v>33</v>
      </c>
      <c r="D33" s="10">
        <v>50</v>
      </c>
      <c r="E33" s="31" t="s">
        <v>17</v>
      </c>
      <c r="F33" s="49">
        <v>0.03</v>
      </c>
      <c r="G33" s="11">
        <v>1</v>
      </c>
      <c r="H33" s="72">
        <f>+F33*B27</f>
        <v>22.56</v>
      </c>
      <c r="I33" s="68">
        <v>24</v>
      </c>
      <c r="J33" s="13">
        <f t="shared" si="31"/>
        <v>1.4400000000000013</v>
      </c>
      <c r="K33" s="76">
        <v>22.6</v>
      </c>
      <c r="L33" s="9">
        <f t="shared" si="35"/>
        <v>1.3999999999999986</v>
      </c>
      <c r="M33" s="79">
        <v>1.5</v>
      </c>
      <c r="N33" s="23">
        <f t="shared" si="36"/>
        <v>21.1</v>
      </c>
      <c r="O33" s="42">
        <f>+N33/B27</f>
        <v>2.8058510638297875E-2</v>
      </c>
      <c r="P33" s="19">
        <f t="shared" si="39"/>
        <v>2.8999999999999986</v>
      </c>
      <c r="Q33" s="82">
        <v>0</v>
      </c>
      <c r="R33" s="9">
        <f t="shared" si="38"/>
        <v>2.8999999999999986</v>
      </c>
      <c r="S33" s="9">
        <f t="shared" si="32"/>
        <v>2.8999999999999986</v>
      </c>
      <c r="T33" s="9">
        <f t="shared" si="33"/>
        <v>144.99999999999994</v>
      </c>
      <c r="U33" s="12">
        <f t="shared" si="37"/>
        <v>0.12083333333333328</v>
      </c>
      <c r="W33" s="102">
        <f t="shared" si="8"/>
        <v>24</v>
      </c>
      <c r="X33" s="103">
        <f t="shared" si="9"/>
        <v>22.6</v>
      </c>
      <c r="Y33" s="103">
        <f t="shared" si="10"/>
        <v>1.3999999999999986</v>
      </c>
      <c r="Z33" s="103">
        <f t="shared" si="11"/>
        <v>1.5</v>
      </c>
      <c r="AA33" s="284">
        <f t="shared" si="12"/>
        <v>0</v>
      </c>
      <c r="AB33" s="104">
        <f t="shared" si="34"/>
        <v>2.8999999999999986</v>
      </c>
    </row>
    <row r="34" spans="1:29" ht="20.25" customHeight="1" x14ac:dyDescent="0.35">
      <c r="A34" s="293"/>
      <c r="B34" s="296"/>
      <c r="C34" s="35" t="s">
        <v>34</v>
      </c>
      <c r="D34" s="31">
        <v>70</v>
      </c>
      <c r="E34" s="31" t="s">
        <v>17</v>
      </c>
      <c r="F34" s="11">
        <v>0.1</v>
      </c>
      <c r="G34" s="11">
        <v>1</v>
      </c>
      <c r="H34" s="72">
        <f>+F34*B27</f>
        <v>75.2</v>
      </c>
      <c r="I34" s="68">
        <v>76</v>
      </c>
      <c r="J34" s="13">
        <f t="shared" si="31"/>
        <v>0.79999999999999716</v>
      </c>
      <c r="K34" s="76">
        <v>75.2</v>
      </c>
      <c r="L34" s="9">
        <f t="shared" si="35"/>
        <v>0.79999999999999716</v>
      </c>
      <c r="M34" s="79">
        <v>0</v>
      </c>
      <c r="N34" s="23">
        <f t="shared" si="36"/>
        <v>75.2</v>
      </c>
      <c r="O34" s="42">
        <f>+N34/B27</f>
        <v>0.1</v>
      </c>
      <c r="P34" s="19">
        <f t="shared" si="39"/>
        <v>0.79999999999999716</v>
      </c>
      <c r="Q34" s="82">
        <v>0</v>
      </c>
      <c r="R34" s="9">
        <f t="shared" si="38"/>
        <v>0.79999999999999716</v>
      </c>
      <c r="S34" s="9">
        <f t="shared" si="32"/>
        <v>0.79999999999999716</v>
      </c>
      <c r="T34" s="9">
        <f t="shared" si="33"/>
        <v>55.999999999999801</v>
      </c>
      <c r="U34" s="12">
        <f t="shared" si="37"/>
        <v>1.0526315789473648E-2</v>
      </c>
      <c r="W34" s="102">
        <f t="shared" si="8"/>
        <v>76</v>
      </c>
      <c r="X34" s="103">
        <f t="shared" si="9"/>
        <v>75.2</v>
      </c>
      <c r="Y34" s="103">
        <f t="shared" si="10"/>
        <v>0.79999999999999716</v>
      </c>
      <c r="Z34" s="103">
        <f t="shared" si="11"/>
        <v>0</v>
      </c>
      <c r="AA34" s="284">
        <f t="shared" si="12"/>
        <v>0</v>
      </c>
      <c r="AB34" s="104">
        <f t="shared" si="34"/>
        <v>0.79999999999999716</v>
      </c>
    </row>
    <row r="35" spans="1:29" ht="20.25" customHeight="1" x14ac:dyDescent="0.35">
      <c r="A35" s="294"/>
      <c r="B35" s="297"/>
      <c r="C35" s="40" t="s">
        <v>35</v>
      </c>
      <c r="D35" s="44">
        <v>2</v>
      </c>
      <c r="E35" s="44" t="s">
        <v>16</v>
      </c>
      <c r="F35" s="53">
        <v>2</v>
      </c>
      <c r="G35" s="45">
        <v>0.04</v>
      </c>
      <c r="H35" s="72">
        <f>+F35*B27</f>
        <v>1504</v>
      </c>
      <c r="I35" s="68">
        <v>1530</v>
      </c>
      <c r="J35" s="13">
        <f t="shared" si="31"/>
        <v>26</v>
      </c>
      <c r="K35" s="76">
        <v>1504</v>
      </c>
      <c r="L35" s="9">
        <f t="shared" si="35"/>
        <v>26</v>
      </c>
      <c r="M35" s="79">
        <v>20</v>
      </c>
      <c r="N35" s="33">
        <f t="shared" si="36"/>
        <v>1484</v>
      </c>
      <c r="O35" s="42">
        <f>+N35/B27</f>
        <v>1.9734042553191489</v>
      </c>
      <c r="P35" s="19">
        <f t="shared" si="39"/>
        <v>46</v>
      </c>
      <c r="Q35" s="82">
        <v>0</v>
      </c>
      <c r="R35" s="9">
        <f t="shared" si="38"/>
        <v>46</v>
      </c>
      <c r="S35" s="9">
        <f t="shared" si="32"/>
        <v>1.84</v>
      </c>
      <c r="T35" s="9">
        <f t="shared" si="33"/>
        <v>92</v>
      </c>
      <c r="U35" s="12">
        <f t="shared" si="37"/>
        <v>3.0065359477124184E-2</v>
      </c>
      <c r="W35" s="105">
        <f t="shared" si="8"/>
        <v>61.2</v>
      </c>
      <c r="X35" s="106">
        <f t="shared" si="9"/>
        <v>60.160000000000004</v>
      </c>
      <c r="Y35" s="106">
        <f t="shared" si="10"/>
        <v>1.04</v>
      </c>
      <c r="Z35" s="106">
        <f t="shared" si="11"/>
        <v>0.8</v>
      </c>
      <c r="AA35" s="284">
        <f t="shared" si="12"/>
        <v>0</v>
      </c>
      <c r="AB35" s="107">
        <f t="shared" si="34"/>
        <v>1.84</v>
      </c>
    </row>
    <row r="36" spans="1:29" ht="23.25" customHeight="1" thickBot="1" x14ac:dyDescent="0.4">
      <c r="A36" s="27"/>
      <c r="B36" s="57"/>
      <c r="C36" s="29"/>
      <c r="D36" s="15"/>
      <c r="E36" s="15"/>
      <c r="F36" s="15"/>
      <c r="G36" s="15"/>
      <c r="H36" s="14"/>
      <c r="I36" s="15"/>
      <c r="J36" s="16"/>
      <c r="K36" s="14"/>
      <c r="L36" s="15"/>
      <c r="M36" s="16"/>
      <c r="N36" s="14"/>
      <c r="O36" s="16"/>
      <c r="P36" s="20"/>
      <c r="Q36" s="15"/>
      <c r="R36" s="15"/>
      <c r="S36" s="56">
        <f>SUM(S27:S35)</f>
        <v>63.539999999999978</v>
      </c>
      <c r="T36" s="56">
        <f>SUM(T27:T35)</f>
        <v>2998.1999999999989</v>
      </c>
      <c r="U36" s="16"/>
      <c r="W36" s="122">
        <f>SUM(W27:W35)</f>
        <v>742.2</v>
      </c>
      <c r="X36" s="109">
        <f t="shared" ref="X36:AB36" si="40">SUM(X27:X35)</f>
        <v>706.96</v>
      </c>
      <c r="Y36" s="109">
        <f t="shared" si="40"/>
        <v>35.239999999999974</v>
      </c>
      <c r="Z36" s="110">
        <f t="shared" si="40"/>
        <v>53.3</v>
      </c>
      <c r="AA36" s="285">
        <f>SUM(AA27:AA35)</f>
        <v>25</v>
      </c>
      <c r="AB36" s="288">
        <f t="shared" si="40"/>
        <v>63.539999999999978</v>
      </c>
      <c r="AC36" s="94"/>
    </row>
    <row r="37" spans="1:29" ht="31.5" customHeight="1" thickBot="1" x14ac:dyDescent="0.4">
      <c r="A37" s="58" t="s">
        <v>42</v>
      </c>
      <c r="B37" s="32">
        <f>+B4+B12+B22+B27</f>
        <v>5898</v>
      </c>
      <c r="C37" s="29"/>
      <c r="D37" s="15"/>
      <c r="E37" s="15"/>
      <c r="F37" s="15"/>
      <c r="G37" s="15"/>
      <c r="H37" s="14"/>
      <c r="I37" s="15"/>
      <c r="J37" s="16"/>
      <c r="K37" s="14"/>
      <c r="L37" s="15"/>
      <c r="M37" s="16"/>
      <c r="N37" s="14"/>
      <c r="O37" s="16"/>
      <c r="P37" s="20"/>
      <c r="Q37" s="15"/>
      <c r="R37" s="17"/>
      <c r="S37" s="85">
        <f>+S36+S26+S21+S11</f>
        <v>222.88</v>
      </c>
      <c r="T37" s="85">
        <f>+T36+T26+T21+T11</f>
        <v>10426.499999999998</v>
      </c>
      <c r="U37" s="62"/>
      <c r="W37" s="108">
        <f>+W11+W21+W26+W36</f>
        <v>5672.05</v>
      </c>
      <c r="X37" s="119">
        <f t="shared" ref="X37:AB37" si="41">+X11+X21+X26+X36</f>
        <v>5582.32</v>
      </c>
      <c r="Y37" s="119">
        <f t="shared" si="41"/>
        <v>89.72999999999999</v>
      </c>
      <c r="Z37" s="121">
        <f>+Z11+Z21+Z26+Z36</f>
        <v>313.45000000000005</v>
      </c>
      <c r="AA37" s="121">
        <f>+AA11+AA21+AA26+AA36</f>
        <v>180.3</v>
      </c>
      <c r="AB37" s="120">
        <f t="shared" si="41"/>
        <v>222.88</v>
      </c>
      <c r="AC37" s="94"/>
    </row>
    <row r="38" spans="1:29" x14ac:dyDescent="0.35">
      <c r="B38" s="59"/>
      <c r="Y38" s="63"/>
    </row>
    <row r="39" spans="1:29" ht="15" thickBot="1" x14ac:dyDescent="0.4">
      <c r="W39" s="63"/>
      <c r="X39" s="63"/>
      <c r="Y39" s="63"/>
      <c r="Z39" s="63"/>
      <c r="AA39" s="63"/>
    </row>
    <row r="40" spans="1:29" ht="23.25" customHeight="1" x14ac:dyDescent="0.35">
      <c r="A40" s="271"/>
      <c r="B40" s="271"/>
      <c r="C40" s="271"/>
      <c r="D40" s="271"/>
      <c r="E40" s="271"/>
      <c r="F40" s="271"/>
      <c r="S40" s="298" t="s">
        <v>265</v>
      </c>
      <c r="T40" s="299"/>
      <c r="U40" s="299"/>
      <c r="V40" s="299"/>
      <c r="W40" s="299"/>
      <c r="X40" s="299"/>
      <c r="Y40" s="299"/>
      <c r="Z40" s="299"/>
      <c r="AA40" s="299"/>
      <c r="AB40" s="300"/>
    </row>
    <row r="41" spans="1:29" ht="45.75" customHeight="1" x14ac:dyDescent="0.35">
      <c r="A41" s="255"/>
      <c r="B41" s="255"/>
      <c r="C41" s="255"/>
      <c r="D41" s="260"/>
      <c r="E41" s="260"/>
      <c r="F41" s="261"/>
      <c r="O41" s="255"/>
      <c r="P41" s="255"/>
      <c r="S41" s="7" t="s">
        <v>6</v>
      </c>
      <c r="T41" s="8" t="s">
        <v>7</v>
      </c>
      <c r="U41" s="60" t="s">
        <v>241</v>
      </c>
      <c r="V41" s="60" t="s">
        <v>242</v>
      </c>
      <c r="W41" s="60" t="s">
        <v>243</v>
      </c>
      <c r="X41" s="60" t="s">
        <v>244</v>
      </c>
      <c r="Y41" s="60" t="s">
        <v>234</v>
      </c>
      <c r="Z41" s="60" t="s">
        <v>164</v>
      </c>
      <c r="AA41" s="60" t="s">
        <v>165</v>
      </c>
      <c r="AB41" s="61" t="s">
        <v>166</v>
      </c>
    </row>
    <row r="42" spans="1:29" ht="31.5" customHeight="1" x14ac:dyDescent="0.35">
      <c r="A42" s="262"/>
      <c r="B42" s="263"/>
      <c r="C42" s="264"/>
      <c r="D42" s="264"/>
      <c r="E42" s="265"/>
      <c r="F42" s="266"/>
      <c r="O42" s="256"/>
      <c r="P42" s="256"/>
      <c r="S42" s="91" t="s">
        <v>47</v>
      </c>
      <c r="T42" s="35">
        <f>+B4</f>
        <v>1904</v>
      </c>
      <c r="U42" s="254">
        <f t="shared" ref="U42:Z42" si="42">+W11</f>
        <v>1444.25</v>
      </c>
      <c r="V42" s="254">
        <f t="shared" si="42"/>
        <v>1427.4</v>
      </c>
      <c r="W42" s="254">
        <f t="shared" si="42"/>
        <v>16.849999999999977</v>
      </c>
      <c r="X42" s="254">
        <f t="shared" si="42"/>
        <v>48</v>
      </c>
      <c r="Y42" s="291">
        <f t="shared" si="42"/>
        <v>3</v>
      </c>
      <c r="Z42" s="254">
        <f t="shared" si="42"/>
        <v>61.84999999999998</v>
      </c>
      <c r="AA42" s="95">
        <f>+Z42/T42</f>
        <v>3.248424369747898E-2</v>
      </c>
      <c r="AB42" s="253">
        <f>+Z42/U42</f>
        <v>4.2824995672494363E-2</v>
      </c>
    </row>
    <row r="43" spans="1:29" ht="31.5" customHeight="1" x14ac:dyDescent="0.35">
      <c r="A43" s="262"/>
      <c r="B43" s="263"/>
      <c r="C43" s="263"/>
      <c r="D43" s="264"/>
      <c r="E43" s="265"/>
      <c r="F43" s="266"/>
      <c r="O43" s="256"/>
      <c r="P43" s="256"/>
      <c r="Q43" s="133"/>
      <c r="R43" s="134"/>
      <c r="S43" s="91" t="s">
        <v>48</v>
      </c>
      <c r="T43" s="35">
        <f>+B12</f>
        <v>1722</v>
      </c>
      <c r="U43" s="254">
        <f t="shared" ref="U43:Z43" si="43">+W21</f>
        <v>1646.1000000000001</v>
      </c>
      <c r="V43" s="254">
        <f t="shared" si="43"/>
        <v>1608.76</v>
      </c>
      <c r="W43" s="254">
        <f t="shared" si="43"/>
        <v>37.340000000000032</v>
      </c>
      <c r="X43" s="254">
        <f t="shared" si="43"/>
        <v>187.20000000000002</v>
      </c>
      <c r="Y43" s="291">
        <f t="shared" si="43"/>
        <v>132</v>
      </c>
      <c r="Z43" s="254">
        <f t="shared" si="43"/>
        <v>92.540000000000035</v>
      </c>
      <c r="AA43" s="95">
        <f>+Z43/T43</f>
        <v>5.3739837398374006E-2</v>
      </c>
      <c r="AB43" s="253">
        <f>+Z43/U43</f>
        <v>5.6217726748071212E-2</v>
      </c>
    </row>
    <row r="44" spans="1:29" ht="31.5" customHeight="1" x14ac:dyDescent="0.35">
      <c r="A44" s="262"/>
      <c r="B44" s="263"/>
      <c r="C44" s="263"/>
      <c r="D44" s="264"/>
      <c r="E44" s="265"/>
      <c r="F44" s="266"/>
      <c r="O44" s="256"/>
      <c r="P44" s="256"/>
      <c r="S44" s="91" t="s">
        <v>49</v>
      </c>
      <c r="T44" s="35">
        <f>+B22</f>
        <v>1520</v>
      </c>
      <c r="U44" s="254">
        <f t="shared" ref="U44:Z44" si="44">+W26</f>
        <v>1839.5</v>
      </c>
      <c r="V44" s="254">
        <f t="shared" si="44"/>
        <v>1839.2</v>
      </c>
      <c r="W44" s="254">
        <f t="shared" si="44"/>
        <v>0.3</v>
      </c>
      <c r="X44" s="254">
        <f t="shared" si="44"/>
        <v>24.95</v>
      </c>
      <c r="Y44" s="291">
        <f t="shared" si="44"/>
        <v>20.3</v>
      </c>
      <c r="Z44" s="254">
        <f t="shared" si="44"/>
        <v>4.95</v>
      </c>
      <c r="AA44" s="95">
        <f>+Z44/T44</f>
        <v>3.2565789473684211E-3</v>
      </c>
      <c r="AB44" s="253">
        <f>+Z44/U44</f>
        <v>2.6909486273443872E-3</v>
      </c>
    </row>
    <row r="45" spans="1:29" ht="31.5" customHeight="1" x14ac:dyDescent="0.35">
      <c r="A45" s="262"/>
      <c r="B45" s="263"/>
      <c r="C45" s="264"/>
      <c r="D45" s="264"/>
      <c r="E45" s="265"/>
      <c r="F45" s="266"/>
      <c r="O45" s="256"/>
      <c r="P45" s="256"/>
      <c r="S45" s="91" t="s">
        <v>50</v>
      </c>
      <c r="T45" s="35">
        <f>+B27</f>
        <v>752</v>
      </c>
      <c r="U45" s="254">
        <f t="shared" ref="U45:Z45" si="45">+W36</f>
        <v>742.2</v>
      </c>
      <c r="V45" s="254">
        <f t="shared" si="45"/>
        <v>706.96</v>
      </c>
      <c r="W45" s="254">
        <f t="shared" si="45"/>
        <v>35.239999999999974</v>
      </c>
      <c r="X45" s="254">
        <f t="shared" si="45"/>
        <v>53.3</v>
      </c>
      <c r="Y45" s="291">
        <f t="shared" si="45"/>
        <v>25</v>
      </c>
      <c r="Z45" s="254">
        <f t="shared" si="45"/>
        <v>63.539999999999978</v>
      </c>
      <c r="AA45" s="95">
        <f>+Z45/T45</f>
        <v>8.4494680851063805E-2</v>
      </c>
      <c r="AB45" s="253">
        <f>+Z45/U45</f>
        <v>8.5610347615198021E-2</v>
      </c>
    </row>
    <row r="46" spans="1:29" ht="31.5" customHeight="1" thickBot="1" x14ac:dyDescent="0.4">
      <c r="A46" s="267"/>
      <c r="B46" s="268"/>
      <c r="C46" s="268"/>
      <c r="D46" s="269"/>
      <c r="E46" s="270"/>
      <c r="F46" s="266"/>
      <c r="G46" s="259"/>
      <c r="O46" s="257"/>
      <c r="P46" s="257"/>
      <c r="S46" s="93" t="s">
        <v>51</v>
      </c>
      <c r="T46" s="96">
        <f>SUM(T42:T45)</f>
        <v>5898</v>
      </c>
      <c r="U46" s="272">
        <f>SUM(U42:U45)</f>
        <v>5672.05</v>
      </c>
      <c r="V46" s="272">
        <f t="shared" ref="V46:Z46" si="46">SUM(V42:V45)</f>
        <v>5582.32</v>
      </c>
      <c r="W46" s="272">
        <f t="shared" si="46"/>
        <v>89.72999999999999</v>
      </c>
      <c r="X46" s="272">
        <f t="shared" si="46"/>
        <v>313.45000000000005</v>
      </c>
      <c r="Y46" s="272">
        <f t="shared" si="46"/>
        <v>180.3</v>
      </c>
      <c r="Z46" s="272">
        <f t="shared" si="46"/>
        <v>222.88</v>
      </c>
      <c r="AA46" s="273">
        <f>+Z46/T46</f>
        <v>3.7789081044421836E-2</v>
      </c>
      <c r="AB46" s="274">
        <f>+Z46/U46</f>
        <v>3.9294434992639342E-2</v>
      </c>
    </row>
    <row r="47" spans="1:29" x14ac:dyDescent="0.35">
      <c r="S47" s="290" t="s">
        <v>236</v>
      </c>
      <c r="T47" s="262">
        <v>410</v>
      </c>
      <c r="U47">
        <v>368</v>
      </c>
    </row>
    <row r="48" spans="1:29" x14ac:dyDescent="0.35">
      <c r="T48" s="262">
        <f>+T46+T47</f>
        <v>6308</v>
      </c>
      <c r="U48" s="63">
        <f>+U47+U46</f>
        <v>6040.05</v>
      </c>
    </row>
  </sheetData>
  <mergeCells count="15">
    <mergeCell ref="P2:U2"/>
    <mergeCell ref="A1:F1"/>
    <mergeCell ref="A2:G2"/>
    <mergeCell ref="H2:J2"/>
    <mergeCell ref="K2:M2"/>
    <mergeCell ref="N2:O2"/>
    <mergeCell ref="A27:A35"/>
    <mergeCell ref="B27:B35"/>
    <mergeCell ref="S40:AB40"/>
    <mergeCell ref="A4:A10"/>
    <mergeCell ref="B4:B10"/>
    <mergeCell ref="A12:A20"/>
    <mergeCell ref="B12:B20"/>
    <mergeCell ref="A22:A25"/>
    <mergeCell ref="B22:B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25</vt:i4>
      </vt:variant>
      <vt:variant>
        <vt:lpstr>Named Ranges</vt:lpstr>
      </vt:variant>
      <vt:variant>
        <vt:i4>2</vt:i4>
      </vt:variant>
    </vt:vector>
  </HeadingPairs>
  <TitlesOfParts>
    <vt:vector size="27" baseType="lpstr">
      <vt:lpstr>01.08.26 </vt:lpstr>
      <vt:lpstr>02.08.26</vt:lpstr>
      <vt:lpstr>03.08.26 </vt:lpstr>
      <vt:lpstr>04.08.26</vt:lpstr>
      <vt:lpstr>05.08.26.</vt:lpstr>
      <vt:lpstr>06.08.26</vt:lpstr>
      <vt:lpstr>07.08.26</vt:lpstr>
      <vt:lpstr>08.08.26 </vt:lpstr>
      <vt:lpstr>09.08.26</vt:lpstr>
      <vt:lpstr>10.08.26 </vt:lpstr>
      <vt:lpstr>Sheet1</vt:lpstr>
      <vt:lpstr>11.08.26</vt:lpstr>
      <vt:lpstr>12.08.26 </vt:lpstr>
      <vt:lpstr>13.08.26 </vt:lpstr>
      <vt:lpstr>14.08.26 </vt:lpstr>
      <vt:lpstr>15.08.26 </vt:lpstr>
      <vt:lpstr>16.08.26 </vt:lpstr>
      <vt:lpstr>17.08.26</vt:lpstr>
      <vt:lpstr>18.08.26</vt:lpstr>
      <vt:lpstr>19.08.26 </vt:lpstr>
      <vt:lpstr>20.08.26</vt:lpstr>
      <vt:lpstr>21.08.26 </vt:lpstr>
      <vt:lpstr>22.08.26 </vt:lpstr>
      <vt:lpstr>23.08.26 </vt:lpstr>
      <vt:lpstr>24.08.26</vt:lpstr>
      <vt:lpstr>'07.08.26'!Print_Area</vt:lpstr>
      <vt:lpstr>'11.08.26'!Print_Area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Sahara Costing</dc:creator>
  <cp:lastModifiedBy>Controller Acc</cp:lastModifiedBy>
  <cp:lastPrinted>2026-08-14T11:02:47Z</cp:lastPrinted>
  <dcterms:created xsi:type="dcterms:W3CDTF">2015-06-05T18:17:20Z</dcterms:created>
  <dcterms:modified xsi:type="dcterms:W3CDTF">2026-10-09T12:59:34Z</dcterms:modified>
</cp:coreProperties>
</file>