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0da15c68135c77d/Desktop/"/>
    </mc:Choice>
  </mc:AlternateContent>
  <xr:revisionPtr revIDLastSave="5" documentId="11_F25DC773A252ABDACC10489411DC79325ADE58ED" xr6:coauthVersionLast="47" xr6:coauthVersionMax="47" xr10:uidLastSave="{E3420C78-C39F-48DC-AE44-D4226166B970}"/>
  <bookViews>
    <workbookView xWindow="-110" yWindow="-110" windowWidth="19420" windowHeight="11500" xr2:uid="{00000000-000D-0000-FFFF-FFFF00000000}"/>
  </bookViews>
  <sheets>
    <sheet name="sahara" sheetId="1" r:id="rId1"/>
    <sheet name="sitar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45" i="1" l="1"/>
  <c r="T44" i="1"/>
  <c r="T43" i="1"/>
  <c r="T42" i="1"/>
  <c r="T46" i="1" s="1"/>
  <c r="T48" i="1" s="1"/>
  <c r="B37" i="1"/>
  <c r="AA35" i="1"/>
  <c r="Z35" i="1"/>
  <c r="X35" i="1"/>
  <c r="W35" i="1"/>
  <c r="N35" i="1"/>
  <c r="O35" i="1" s="1"/>
  <c r="L35" i="1"/>
  <c r="H35" i="1"/>
  <c r="J35" i="1" s="1"/>
  <c r="AA34" i="1"/>
  <c r="Z34" i="1"/>
  <c r="X34" i="1"/>
  <c r="W34" i="1"/>
  <c r="N34" i="1"/>
  <c r="O34" i="1" s="1"/>
  <c r="L34" i="1"/>
  <c r="H34" i="1"/>
  <c r="J34" i="1" s="1"/>
  <c r="AA33" i="1"/>
  <c r="Z33" i="1"/>
  <c r="X33" i="1"/>
  <c r="W33" i="1"/>
  <c r="O33" i="1"/>
  <c r="N33" i="1"/>
  <c r="L33" i="1"/>
  <c r="H33" i="1"/>
  <c r="J33" i="1" s="1"/>
  <c r="AA32" i="1"/>
  <c r="Z32" i="1"/>
  <c r="X32" i="1"/>
  <c r="W32" i="1"/>
  <c r="N32" i="1"/>
  <c r="O32" i="1" s="1"/>
  <c r="L32" i="1"/>
  <c r="H32" i="1"/>
  <c r="J32" i="1" s="1"/>
  <c r="AA31" i="1"/>
  <c r="Z31" i="1"/>
  <c r="X31" i="1"/>
  <c r="W31" i="1"/>
  <c r="O31" i="1"/>
  <c r="N31" i="1"/>
  <c r="L31" i="1"/>
  <c r="H31" i="1"/>
  <c r="J31" i="1" s="1"/>
  <c r="AA30" i="1"/>
  <c r="Z30" i="1"/>
  <c r="X30" i="1"/>
  <c r="W30" i="1"/>
  <c r="N30" i="1"/>
  <c r="O30" i="1" s="1"/>
  <c r="L30" i="1"/>
  <c r="J30" i="1"/>
  <c r="H30" i="1"/>
  <c r="AA29" i="1"/>
  <c r="Z29" i="1"/>
  <c r="X29" i="1"/>
  <c r="W29" i="1"/>
  <c r="N29" i="1"/>
  <c r="O29" i="1" s="1"/>
  <c r="L29" i="1"/>
  <c r="H29" i="1"/>
  <c r="J29" i="1" s="1"/>
  <c r="AA28" i="1"/>
  <c r="Z28" i="1"/>
  <c r="X28" i="1"/>
  <c r="W28" i="1"/>
  <c r="N28" i="1"/>
  <c r="O28" i="1" s="1"/>
  <c r="L28" i="1"/>
  <c r="H28" i="1"/>
  <c r="J28" i="1" s="1"/>
  <c r="AA27" i="1"/>
  <c r="AA36" i="1" s="1"/>
  <c r="Y45" i="1" s="1"/>
  <c r="Z27" i="1"/>
  <c r="Z36" i="1" s="1"/>
  <c r="X45" i="1" s="1"/>
  <c r="X27" i="1"/>
  <c r="X36" i="1" s="1"/>
  <c r="V45" i="1" s="1"/>
  <c r="W27" i="1"/>
  <c r="W36" i="1" s="1"/>
  <c r="U45" i="1" s="1"/>
  <c r="N27" i="1"/>
  <c r="O27" i="1" s="1"/>
  <c r="L27" i="1"/>
  <c r="H27" i="1"/>
  <c r="J27" i="1" s="1"/>
  <c r="AA25" i="1"/>
  <c r="Z25" i="1"/>
  <c r="X25" i="1"/>
  <c r="W25" i="1"/>
  <c r="N25" i="1"/>
  <c r="O25" i="1" s="1"/>
  <c r="L25" i="1"/>
  <c r="H25" i="1"/>
  <c r="J25" i="1" s="1"/>
  <c r="AA24" i="1"/>
  <c r="Z24" i="1"/>
  <c r="X24" i="1"/>
  <c r="W24" i="1"/>
  <c r="N24" i="1"/>
  <c r="O24" i="1" s="1"/>
  <c r="L24" i="1"/>
  <c r="J24" i="1"/>
  <c r="H24" i="1"/>
  <c r="AA23" i="1"/>
  <c r="Z23" i="1"/>
  <c r="X23" i="1"/>
  <c r="W23" i="1"/>
  <c r="N23" i="1"/>
  <c r="O23" i="1" s="1"/>
  <c r="L23" i="1"/>
  <c r="H23" i="1"/>
  <c r="J23" i="1" s="1"/>
  <c r="AA22" i="1"/>
  <c r="AA26" i="1" s="1"/>
  <c r="Y44" i="1" s="1"/>
  <c r="Z22" i="1"/>
  <c r="Z26" i="1" s="1"/>
  <c r="X44" i="1" s="1"/>
  <c r="X22" i="1"/>
  <c r="X26" i="1" s="1"/>
  <c r="V44" i="1" s="1"/>
  <c r="W22" i="1"/>
  <c r="W26" i="1" s="1"/>
  <c r="U44" i="1" s="1"/>
  <c r="N22" i="1"/>
  <c r="O22" i="1" s="1"/>
  <c r="L22" i="1"/>
  <c r="H22" i="1"/>
  <c r="J22" i="1" s="1"/>
  <c r="AA20" i="1"/>
  <c r="Z20" i="1"/>
  <c r="X20" i="1"/>
  <c r="W20" i="1"/>
  <c r="N20" i="1"/>
  <c r="O20" i="1" s="1"/>
  <c r="L20" i="1"/>
  <c r="H20" i="1"/>
  <c r="J20" i="1" s="1"/>
  <c r="AA19" i="1"/>
  <c r="Z19" i="1"/>
  <c r="X19" i="1"/>
  <c r="W19" i="1"/>
  <c r="N19" i="1"/>
  <c r="O19" i="1" s="1"/>
  <c r="L19" i="1"/>
  <c r="H19" i="1"/>
  <c r="J19" i="1" s="1"/>
  <c r="AA18" i="1"/>
  <c r="Z18" i="1"/>
  <c r="X18" i="1"/>
  <c r="W18" i="1"/>
  <c r="N18" i="1"/>
  <c r="O18" i="1" s="1"/>
  <c r="L18" i="1"/>
  <c r="H18" i="1"/>
  <c r="J18" i="1" s="1"/>
  <c r="AA17" i="1"/>
  <c r="Z17" i="1"/>
  <c r="X17" i="1"/>
  <c r="W17" i="1"/>
  <c r="N17" i="1"/>
  <c r="O17" i="1" s="1"/>
  <c r="L17" i="1"/>
  <c r="H17" i="1"/>
  <c r="J17" i="1" s="1"/>
  <c r="AA16" i="1"/>
  <c r="Z16" i="1"/>
  <c r="X16" i="1"/>
  <c r="W16" i="1"/>
  <c r="N16" i="1"/>
  <c r="O16" i="1" s="1"/>
  <c r="L16" i="1"/>
  <c r="H16" i="1"/>
  <c r="J16" i="1" s="1"/>
  <c r="AA15" i="1"/>
  <c r="Z15" i="1"/>
  <c r="X15" i="1"/>
  <c r="W15" i="1"/>
  <c r="N15" i="1"/>
  <c r="O15" i="1" s="1"/>
  <c r="L15" i="1"/>
  <c r="H15" i="1"/>
  <c r="J15" i="1" s="1"/>
  <c r="AA14" i="1"/>
  <c r="Z14" i="1"/>
  <c r="X14" i="1"/>
  <c r="W14" i="1"/>
  <c r="N14" i="1"/>
  <c r="O14" i="1" s="1"/>
  <c r="L14" i="1"/>
  <c r="H14" i="1"/>
  <c r="J14" i="1" s="1"/>
  <c r="AA13" i="1"/>
  <c r="Z13" i="1"/>
  <c r="X13" i="1"/>
  <c r="W13" i="1"/>
  <c r="N13" i="1"/>
  <c r="O13" i="1" s="1"/>
  <c r="L13" i="1"/>
  <c r="H13" i="1"/>
  <c r="J13" i="1" s="1"/>
  <c r="AA12" i="1"/>
  <c r="AA21" i="1" s="1"/>
  <c r="Y43" i="1" s="1"/>
  <c r="Z12" i="1"/>
  <c r="Z21" i="1" s="1"/>
  <c r="X43" i="1" s="1"/>
  <c r="X12" i="1"/>
  <c r="X21" i="1" s="1"/>
  <c r="V43" i="1" s="1"/>
  <c r="W12" i="1"/>
  <c r="W21" i="1" s="1"/>
  <c r="U43" i="1" s="1"/>
  <c r="O12" i="1"/>
  <c r="O21" i="1" s="1"/>
  <c r="N12" i="1"/>
  <c r="L12" i="1"/>
  <c r="H12" i="1"/>
  <c r="J12" i="1" s="1"/>
  <c r="AA10" i="1"/>
  <c r="Z10" i="1"/>
  <c r="X10" i="1"/>
  <c r="W10" i="1"/>
  <c r="N10" i="1"/>
  <c r="O10" i="1" s="1"/>
  <c r="L10" i="1"/>
  <c r="H10" i="1"/>
  <c r="J10" i="1" s="1"/>
  <c r="AA9" i="1"/>
  <c r="Z9" i="1"/>
  <c r="X9" i="1"/>
  <c r="W9" i="1"/>
  <c r="N9" i="1"/>
  <c r="O9" i="1" s="1"/>
  <c r="L9" i="1"/>
  <c r="H9" i="1"/>
  <c r="J9" i="1" s="1"/>
  <c r="AA8" i="1"/>
  <c r="Z8" i="1"/>
  <c r="X8" i="1"/>
  <c r="W8" i="1"/>
  <c r="N8" i="1"/>
  <c r="O8" i="1" s="1"/>
  <c r="L8" i="1"/>
  <c r="H8" i="1"/>
  <c r="J8" i="1" s="1"/>
  <c r="AA7" i="1"/>
  <c r="Z7" i="1"/>
  <c r="X7" i="1"/>
  <c r="W7" i="1"/>
  <c r="N7" i="1"/>
  <c r="O7" i="1" s="1"/>
  <c r="L7" i="1"/>
  <c r="H7" i="1"/>
  <c r="J7" i="1" s="1"/>
  <c r="AA6" i="1"/>
  <c r="Z6" i="1"/>
  <c r="X6" i="1"/>
  <c r="W6" i="1"/>
  <c r="N6" i="1"/>
  <c r="O6" i="1" s="1"/>
  <c r="L6" i="1"/>
  <c r="H6" i="1"/>
  <c r="J6" i="1" s="1"/>
  <c r="AA5" i="1"/>
  <c r="Z5" i="1"/>
  <c r="X5" i="1"/>
  <c r="W5" i="1"/>
  <c r="O5" i="1"/>
  <c r="N5" i="1"/>
  <c r="L5" i="1"/>
  <c r="H5" i="1"/>
  <c r="J5" i="1" s="1"/>
  <c r="AA4" i="1"/>
  <c r="AA11" i="1" s="1"/>
  <c r="Z4" i="1"/>
  <c r="Z11" i="1" s="1"/>
  <c r="X4" i="1"/>
  <c r="X11" i="1" s="1"/>
  <c r="W4" i="1"/>
  <c r="W11" i="1" s="1"/>
  <c r="N4" i="1"/>
  <c r="O4" i="1" s="1"/>
  <c r="L4" i="1"/>
  <c r="H4" i="1"/>
  <c r="J4" i="1" s="1"/>
  <c r="C73" i="2"/>
  <c r="D68" i="2"/>
  <c r="D62" i="2"/>
  <c r="C62" i="2"/>
  <c r="D58" i="2"/>
  <c r="C58" i="2"/>
  <c r="N51" i="2"/>
  <c r="O51" i="2" s="1"/>
  <c r="L51" i="2"/>
  <c r="M51" i="2" s="1"/>
  <c r="I51" i="2"/>
  <c r="J51" i="2" s="1"/>
  <c r="K51" i="2" s="1"/>
  <c r="H51" i="2"/>
  <c r="D51" i="2"/>
  <c r="B51" i="2"/>
  <c r="C51" i="2" s="1"/>
  <c r="O50" i="2"/>
  <c r="M50" i="2"/>
  <c r="J50" i="2"/>
  <c r="K50" i="2" s="1"/>
  <c r="F50" i="2"/>
  <c r="G50" i="2" s="1"/>
  <c r="E50" i="2"/>
  <c r="C50" i="2"/>
  <c r="O49" i="2"/>
  <c r="M49" i="2"/>
  <c r="J49" i="2"/>
  <c r="K49" i="2" s="1"/>
  <c r="F49" i="2"/>
  <c r="G49" i="2" s="1"/>
  <c r="E49" i="2"/>
  <c r="C49" i="2"/>
  <c r="O48" i="2"/>
  <c r="M48" i="2"/>
  <c r="J48" i="2"/>
  <c r="K48" i="2" s="1"/>
  <c r="F48" i="2"/>
  <c r="G48" i="2" s="1"/>
  <c r="E48" i="2"/>
  <c r="C48" i="2"/>
  <c r="O47" i="2"/>
  <c r="M47" i="2"/>
  <c r="J47" i="2"/>
  <c r="K47" i="2" s="1"/>
  <c r="F47" i="2"/>
  <c r="G47" i="2" s="1"/>
  <c r="E47" i="2"/>
  <c r="C47" i="2"/>
  <c r="O46" i="2"/>
  <c r="M46" i="2"/>
  <c r="J46" i="2"/>
  <c r="K46" i="2" s="1"/>
  <c r="F46" i="2"/>
  <c r="G46" i="2" s="1"/>
  <c r="E46" i="2"/>
  <c r="C46" i="2"/>
  <c r="O45" i="2"/>
  <c r="M45" i="2"/>
  <c r="J45" i="2"/>
  <c r="E45" i="2"/>
  <c r="C45" i="2"/>
  <c r="O44" i="2"/>
  <c r="M44" i="2"/>
  <c r="J44" i="2"/>
  <c r="K44" i="2" s="1"/>
  <c r="F44" i="2"/>
  <c r="G44" i="2" s="1"/>
  <c r="E44" i="2"/>
  <c r="C44" i="2"/>
  <c r="O43" i="2"/>
  <c r="M43" i="2"/>
  <c r="J43" i="2"/>
  <c r="K43" i="2" s="1"/>
  <c r="F43" i="2"/>
  <c r="G43" i="2" s="1"/>
  <c r="E43" i="2"/>
  <c r="C43" i="2"/>
  <c r="O42" i="2"/>
  <c r="M42" i="2"/>
  <c r="J42" i="2"/>
  <c r="K42" i="2" s="1"/>
  <c r="F42" i="2"/>
  <c r="G42" i="2" s="1"/>
  <c r="E42" i="2"/>
  <c r="C42" i="2"/>
  <c r="O41" i="2"/>
  <c r="M41" i="2"/>
  <c r="J41" i="2"/>
  <c r="K41" i="2" s="1"/>
  <c r="F41" i="2"/>
  <c r="G41" i="2" s="1"/>
  <c r="E41" i="2"/>
  <c r="C41" i="2"/>
  <c r="O40" i="2"/>
  <c r="M40" i="2"/>
  <c r="J40" i="2"/>
  <c r="K40" i="2" s="1"/>
  <c r="F40" i="2"/>
  <c r="G40" i="2" s="1"/>
  <c r="E40" i="2"/>
  <c r="C40" i="2"/>
  <c r="O39" i="2"/>
  <c r="M39" i="2"/>
  <c r="J39" i="2"/>
  <c r="K39" i="2" s="1"/>
  <c r="F39" i="2"/>
  <c r="G39" i="2" s="1"/>
  <c r="E39" i="2"/>
  <c r="C39" i="2"/>
  <c r="O38" i="2"/>
  <c r="M38" i="2"/>
  <c r="J38" i="2"/>
  <c r="K38" i="2" s="1"/>
  <c r="F38" i="2"/>
  <c r="G38" i="2" s="1"/>
  <c r="E38" i="2"/>
  <c r="C38" i="2"/>
  <c r="O37" i="2"/>
  <c r="M37" i="2"/>
  <c r="J37" i="2"/>
  <c r="K37" i="2" s="1"/>
  <c r="F37" i="2"/>
  <c r="G37" i="2" s="1"/>
  <c r="E37" i="2"/>
  <c r="C37" i="2"/>
  <c r="O36" i="2"/>
  <c r="M36" i="2"/>
  <c r="J36" i="2"/>
  <c r="K36" i="2" s="1"/>
  <c r="F36" i="2"/>
  <c r="G36" i="2" s="1"/>
  <c r="E36" i="2"/>
  <c r="C36" i="2"/>
  <c r="O35" i="2"/>
  <c r="M35" i="2"/>
  <c r="J35" i="2"/>
  <c r="E35" i="2"/>
  <c r="C35" i="2"/>
  <c r="O34" i="2"/>
  <c r="M34" i="2"/>
  <c r="J34" i="2"/>
  <c r="K34" i="2" s="1"/>
  <c r="F34" i="2"/>
  <c r="G34" i="2" s="1"/>
  <c r="E34" i="2"/>
  <c r="C34" i="2"/>
  <c r="O33" i="2"/>
  <c r="M33" i="2"/>
  <c r="J33" i="2"/>
  <c r="K33" i="2" s="1"/>
  <c r="F33" i="2"/>
  <c r="G33" i="2" s="1"/>
  <c r="E33" i="2"/>
  <c r="C33" i="2"/>
  <c r="N31" i="2"/>
  <c r="L31" i="2"/>
  <c r="I31" i="2"/>
  <c r="H31" i="2"/>
  <c r="D31" i="2"/>
  <c r="B31" i="2"/>
  <c r="O30" i="2"/>
  <c r="M30" i="2"/>
  <c r="J30" i="2"/>
  <c r="E30" i="2"/>
  <c r="C30" i="2"/>
  <c r="O29" i="2"/>
  <c r="M29" i="2"/>
  <c r="J29" i="2"/>
  <c r="K29" i="2" s="1"/>
  <c r="F29" i="2"/>
  <c r="G29" i="2" s="1"/>
  <c r="E29" i="2"/>
  <c r="C29" i="2"/>
  <c r="O28" i="2"/>
  <c r="M28" i="2"/>
  <c r="J28" i="2"/>
  <c r="K28" i="2" s="1"/>
  <c r="F28" i="2"/>
  <c r="G28" i="2" s="1"/>
  <c r="E28" i="2"/>
  <c r="C28" i="2"/>
  <c r="O27" i="2"/>
  <c r="M27" i="2"/>
  <c r="J27" i="2"/>
  <c r="K27" i="2" s="1"/>
  <c r="F27" i="2"/>
  <c r="G27" i="2" s="1"/>
  <c r="E27" i="2"/>
  <c r="C27" i="2"/>
  <c r="O26" i="2"/>
  <c r="M26" i="2"/>
  <c r="J26" i="2"/>
  <c r="K26" i="2" s="1"/>
  <c r="F26" i="2"/>
  <c r="G26" i="2" s="1"/>
  <c r="E26" i="2"/>
  <c r="C26" i="2"/>
  <c r="O25" i="2"/>
  <c r="M25" i="2"/>
  <c r="J25" i="2"/>
  <c r="K25" i="2" s="1"/>
  <c r="F25" i="2"/>
  <c r="G25" i="2" s="1"/>
  <c r="E25" i="2"/>
  <c r="C25" i="2"/>
  <c r="O24" i="2"/>
  <c r="M24" i="2"/>
  <c r="J24" i="2"/>
  <c r="K24" i="2" s="1"/>
  <c r="F24" i="2"/>
  <c r="G24" i="2" s="1"/>
  <c r="E24" i="2"/>
  <c r="C24" i="2"/>
  <c r="O23" i="2"/>
  <c r="M23" i="2"/>
  <c r="J23" i="2"/>
  <c r="E23" i="2"/>
  <c r="C23" i="2"/>
  <c r="O22" i="2"/>
  <c r="M22" i="2"/>
  <c r="J22" i="2"/>
  <c r="K22" i="2" s="1"/>
  <c r="F22" i="2"/>
  <c r="G22" i="2" s="1"/>
  <c r="E22" i="2"/>
  <c r="C22" i="2"/>
  <c r="O21" i="2"/>
  <c r="M21" i="2"/>
  <c r="J21" i="2"/>
  <c r="K21" i="2" s="1"/>
  <c r="F21" i="2"/>
  <c r="G21" i="2" s="1"/>
  <c r="E21" i="2"/>
  <c r="C21" i="2"/>
  <c r="O20" i="2"/>
  <c r="M20" i="2"/>
  <c r="J20" i="2"/>
  <c r="K20" i="2" s="1"/>
  <c r="F20" i="2"/>
  <c r="G20" i="2" s="1"/>
  <c r="E20" i="2"/>
  <c r="C20" i="2"/>
  <c r="O19" i="2"/>
  <c r="M19" i="2"/>
  <c r="J19" i="2"/>
  <c r="K19" i="2" s="1"/>
  <c r="F19" i="2"/>
  <c r="G19" i="2" s="1"/>
  <c r="E19" i="2"/>
  <c r="C19" i="2"/>
  <c r="O18" i="2"/>
  <c r="M18" i="2"/>
  <c r="J18" i="2"/>
  <c r="E18" i="2"/>
  <c r="C18" i="2"/>
  <c r="O17" i="2"/>
  <c r="M17" i="2"/>
  <c r="J17" i="2"/>
  <c r="K17" i="2" s="1"/>
  <c r="F17" i="2"/>
  <c r="G17" i="2" s="1"/>
  <c r="E17" i="2"/>
  <c r="C17" i="2"/>
  <c r="O16" i="2"/>
  <c r="M16" i="2"/>
  <c r="J16" i="2"/>
  <c r="E16" i="2"/>
  <c r="C16" i="2"/>
  <c r="O15" i="2"/>
  <c r="M15" i="2"/>
  <c r="J15" i="2"/>
  <c r="K15" i="2" s="1"/>
  <c r="F15" i="2"/>
  <c r="G15" i="2" s="1"/>
  <c r="E15" i="2"/>
  <c r="C15" i="2"/>
  <c r="O14" i="2"/>
  <c r="M14" i="2"/>
  <c r="J14" i="2"/>
  <c r="K14" i="2" s="1"/>
  <c r="F14" i="2"/>
  <c r="G14" i="2" s="1"/>
  <c r="E14" i="2"/>
  <c r="C14" i="2"/>
  <c r="O13" i="2"/>
  <c r="M13" i="2"/>
  <c r="J13" i="2"/>
  <c r="E13" i="2"/>
  <c r="C13" i="2"/>
  <c r="O12" i="2"/>
  <c r="M12" i="2"/>
  <c r="J12" i="2"/>
  <c r="K12" i="2" s="1"/>
  <c r="F12" i="2"/>
  <c r="G12" i="2" s="1"/>
  <c r="E12" i="2"/>
  <c r="C12" i="2"/>
  <c r="O11" i="2"/>
  <c r="M11" i="2"/>
  <c r="J11" i="2"/>
  <c r="K11" i="2" s="1"/>
  <c r="F11" i="2"/>
  <c r="G11" i="2" s="1"/>
  <c r="E11" i="2"/>
  <c r="C11" i="2"/>
  <c r="O10" i="2"/>
  <c r="M10" i="2"/>
  <c r="J10" i="2"/>
  <c r="K10" i="2" s="1"/>
  <c r="F10" i="2"/>
  <c r="G10" i="2" s="1"/>
  <c r="E10" i="2"/>
  <c r="C10" i="2"/>
  <c r="O9" i="2"/>
  <c r="M9" i="2"/>
  <c r="J9" i="2"/>
  <c r="K9" i="2" s="1"/>
  <c r="F9" i="2"/>
  <c r="G9" i="2" s="1"/>
  <c r="E9" i="2"/>
  <c r="C9" i="2"/>
  <c r="O8" i="2"/>
  <c r="M8" i="2"/>
  <c r="J8" i="2"/>
  <c r="K8" i="2" s="1"/>
  <c r="F8" i="2"/>
  <c r="G8" i="2" s="1"/>
  <c r="E8" i="2"/>
  <c r="C8" i="2"/>
  <c r="O7" i="2"/>
  <c r="M7" i="2"/>
  <c r="J7" i="2"/>
  <c r="K7" i="2" s="1"/>
  <c r="F7" i="2"/>
  <c r="G7" i="2" s="1"/>
  <c r="E7" i="2"/>
  <c r="C7" i="2"/>
  <c r="P35" i="1" l="1"/>
  <c r="R35" i="1" s="1"/>
  <c r="Y35" i="1"/>
  <c r="P34" i="1"/>
  <c r="R34" i="1" s="1"/>
  <c r="Y34" i="1"/>
  <c r="Y33" i="1"/>
  <c r="P33" i="1"/>
  <c r="R33" i="1" s="1"/>
  <c r="Y32" i="1"/>
  <c r="P32" i="1"/>
  <c r="R32" i="1" s="1"/>
  <c r="P31" i="1"/>
  <c r="R31" i="1" s="1"/>
  <c r="Y31" i="1"/>
  <c r="P30" i="1"/>
  <c r="R30" i="1" s="1"/>
  <c r="Y30" i="1"/>
  <c r="Y29" i="1"/>
  <c r="P29" i="1"/>
  <c r="R29" i="1" s="1"/>
  <c r="P28" i="1"/>
  <c r="R28" i="1" s="1"/>
  <c r="Y28" i="1"/>
  <c r="P27" i="1"/>
  <c r="R27" i="1" s="1"/>
  <c r="Y27" i="1"/>
  <c r="Y36" i="1" s="1"/>
  <c r="W45" i="1" s="1"/>
  <c r="P25" i="1"/>
  <c r="R25" i="1" s="1"/>
  <c r="Y25" i="1"/>
  <c r="P24" i="1"/>
  <c r="R24" i="1" s="1"/>
  <c r="Y24" i="1"/>
  <c r="P23" i="1"/>
  <c r="R23" i="1" s="1"/>
  <c r="Y23" i="1"/>
  <c r="Y22" i="1"/>
  <c r="Y26" i="1" s="1"/>
  <c r="W44" i="1" s="1"/>
  <c r="P22" i="1"/>
  <c r="R22" i="1" s="1"/>
  <c r="P20" i="1"/>
  <c r="R20" i="1" s="1"/>
  <c r="Y20" i="1"/>
  <c r="Y19" i="1"/>
  <c r="P19" i="1"/>
  <c r="R19" i="1" s="1"/>
  <c r="P18" i="1"/>
  <c r="R18" i="1" s="1"/>
  <c r="Y18" i="1"/>
  <c r="P17" i="1"/>
  <c r="R17" i="1" s="1"/>
  <c r="Y17" i="1"/>
  <c r="Y16" i="1"/>
  <c r="P16" i="1"/>
  <c r="R16" i="1" s="1"/>
  <c r="P15" i="1"/>
  <c r="R15" i="1" s="1"/>
  <c r="Y15" i="1"/>
  <c r="P14" i="1"/>
  <c r="R14" i="1" s="1"/>
  <c r="Y14" i="1"/>
  <c r="P13" i="1"/>
  <c r="R13" i="1" s="1"/>
  <c r="Y13" i="1"/>
  <c r="Y12" i="1"/>
  <c r="Y21" i="1" s="1"/>
  <c r="W43" i="1" s="1"/>
  <c r="P12" i="1"/>
  <c r="R12" i="1" s="1"/>
  <c r="P10" i="1"/>
  <c r="R10" i="1" s="1"/>
  <c r="Y10" i="1"/>
  <c r="Y9" i="1"/>
  <c r="P9" i="1"/>
  <c r="R9" i="1" s="1"/>
  <c r="P8" i="1"/>
  <c r="R8" i="1" s="1"/>
  <c r="Y8" i="1"/>
  <c r="Y7" i="1"/>
  <c r="P7" i="1"/>
  <c r="R7" i="1" s="1"/>
  <c r="P6" i="1"/>
  <c r="R6" i="1" s="1"/>
  <c r="Y6" i="1"/>
  <c r="Y5" i="1"/>
  <c r="P5" i="1"/>
  <c r="R5" i="1" s="1"/>
  <c r="AA37" i="1"/>
  <c r="Y42" i="1"/>
  <c r="Y46" i="1" s="1"/>
  <c r="Z37" i="1"/>
  <c r="X42" i="1"/>
  <c r="X46" i="1" s="1"/>
  <c r="X37" i="1"/>
  <c r="V42" i="1"/>
  <c r="V46" i="1" s="1"/>
  <c r="W37" i="1"/>
  <c r="U42" i="1"/>
  <c r="U46" i="1" s="1"/>
  <c r="U48" i="1" s="1"/>
  <c r="P4" i="1"/>
  <c r="R4" i="1" s="1"/>
  <c r="Y4" i="1"/>
  <c r="Y11" i="1" s="1"/>
  <c r="F51" i="2"/>
  <c r="G51" i="2" s="1"/>
  <c r="E51" i="2"/>
  <c r="K45" i="2"/>
  <c r="F45" i="2"/>
  <c r="G45" i="2" s="1"/>
  <c r="K35" i="2"/>
  <c r="F35" i="2"/>
  <c r="G35" i="2" s="1"/>
  <c r="B62" i="2"/>
  <c r="E62" i="2" s="1"/>
  <c r="F62" i="2" s="1"/>
  <c r="O31" i="2"/>
  <c r="M31" i="2"/>
  <c r="B68" i="2"/>
  <c r="B61" i="2"/>
  <c r="E61" i="2" s="1"/>
  <c r="F61" i="2" s="1"/>
  <c r="J31" i="2"/>
  <c r="B66" i="2"/>
  <c r="B60" i="2"/>
  <c r="E60" i="2" s="1"/>
  <c r="F60" i="2" s="1"/>
  <c r="B65" i="2"/>
  <c r="C65" i="2" s="1"/>
  <c r="B56" i="2"/>
  <c r="E31" i="2"/>
  <c r="F31" i="2"/>
  <c r="G31" i="2" s="1"/>
  <c r="B69" i="2"/>
  <c r="B55" i="2"/>
  <c r="E55" i="2" s="1"/>
  <c r="F55" i="2" s="1"/>
  <c r="C31" i="2"/>
  <c r="F30" i="2"/>
  <c r="G30" i="2" s="1"/>
  <c r="K30" i="2"/>
  <c r="K23" i="2"/>
  <c r="F23" i="2"/>
  <c r="G23" i="2" s="1"/>
  <c r="F18" i="2"/>
  <c r="G18" i="2" s="1"/>
  <c r="K18" i="2"/>
  <c r="F16" i="2"/>
  <c r="G16" i="2" s="1"/>
  <c r="K16" i="2"/>
  <c r="F13" i="2"/>
  <c r="G13" i="2" s="1"/>
  <c r="K13" i="2"/>
  <c r="S35" i="1" l="1"/>
  <c r="T35" i="1"/>
  <c r="U35" i="1"/>
  <c r="AB35" i="1"/>
  <c r="S34" i="1"/>
  <c r="T34" i="1"/>
  <c r="U34" i="1"/>
  <c r="AB34" i="1"/>
  <c r="S33" i="1"/>
  <c r="T33" i="1"/>
  <c r="U33" i="1"/>
  <c r="AB33" i="1"/>
  <c r="AB32" i="1"/>
  <c r="S32" i="1"/>
  <c r="T32" i="1"/>
  <c r="U32" i="1"/>
  <c r="T31" i="1"/>
  <c r="U31" i="1"/>
  <c r="S31" i="1"/>
  <c r="AB31" i="1"/>
  <c r="S30" i="1"/>
  <c r="T30" i="1"/>
  <c r="U30" i="1"/>
  <c r="AB30" i="1"/>
  <c r="S29" i="1"/>
  <c r="T29" i="1"/>
  <c r="U29" i="1"/>
  <c r="AB29" i="1"/>
  <c r="S28" i="1"/>
  <c r="T28" i="1"/>
  <c r="U28" i="1"/>
  <c r="AB28" i="1"/>
  <c r="S27" i="1"/>
  <c r="S36" i="1" s="1"/>
  <c r="T27" i="1"/>
  <c r="T36" i="1" s="1"/>
  <c r="U27" i="1"/>
  <c r="AB27" i="1"/>
  <c r="AB36" i="1" s="1"/>
  <c r="Z45" i="1" s="1"/>
  <c r="T25" i="1"/>
  <c r="U25" i="1"/>
  <c r="AB25" i="1"/>
  <c r="S25" i="1"/>
  <c r="T24" i="1"/>
  <c r="AB24" i="1"/>
  <c r="S24" i="1"/>
  <c r="U24" i="1"/>
  <c r="T23" i="1"/>
  <c r="U23" i="1"/>
  <c r="AB23" i="1"/>
  <c r="S23" i="1"/>
  <c r="T22" i="1"/>
  <c r="T26" i="1" s="1"/>
  <c r="AB22" i="1"/>
  <c r="AB26" i="1" s="1"/>
  <c r="Z44" i="1" s="1"/>
  <c r="S22" i="1"/>
  <c r="S26" i="1" s="1"/>
  <c r="U22" i="1"/>
  <c r="S20" i="1"/>
  <c r="U20" i="1"/>
  <c r="T20" i="1"/>
  <c r="AB20" i="1"/>
  <c r="T19" i="1"/>
  <c r="S19" i="1"/>
  <c r="U19" i="1"/>
  <c r="AB19" i="1"/>
  <c r="S18" i="1"/>
  <c r="U18" i="1"/>
  <c r="T18" i="1"/>
  <c r="AB18" i="1"/>
  <c r="S17" i="1"/>
  <c r="U17" i="1"/>
  <c r="AB17" i="1"/>
  <c r="T17" i="1"/>
  <c r="T16" i="1"/>
  <c r="U16" i="1"/>
  <c r="S16" i="1"/>
  <c r="AB16" i="1"/>
  <c r="S15" i="1"/>
  <c r="T15" i="1"/>
  <c r="U15" i="1"/>
  <c r="AB15" i="1"/>
  <c r="T14" i="1"/>
  <c r="U14" i="1"/>
  <c r="AB14" i="1"/>
  <c r="S14" i="1"/>
  <c r="T13" i="1"/>
  <c r="U13" i="1"/>
  <c r="S13" i="1"/>
  <c r="AB13" i="1"/>
  <c r="T12" i="1"/>
  <c r="T21" i="1" s="1"/>
  <c r="AB12" i="1"/>
  <c r="AB21" i="1" s="1"/>
  <c r="Z43" i="1" s="1"/>
  <c r="S12" i="1"/>
  <c r="S21" i="1" s="1"/>
  <c r="U12" i="1"/>
  <c r="S10" i="1"/>
  <c r="T10" i="1"/>
  <c r="U10" i="1"/>
  <c r="AB10" i="1"/>
  <c r="T9" i="1"/>
  <c r="U9" i="1"/>
  <c r="AB9" i="1"/>
  <c r="S9" i="1"/>
  <c r="T8" i="1"/>
  <c r="U8" i="1"/>
  <c r="S8" i="1"/>
  <c r="AB8" i="1"/>
  <c r="T7" i="1"/>
  <c r="U7" i="1"/>
  <c r="S7" i="1"/>
  <c r="AB7" i="1"/>
  <c r="S6" i="1"/>
  <c r="U6" i="1"/>
  <c r="T6" i="1"/>
  <c r="AB6" i="1"/>
  <c r="T5" i="1"/>
  <c r="U5" i="1"/>
  <c r="S5" i="1"/>
  <c r="AB5" i="1"/>
  <c r="S4" i="1"/>
  <c r="S11" i="1" s="1"/>
  <c r="U4" i="1"/>
  <c r="T4" i="1"/>
  <c r="T11" i="1" s="1"/>
  <c r="AB4" i="1"/>
  <c r="AB11" i="1" s="1"/>
  <c r="Y37" i="1"/>
  <c r="W42" i="1"/>
  <c r="W46" i="1" s="1"/>
  <c r="K31" i="2"/>
  <c r="B57" i="2"/>
  <c r="C66" i="2"/>
  <c r="B67" i="2"/>
  <c r="C67" i="2" s="1"/>
  <c r="E56" i="2"/>
  <c r="C68" i="2"/>
  <c r="AA45" i="1" l="1"/>
  <c r="AB45" i="1"/>
  <c r="AA44" i="1"/>
  <c r="AB44" i="1"/>
  <c r="AA43" i="1"/>
  <c r="AB43" i="1"/>
  <c r="AB37" i="1"/>
  <c r="Z42" i="1"/>
  <c r="S37" i="1"/>
  <c r="T37" i="1"/>
  <c r="F56" i="2"/>
  <c r="E58" i="2"/>
  <c r="F58" i="2" s="1"/>
  <c r="E57" i="2"/>
  <c r="F57" i="2" s="1"/>
  <c r="B58" i="2"/>
  <c r="AA42" i="1" l="1"/>
  <c r="AB42" i="1"/>
  <c r="Z46" i="1"/>
  <c r="AA46" i="1" l="1"/>
  <c r="AB46" i="1"/>
</calcChain>
</file>

<file path=xl/sharedStrings.xml><?xml version="1.0" encoding="utf-8"?>
<sst xmlns="http://schemas.openxmlformats.org/spreadsheetml/2006/main" count="207" uniqueCount="162">
  <si>
    <t>M/S. SARALA 60TH BIRTHDAY GROUP VEG BUFFET DINNER COOKED FOOD CONSUMPTION FOR 230 PAX AT LEG GARDEN LOCATION ON 07.10.2026</t>
  </si>
  <si>
    <t>ESTIMATION  FOOD 230 PAX'S</t>
  </si>
  <si>
    <t>TOTAL PICKUP FOOD 230 PAX'S</t>
  </si>
  <si>
    <t>CONSUMPTION FOOD</t>
  </si>
  <si>
    <t>TOTAL LEFT OVER FOOD</t>
  </si>
  <si>
    <t>WASTAGE FOOD</t>
  </si>
  <si>
    <t>RE USE FOOD</t>
  </si>
  <si>
    <t>TOTAL COOKING IN KGS</t>
  </si>
  <si>
    <t>PER HEAD IN GRMS</t>
  </si>
  <si>
    <t>CONSUMPTION IN KGS</t>
  </si>
  <si>
    <t>BUFFET LEFT OVER</t>
  </si>
  <si>
    <t xml:space="preserve"> KITCHEN LEFT OVER</t>
  </si>
  <si>
    <t>TOTAL LEFT OVER</t>
  </si>
  <si>
    <t>WASTAGE IN KGS</t>
  </si>
  <si>
    <t>RE USE FOOD IN KGS</t>
  </si>
  <si>
    <t>SOUTH INDIAN TIFFINS ( OUTSIDE VENDOR )</t>
  </si>
  <si>
    <t>CHAAT COUNTER ( OUTSIDE VENDOR )</t>
  </si>
  <si>
    <t>WELCOME DRINKS COUNTER</t>
  </si>
  <si>
    <t>LAL MIRCH KA PANEER TIKKA</t>
  </si>
  <si>
    <t>WHOLE MIRCHI BHAJJI</t>
  </si>
  <si>
    <t>BABYCORN 65</t>
  </si>
  <si>
    <t>HARA BHARA KEBAB</t>
  </si>
  <si>
    <t>JALAPENO CHEESE PARCELS</t>
  </si>
  <si>
    <t>MOGOLIAN RICE / NOODLES - LIVE COUNTER</t>
  </si>
  <si>
    <t>STIR FRY ORIENTAL GREENS</t>
  </si>
  <si>
    <t>PASTA 3 TYPES - LIVE COUNTER</t>
  </si>
  <si>
    <t>MINI PIZZA - LIVE COUNTER</t>
  </si>
  <si>
    <t>PANEER JEDIPAPPU</t>
  </si>
  <si>
    <t>SUBZ NIZAMI HANDI</t>
  </si>
  <si>
    <t>GUTTHI VANKAYA KURA</t>
  </si>
  <si>
    <t>ALOO BATANI KORMA</t>
  </si>
  <si>
    <t>DONDAKAYA PEANUT FRY</t>
  </si>
  <si>
    <t>TOMATO PAPPU</t>
  </si>
  <si>
    <t>STEAM RICE</t>
  </si>
  <si>
    <t>NIZAMI TARKARI BIRYANI</t>
  </si>
  <si>
    <t>CURD RICE</t>
  </si>
  <si>
    <t>BELLAM JALEBI WITH RABDI - LIVE COUNTER</t>
  </si>
  <si>
    <t>BROWNIE ON TAWA - LIVE COUNTER</t>
  </si>
  <si>
    <t>BAKED MANGO RASGULLA</t>
  </si>
  <si>
    <t>NELLORE MALAI KHAJA</t>
  </si>
  <si>
    <t>TIRAMISU</t>
  </si>
  <si>
    <t>APRICOT FRUIT PUDDING</t>
  </si>
  <si>
    <t xml:space="preserve">PRE COOKED PRODUCTS :- </t>
  </si>
  <si>
    <t>VEG LEMON CORIANDER</t>
  </si>
  <si>
    <t>VEG MANCHOW</t>
  </si>
  <si>
    <t>ASSORTED BREAD ROLLS STICKS</t>
  </si>
  <si>
    <t>GREEN SALAD BAR</t>
  </si>
  <si>
    <t>EVE SALAD</t>
  </si>
  <si>
    <t>THREE BEAN SALSA</t>
  </si>
  <si>
    <t>KALA CHANA SUNDAL</t>
  </si>
  <si>
    <t>PLAIN CURD</t>
  </si>
  <si>
    <t>MIX VEG RAITHA</t>
  </si>
  <si>
    <t>KOTHMEERA RASAM</t>
  </si>
  <si>
    <t>SAMBAR</t>
  </si>
  <si>
    <t>MIRCH KA SALAN</t>
  </si>
  <si>
    <t>ASSORTED INDIAN BREAD ROTI / NAAN / PHULKA</t>
  </si>
  <si>
    <t>GONGURA PACHADI</t>
  </si>
  <si>
    <t>BEERKAYA PACHADI</t>
  </si>
  <si>
    <t>ASSORTED PICKLE ( 02 TYPES )</t>
  </si>
  <si>
    <t>ASSORTED FRIED PAPAD</t>
  </si>
  <si>
    <t xml:space="preserve">ICE CREAM…PAAN GULKAND,CHIKKO PRALAINE </t>
  </si>
  <si>
    <t>SUMMARY REPORT</t>
  </si>
  <si>
    <t xml:space="preserve">PARTICULARS </t>
  </si>
  <si>
    <t xml:space="preserve">COOKED </t>
  </si>
  <si>
    <t>PRE COOKED</t>
  </si>
  <si>
    <t>NO COOKED</t>
  </si>
  <si>
    <t>TOTAL</t>
  </si>
  <si>
    <t>PER HEAD</t>
  </si>
  <si>
    <t>ESTIMATED COOKED FOOD PICKUP ( 230 PAX )</t>
  </si>
  <si>
    <t>ACTUAL COOKED FOOD PICKUP ( 230 PAX )</t>
  </si>
  <si>
    <t>ACTUAL COOKED FOOD CLOSING ( 230  PAX )</t>
  </si>
  <si>
    <t>TOTAL CONSUMPTION FOOD</t>
  </si>
  <si>
    <t>TOTAL BUFFET WASTAGE FOOD</t>
  </si>
  <si>
    <t>TOTAL KITCHEN LEFT OVER FOOD</t>
  </si>
  <si>
    <t>TOTAL RE USE FOOD</t>
  </si>
  <si>
    <t>COOKED FOOD REPORT</t>
  </si>
  <si>
    <t>QNT</t>
  </si>
  <si>
    <t>%</t>
  </si>
  <si>
    <t>BUFFET LEFT OVER FOOD</t>
  </si>
  <si>
    <t>KITCHEN LEFT OVER FOOD</t>
  </si>
  <si>
    <t>GRMS PER HEAD</t>
  </si>
  <si>
    <t>TOTAL PICKUP FOOD</t>
  </si>
  <si>
    <t>TOTAL FOOD SALE AMOUNT ( In Rupees)</t>
  </si>
  <si>
    <t>WASTAGE AMOUNT ( In Rupees)</t>
  </si>
  <si>
    <t>WASTAGE AMOUNT IN %</t>
  </si>
  <si>
    <t>HOTEL SAHARA PRODUCTION VS CONSUMPTION REPORT</t>
  </si>
  <si>
    <t>DATE :- 24/08/2026</t>
  </si>
  <si>
    <t>PRODUCTION</t>
  </si>
  <si>
    <t>PICKUP &amp; LEFT OVER</t>
  </si>
  <si>
    <t>CONSUMPTION</t>
  </si>
  <si>
    <t>LEFT OVER &amp; WASTAGE</t>
  </si>
  <si>
    <t>CONVERT IN KGS ( DAY TOTAL IN ALL SESSION )</t>
  </si>
  <si>
    <t>Session</t>
  </si>
  <si>
    <t>Pax</t>
  </si>
  <si>
    <t>Name of Items</t>
  </si>
  <si>
    <t>Item 
Cost</t>
  </si>
  <si>
    <t>Uom</t>
  </si>
  <si>
    <t>Standard 
Qty in portion</t>
  </si>
  <si>
    <t>Convert
 Grms</t>
  </si>
  <si>
    <t xml:space="preserve"> Estimation 
Production</t>
  </si>
  <si>
    <t>Actually
Cooked 
 Production</t>
  </si>
  <si>
    <t xml:space="preserve">Over Production </t>
  </si>
  <si>
    <t>Pickup</t>
  </si>
  <si>
    <t xml:space="preserve">Kitchen
 Left Over </t>
  </si>
  <si>
    <t>Location
 Return Food</t>
  </si>
  <si>
    <t>Actually
Consumption</t>
  </si>
  <si>
    <t>Consumption
Per Portion 
In Grms / Pcs</t>
  </si>
  <si>
    <t>Total Left Over 
( Return &amp; Kitchen)</t>
  </si>
  <si>
    <t>Re-use</t>
  </si>
  <si>
    <t>Wastage</t>
  </si>
  <si>
    <t>Total
Wastage
In Kgs</t>
  </si>
  <si>
    <t>Wastage Cost</t>
  </si>
  <si>
    <t>Wastage 
Percentage</t>
  </si>
  <si>
    <t>Actually
 Production</t>
  </si>
  <si>
    <t>Re-Use Kgs</t>
  </si>
  <si>
    <r>
      <t xml:space="preserve">Standard
</t>
    </r>
    <r>
      <rPr>
        <b/>
        <sz val="12"/>
        <color theme="1"/>
        <rFont val="Calibri"/>
        <family val="2"/>
        <scheme val="minor"/>
      </rPr>
      <t>Breakfast</t>
    </r>
  </si>
  <si>
    <t>Idly</t>
  </si>
  <si>
    <t>Pcs</t>
  </si>
  <si>
    <t>Wada</t>
  </si>
  <si>
    <t>Pongal</t>
  </si>
  <si>
    <t>Kgs</t>
  </si>
  <si>
    <t xml:space="preserve">Sambar </t>
  </si>
  <si>
    <t>Peanut Chutney</t>
  </si>
  <si>
    <t>tomato chutney</t>
  </si>
  <si>
    <t>Tea</t>
  </si>
  <si>
    <t>Ltr</t>
  </si>
  <si>
    <r>
      <t xml:space="preserve">Standard
</t>
    </r>
    <r>
      <rPr>
        <b/>
        <sz val="12"/>
        <color theme="1"/>
        <rFont val="Calibri"/>
        <family val="2"/>
        <scheme val="minor"/>
      </rPr>
      <t>Lunch</t>
    </r>
  </si>
  <si>
    <t>Plain Rice</t>
  </si>
  <si>
    <t xml:space="preserve">Guthi Dondakai </t>
  </si>
  <si>
    <t>Cabbage Pakoda</t>
  </si>
  <si>
    <t>Gongura Pappu</t>
  </si>
  <si>
    <t>Sambar</t>
  </si>
  <si>
    <t>Rasam</t>
  </si>
  <si>
    <t>Chutney</t>
  </si>
  <si>
    <t>Curd</t>
  </si>
  <si>
    <t>Chapathi</t>
  </si>
  <si>
    <r>
      <t xml:space="preserve">Standard
</t>
    </r>
    <r>
      <rPr>
        <b/>
        <sz val="12"/>
        <color theme="1"/>
        <rFont val="Calibri"/>
        <family val="2"/>
        <scheme val="minor"/>
      </rPr>
      <t>Snacks</t>
    </r>
  </si>
  <si>
    <t>Veg Puff</t>
  </si>
  <si>
    <t>Tomato Kitchup</t>
  </si>
  <si>
    <t>pkt</t>
  </si>
  <si>
    <t>Laddu</t>
  </si>
  <si>
    <r>
      <t xml:space="preserve">Standard
</t>
    </r>
    <r>
      <rPr>
        <b/>
        <sz val="12"/>
        <color theme="1"/>
        <rFont val="Calibri"/>
        <family val="2"/>
        <scheme val="minor"/>
      </rPr>
      <t>Dinner</t>
    </r>
  </si>
  <si>
    <t>Kadai Veg</t>
  </si>
  <si>
    <t>Dum Bhendi</t>
  </si>
  <si>
    <t>Tomato Dal</t>
  </si>
  <si>
    <t>Rasarm</t>
  </si>
  <si>
    <t>Grand
Total</t>
  </si>
  <si>
    <t>SAHARA SUMMARRY ON 23/08/2026</t>
  </si>
  <si>
    <t>Production
Kgs</t>
  </si>
  <si>
    <t>Pickup
Kgs</t>
  </si>
  <si>
    <t>Kitchen
 Left Over Kgs</t>
  </si>
  <si>
    <t>Location
 Return Kgs</t>
  </si>
  <si>
    <t>Re-Use
 Kgs</t>
  </si>
  <si>
    <t>Total Wastage
In Kgs</t>
  </si>
  <si>
    <t>Wastage por Grms</t>
  </si>
  <si>
    <t xml:space="preserve">Wastage % </t>
  </si>
  <si>
    <t>Breakfast</t>
  </si>
  <si>
    <t>Lunch</t>
  </si>
  <si>
    <t>Snacks</t>
  </si>
  <si>
    <t>Dinner</t>
  </si>
  <si>
    <t>Total</t>
  </si>
  <si>
    <t>CMR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</si>
</sst>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00"/>
    <numFmt numFmtId="165" formatCode="0.0"/>
    <numFmt numFmtId="166" formatCode="0.0%"/>
    <numFmt numFmtId="167" formatCode="_-* #,##0.00_-;\-* #,##0.00_-;_-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sz val="12"/>
      <name val="Cambria"/>
      <family val="1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Cambria"/>
      <family val="1"/>
    </font>
    <font>
      <sz val="12"/>
      <color theme="1"/>
      <name val="Calibri"/>
      <family val="2"/>
      <scheme val="minor"/>
    </font>
    <font>
      <sz val="12"/>
      <color theme="1"/>
      <name val="Cambria"/>
      <family val="1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trike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7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indexed="64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medium">
        <color auto="1"/>
      </left>
      <right/>
      <top/>
      <bottom style="hair">
        <color auto="1"/>
      </bottom>
      <diagonal/>
    </border>
    <border>
      <left style="hair">
        <color indexed="64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indexed="64"/>
      </left>
      <right/>
      <top style="thin">
        <color indexed="64"/>
      </top>
      <bottom style="medium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281">
    <xf numFmtId="0" fontId="0" fillId="0" borderId="0" xfId="0"/>
    <xf numFmtId="0" fontId="4" fillId="0" borderId="1" xfId="3" applyFont="1" applyBorder="1" applyAlignment="1">
      <alignment horizontal="center" vertical="center"/>
    </xf>
    <xf numFmtId="0" fontId="4" fillId="0" borderId="2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1" fillId="0" borderId="0" xfId="3"/>
    <xf numFmtId="0" fontId="5" fillId="0" borderId="4" xfId="3" applyFont="1" applyBorder="1" applyAlignment="1">
      <alignment horizontal="center" vertical="center"/>
    </xf>
    <xf numFmtId="0" fontId="4" fillId="0" borderId="5" xfId="3" applyFont="1" applyBorder="1" applyAlignment="1">
      <alignment horizontal="center" vertical="center" wrapText="1"/>
    </xf>
    <xf numFmtId="0" fontId="4" fillId="0" borderId="6" xfId="3" applyFont="1" applyBorder="1" applyAlignment="1">
      <alignment horizontal="center" vertical="center" wrapText="1"/>
    </xf>
    <xf numFmtId="0" fontId="4" fillId="0" borderId="7" xfId="3" applyFont="1" applyBorder="1" applyAlignment="1">
      <alignment horizontal="center" vertical="center" wrapText="1"/>
    </xf>
    <xf numFmtId="0" fontId="4" fillId="0" borderId="8" xfId="3" applyFont="1" applyBorder="1" applyAlignment="1">
      <alignment horizontal="center" vertical="center" wrapText="1"/>
    </xf>
    <xf numFmtId="0" fontId="5" fillId="0" borderId="9" xfId="3" applyFont="1" applyBorder="1" applyAlignment="1">
      <alignment horizontal="center" vertical="center"/>
    </xf>
    <xf numFmtId="0" fontId="6" fillId="0" borderId="10" xfId="3" applyFont="1" applyBorder="1" applyAlignment="1">
      <alignment horizontal="center" vertical="center" wrapText="1"/>
    </xf>
    <xf numFmtId="0" fontId="6" fillId="0" borderId="11" xfId="3" applyFont="1" applyBorder="1" applyAlignment="1">
      <alignment horizontal="center" vertical="center" wrapText="1"/>
    </xf>
    <xf numFmtId="0" fontId="7" fillId="0" borderId="10" xfId="3" applyFont="1" applyBorder="1" applyAlignment="1">
      <alignment horizontal="center" vertical="center" wrapText="1"/>
    </xf>
    <xf numFmtId="0" fontId="6" fillId="0" borderId="12" xfId="3" applyFont="1" applyBorder="1" applyAlignment="1">
      <alignment horizontal="center" vertical="center" wrapText="1"/>
    </xf>
    <xf numFmtId="0" fontId="1" fillId="0" borderId="0" xfId="3" applyAlignment="1">
      <alignment vertical="center"/>
    </xf>
    <xf numFmtId="0" fontId="8" fillId="0" borderId="13" xfId="3" applyFont="1" applyBorder="1" applyAlignment="1">
      <alignment vertical="center"/>
    </xf>
    <xf numFmtId="164" fontId="8" fillId="0" borderId="12" xfId="3" applyNumberFormat="1" applyFont="1" applyBorder="1" applyAlignment="1">
      <alignment horizontal="center" vertical="center"/>
    </xf>
    <xf numFmtId="164" fontId="9" fillId="0" borderId="14" xfId="3" applyNumberFormat="1" applyFont="1" applyBorder="1" applyAlignment="1">
      <alignment horizontal="center" vertical="center"/>
    </xf>
    <xf numFmtId="164" fontId="9" fillId="0" borderId="10" xfId="3" applyNumberFormat="1" applyFont="1" applyBorder="1" applyAlignment="1">
      <alignment horizontal="center" vertical="center"/>
    </xf>
    <xf numFmtId="164" fontId="9" fillId="0" borderId="15" xfId="3" applyNumberFormat="1" applyFont="1" applyBorder="1" applyAlignment="1">
      <alignment horizontal="center" vertical="center"/>
    </xf>
    <xf numFmtId="2" fontId="10" fillId="0" borderId="0" xfId="3" applyNumberFormat="1" applyFont="1" applyAlignment="1">
      <alignment vertical="center"/>
    </xf>
    <xf numFmtId="0" fontId="10" fillId="0" borderId="0" xfId="3" applyFont="1" applyAlignment="1">
      <alignment vertical="center"/>
    </xf>
    <xf numFmtId="0" fontId="11" fillId="2" borderId="12" xfId="3" applyFont="1" applyFill="1" applyBorder="1" applyAlignment="1">
      <alignment horizontal="left" vertical="center"/>
    </xf>
    <xf numFmtId="164" fontId="12" fillId="2" borderId="15" xfId="3" applyNumberFormat="1" applyFont="1" applyFill="1" applyBorder="1" applyAlignment="1">
      <alignment horizontal="center" vertical="center"/>
    </xf>
    <xf numFmtId="164" fontId="12" fillId="2" borderId="14" xfId="3" applyNumberFormat="1" applyFont="1" applyFill="1" applyBorder="1" applyAlignment="1">
      <alignment horizontal="center" vertical="center"/>
    </xf>
    <xf numFmtId="164" fontId="12" fillId="2" borderId="10" xfId="3" applyNumberFormat="1" applyFont="1" applyFill="1" applyBorder="1" applyAlignment="1">
      <alignment horizontal="center" vertical="center"/>
    </xf>
    <xf numFmtId="2" fontId="6" fillId="0" borderId="0" xfId="3" applyNumberFormat="1" applyFont="1" applyAlignment="1">
      <alignment vertical="center"/>
    </xf>
    <xf numFmtId="0" fontId="6" fillId="0" borderId="0" xfId="3" applyFont="1" applyAlignment="1">
      <alignment vertical="center"/>
    </xf>
    <xf numFmtId="0" fontId="11" fillId="0" borderId="1" xfId="3" applyFont="1" applyBorder="1" applyAlignment="1">
      <alignment horizontal="left" vertical="center"/>
    </xf>
    <xf numFmtId="164" fontId="9" fillId="0" borderId="12" xfId="3" applyNumberFormat="1" applyFont="1" applyBorder="1" applyAlignment="1">
      <alignment horizontal="center" vertical="center"/>
    </xf>
    <xf numFmtId="0" fontId="13" fillId="0" borderId="13" xfId="3" applyFont="1" applyBorder="1" applyAlignment="1">
      <alignment vertical="center"/>
    </xf>
    <xf numFmtId="164" fontId="14" fillId="0" borderId="10" xfId="3" applyNumberFormat="1" applyFont="1" applyBorder="1" applyAlignment="1">
      <alignment horizontal="center" vertical="center"/>
    </xf>
    <xf numFmtId="164" fontId="14" fillId="0" borderId="15" xfId="3" applyNumberFormat="1" applyFont="1" applyBorder="1" applyAlignment="1">
      <alignment horizontal="center" vertical="center"/>
    </xf>
    <xf numFmtId="164" fontId="13" fillId="0" borderId="12" xfId="3" applyNumberFormat="1" applyFont="1" applyBorder="1" applyAlignment="1">
      <alignment horizontal="center" vertical="center"/>
    </xf>
    <xf numFmtId="2" fontId="1" fillId="0" borderId="0" xfId="3" applyNumberFormat="1" applyAlignment="1">
      <alignment vertical="center"/>
    </xf>
    <xf numFmtId="0" fontId="15" fillId="2" borderId="16" xfId="3" applyFont="1" applyFill="1" applyBorder="1" applyAlignment="1">
      <alignment horizontal="left" vertical="center"/>
    </xf>
    <xf numFmtId="164" fontId="12" fillId="2" borderId="12" xfId="3" applyNumberFormat="1" applyFont="1" applyFill="1" applyBorder="1" applyAlignment="1">
      <alignment horizontal="center" vertical="center"/>
    </xf>
    <xf numFmtId="2" fontId="16" fillId="0" borderId="0" xfId="3" applyNumberFormat="1" applyFont="1" applyAlignment="1">
      <alignment vertical="center"/>
    </xf>
    <xf numFmtId="0" fontId="16" fillId="0" borderId="0" xfId="3" applyFont="1" applyAlignment="1">
      <alignment vertical="center"/>
    </xf>
    <xf numFmtId="0" fontId="15" fillId="3" borderId="0" xfId="3" applyFont="1" applyFill="1" applyAlignment="1">
      <alignment horizontal="left" vertical="center"/>
    </xf>
    <xf numFmtId="164" fontId="12" fillId="3" borderId="0" xfId="3" applyNumberFormat="1" applyFont="1" applyFill="1" applyAlignment="1">
      <alignment horizontal="center" vertical="center"/>
    </xf>
    <xf numFmtId="2" fontId="2" fillId="3" borderId="0" xfId="3" applyNumberFormat="1" applyFont="1" applyFill="1" applyAlignment="1">
      <alignment vertical="center"/>
    </xf>
    <xf numFmtId="0" fontId="2" fillId="3" borderId="0" xfId="3" applyFont="1" applyFill="1" applyAlignment="1">
      <alignment vertical="center"/>
    </xf>
    <xf numFmtId="0" fontId="3" fillId="4" borderId="0" xfId="3" applyFont="1" applyFill="1" applyAlignment="1">
      <alignment horizontal="left" vertical="center"/>
    </xf>
    <xf numFmtId="0" fontId="1" fillId="0" borderId="0" xfId="3" applyAlignment="1">
      <alignment horizontal="left" vertical="center"/>
    </xf>
    <xf numFmtId="2" fontId="1" fillId="0" borderId="0" xfId="3" applyNumberFormat="1" applyAlignment="1">
      <alignment horizontal="left" vertical="center"/>
    </xf>
    <xf numFmtId="164" fontId="1" fillId="0" borderId="0" xfId="3" applyNumberFormat="1" applyAlignment="1">
      <alignment horizontal="left" vertical="center"/>
    </xf>
    <xf numFmtId="0" fontId="3" fillId="0" borderId="12" xfId="3" applyFont="1" applyBorder="1" applyAlignment="1">
      <alignment horizontal="left" vertical="center"/>
    </xf>
    <xf numFmtId="0" fontId="3" fillId="0" borderId="12" xfId="3" applyFont="1" applyBorder="1" applyAlignment="1">
      <alignment horizontal="center" vertical="center" wrapText="1"/>
    </xf>
    <xf numFmtId="2" fontId="3" fillId="0" borderId="12" xfId="3" applyNumberFormat="1" applyFont="1" applyBorder="1" applyAlignment="1">
      <alignment horizontal="center" vertical="center" wrapText="1"/>
    </xf>
    <xf numFmtId="0" fontId="3" fillId="0" borderId="12" xfId="3" applyFont="1" applyBorder="1" applyAlignment="1">
      <alignment horizontal="center" vertical="center"/>
    </xf>
    <xf numFmtId="164" fontId="3" fillId="0" borderId="12" xfId="3" applyNumberFormat="1" applyFont="1" applyBorder="1" applyAlignment="1">
      <alignment horizontal="center" vertical="center" wrapText="1"/>
    </xf>
    <xf numFmtId="164" fontId="3" fillId="0" borderId="0" xfId="3" applyNumberFormat="1" applyFont="1" applyAlignment="1">
      <alignment horizontal="left" vertical="center" wrapText="1"/>
    </xf>
    <xf numFmtId="0" fontId="0" fillId="0" borderId="12" xfId="3" applyFont="1" applyBorder="1" applyAlignment="1">
      <alignment horizontal="left" vertical="center"/>
    </xf>
    <xf numFmtId="164" fontId="1" fillId="0" borderId="12" xfId="3" applyNumberFormat="1" applyBorder="1" applyAlignment="1">
      <alignment horizontal="center" vertical="center"/>
    </xf>
    <xf numFmtId="164" fontId="1" fillId="0" borderId="12" xfId="3" applyNumberFormat="1" applyBorder="1" applyAlignment="1">
      <alignment horizontal="center" vertical="center" wrapText="1"/>
    </xf>
    <xf numFmtId="164" fontId="3" fillId="0" borderId="12" xfId="3" applyNumberFormat="1" applyFont="1" applyBorder="1" applyAlignment="1">
      <alignment horizontal="center" vertical="center"/>
    </xf>
    <xf numFmtId="0" fontId="3" fillId="0" borderId="0" xfId="3" applyFont="1" applyAlignment="1">
      <alignment horizontal="left" vertical="center" wrapText="1"/>
    </xf>
    <xf numFmtId="165" fontId="1" fillId="0" borderId="0" xfId="3" applyNumberFormat="1" applyAlignment="1">
      <alignment horizontal="left" vertical="center"/>
    </xf>
    <xf numFmtId="164" fontId="17" fillId="0" borderId="12" xfId="3" applyNumberFormat="1" applyFont="1" applyBorder="1" applyAlignment="1">
      <alignment horizontal="center" vertical="center"/>
    </xf>
    <xf numFmtId="0" fontId="3" fillId="2" borderId="12" xfId="3" applyFont="1" applyFill="1" applyBorder="1" applyAlignment="1">
      <alignment horizontal="left" vertical="center"/>
    </xf>
    <xf numFmtId="164" fontId="17" fillId="2" borderId="12" xfId="3" applyNumberFormat="1" applyFont="1" applyFill="1" applyBorder="1" applyAlignment="1">
      <alignment horizontal="center" vertical="center"/>
    </xf>
    <xf numFmtId="164" fontId="17" fillId="2" borderId="12" xfId="3" applyNumberFormat="1" applyFont="1" applyFill="1" applyBorder="1" applyAlignment="1">
      <alignment horizontal="center" vertical="center" wrapText="1"/>
    </xf>
    <xf numFmtId="164" fontId="3" fillId="2" borderId="12" xfId="3" applyNumberFormat="1" applyFont="1" applyFill="1" applyBorder="1" applyAlignment="1">
      <alignment horizontal="center" vertical="center"/>
    </xf>
    <xf numFmtId="2" fontId="3" fillId="2" borderId="12" xfId="3" applyNumberFormat="1" applyFont="1" applyFill="1" applyBorder="1" applyAlignment="1">
      <alignment horizontal="center" vertical="center"/>
    </xf>
    <xf numFmtId="164" fontId="3" fillId="2" borderId="12" xfId="3" applyNumberFormat="1" applyFont="1" applyFill="1" applyBorder="1" applyAlignment="1">
      <alignment horizontal="center" vertical="center" wrapText="1"/>
    </xf>
    <xf numFmtId="0" fontId="18" fillId="0" borderId="12" xfId="3" applyFont="1" applyBorder="1" applyAlignment="1">
      <alignment horizontal="left" vertical="center"/>
    </xf>
    <xf numFmtId="164" fontId="17" fillId="0" borderId="12" xfId="3" applyNumberFormat="1" applyFont="1" applyBorder="1" applyAlignment="1">
      <alignment horizontal="center" vertical="center" wrapText="1"/>
    </xf>
    <xf numFmtId="2" fontId="3" fillId="0" borderId="12" xfId="3" applyNumberFormat="1" applyFont="1" applyBorder="1" applyAlignment="1">
      <alignment horizontal="center" vertical="center"/>
    </xf>
    <xf numFmtId="0" fontId="3" fillId="4" borderId="12" xfId="3" applyFont="1" applyFill="1" applyBorder="1" applyAlignment="1">
      <alignment vertical="center"/>
    </xf>
    <xf numFmtId="0" fontId="3" fillId="4" borderId="12" xfId="3" applyFont="1" applyFill="1" applyBorder="1" applyAlignment="1">
      <alignment horizontal="center" vertical="center"/>
    </xf>
    <xf numFmtId="0" fontId="1" fillId="0" borderId="12" xfId="3" applyBorder="1" applyAlignment="1">
      <alignment vertical="center"/>
    </xf>
    <xf numFmtId="164" fontId="1" fillId="0" borderId="12" xfId="3" applyNumberFormat="1" applyBorder="1" applyAlignment="1">
      <alignment vertical="center"/>
    </xf>
    <xf numFmtId="166" fontId="0" fillId="0" borderId="12" xfId="4" applyNumberFormat="1" applyFont="1" applyBorder="1" applyAlignment="1">
      <alignment vertical="center"/>
    </xf>
    <xf numFmtId="0" fontId="1" fillId="0" borderId="12" xfId="3" applyBorder="1"/>
    <xf numFmtId="164" fontId="1" fillId="0" borderId="12" xfId="3" applyNumberFormat="1" applyBorder="1"/>
    <xf numFmtId="166" fontId="16" fillId="0" borderId="12" xfId="4" applyNumberFormat="1" applyFont="1" applyBorder="1" applyAlignment="1">
      <alignment vertical="center"/>
    </xf>
    <xf numFmtId="164" fontId="1" fillId="0" borderId="0" xfId="3" applyNumberFormat="1"/>
    <xf numFmtId="0" fontId="17" fillId="2" borderId="12" xfId="3" applyFont="1" applyFill="1" applyBorder="1" applyAlignment="1">
      <alignment vertical="center"/>
    </xf>
    <xf numFmtId="164" fontId="17" fillId="2" borderId="12" xfId="3" applyNumberFormat="1" applyFont="1" applyFill="1" applyBorder="1" applyAlignment="1">
      <alignment vertical="center"/>
    </xf>
    <xf numFmtId="166" fontId="18" fillId="2" borderId="12" xfId="4" applyNumberFormat="1" applyFont="1" applyFill="1" applyBorder="1" applyAlignment="1">
      <alignment vertical="center"/>
    </xf>
    <xf numFmtId="2" fontId="3" fillId="0" borderId="0" xfId="5" applyNumberFormat="1" applyFont="1" applyAlignment="1">
      <alignment horizontal="center" vertical="center"/>
    </xf>
    <xf numFmtId="164" fontId="3" fillId="0" borderId="0" xfId="5" applyNumberFormat="1" applyFont="1" applyAlignment="1">
      <alignment vertical="center"/>
    </xf>
    <xf numFmtId="0" fontId="1" fillId="0" borderId="0" xfId="6"/>
    <xf numFmtId="0" fontId="3" fillId="0" borderId="0" xfId="7" applyFont="1"/>
    <xf numFmtId="0" fontId="1" fillId="0" borderId="0" xfId="7"/>
    <xf numFmtId="0" fontId="3" fillId="0" borderId="0" xfId="7" applyFont="1" applyAlignment="1">
      <alignment horizontal="center"/>
    </xf>
    <xf numFmtId="2" fontId="3" fillId="0" borderId="0" xfId="7" applyNumberFormat="1" applyFont="1" applyAlignment="1">
      <alignment horizontal="center"/>
    </xf>
    <xf numFmtId="0" fontId="0" fillId="0" borderId="0" xfId="3" applyFont="1"/>
    <xf numFmtId="0" fontId="17" fillId="2" borderId="17" xfId="0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center" vertical="center"/>
    </xf>
    <xf numFmtId="0" fontId="17" fillId="2" borderId="19" xfId="0" applyFont="1" applyFill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7" fillId="4" borderId="7" xfId="0" applyFont="1" applyFill="1" applyBorder="1" applyAlignment="1">
      <alignment horizontal="center"/>
    </xf>
    <xf numFmtId="0" fontId="17" fillId="4" borderId="8" xfId="0" applyFont="1" applyFill="1" applyBorder="1" applyAlignment="1">
      <alignment horizontal="center"/>
    </xf>
    <xf numFmtId="0" fontId="17" fillId="4" borderId="6" xfId="0" applyFont="1" applyFill="1" applyBorder="1" applyAlignment="1">
      <alignment horizontal="center"/>
    </xf>
    <xf numFmtId="0" fontId="17" fillId="5" borderId="7" xfId="0" applyFont="1" applyFill="1" applyBorder="1" applyAlignment="1">
      <alignment horizontal="center"/>
    </xf>
    <xf numFmtId="0" fontId="17" fillId="5" borderId="8" xfId="0" applyFont="1" applyFill="1" applyBorder="1" applyAlignment="1">
      <alignment horizontal="center"/>
    </xf>
    <xf numFmtId="0" fontId="17" fillId="5" borderId="6" xfId="0" applyFont="1" applyFill="1" applyBorder="1" applyAlignment="1">
      <alignment horizontal="center"/>
    </xf>
    <xf numFmtId="0" fontId="17" fillId="6" borderId="7" xfId="0" applyFont="1" applyFill="1" applyBorder="1" applyAlignment="1">
      <alignment horizontal="center"/>
    </xf>
    <xf numFmtId="0" fontId="17" fillId="6" borderId="6" xfId="0" applyFont="1" applyFill="1" applyBorder="1" applyAlignment="1">
      <alignment horizontal="center"/>
    </xf>
    <xf numFmtId="0" fontId="17" fillId="7" borderId="5" xfId="0" applyFont="1" applyFill="1" applyBorder="1" applyAlignment="1">
      <alignment horizontal="center"/>
    </xf>
    <xf numFmtId="0" fontId="17" fillId="7" borderId="8" xfId="0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/>
    </xf>
    <xf numFmtId="0" fontId="3" fillId="8" borderId="20" xfId="0" applyFont="1" applyFill="1" applyBorder="1" applyAlignment="1">
      <alignment vertical="center"/>
    </xf>
    <xf numFmtId="0" fontId="3" fillId="8" borderId="21" xfId="0" applyFont="1" applyFill="1" applyBorder="1" applyAlignment="1">
      <alignment vertical="center"/>
    </xf>
    <xf numFmtId="0" fontId="3" fillId="8" borderId="22" xfId="0" applyFont="1" applyFill="1" applyBorder="1" applyAlignment="1">
      <alignment vertical="center"/>
    </xf>
    <xf numFmtId="0" fontId="3" fillId="8" borderId="23" xfId="0" applyFont="1" applyFill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 wrapText="1"/>
    </xf>
    <xf numFmtId="0" fontId="3" fillId="0" borderId="25" xfId="0" applyFont="1" applyBorder="1" applyAlignment="1">
      <alignment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9" borderId="27" xfId="0" applyFont="1" applyFill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5" borderId="26" xfId="0" applyFont="1" applyFill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5" borderId="28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10" borderId="27" xfId="0" applyFont="1" applyFill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1" xfId="0" applyFont="1" applyBorder="1"/>
    <xf numFmtId="0" fontId="0" fillId="0" borderId="21" xfId="0" applyBorder="1" applyAlignment="1">
      <alignment horizontal="center" vertical="center"/>
    </xf>
    <xf numFmtId="0" fontId="0" fillId="0" borderId="21" xfId="0" applyBorder="1" applyAlignment="1">
      <alignment horizontal="center"/>
    </xf>
    <xf numFmtId="1" fontId="0" fillId="0" borderId="22" xfId="0" applyNumberFormat="1" applyBorder="1" applyAlignment="1">
      <alignment horizontal="right"/>
    </xf>
    <xf numFmtId="164" fontId="0" fillId="0" borderId="21" xfId="0" applyNumberFormat="1" applyBorder="1"/>
    <xf numFmtId="165" fontId="0" fillId="0" borderId="33" xfId="0" applyNumberFormat="1" applyBorder="1"/>
    <xf numFmtId="0" fontId="6" fillId="9" borderId="21" xfId="0" applyFont="1" applyFill="1" applyBorder="1"/>
    <xf numFmtId="165" fontId="0" fillId="0" borderId="23" xfId="0" applyNumberFormat="1" applyBorder="1"/>
    <xf numFmtId="1" fontId="0" fillId="5" borderId="20" xfId="0" applyNumberFormat="1" applyFill="1" applyBorder="1"/>
    <xf numFmtId="1" fontId="0" fillId="0" borderId="21" xfId="0" applyNumberFormat="1" applyBorder="1"/>
    <xf numFmtId="0" fontId="0" fillId="5" borderId="23" xfId="0" applyFill="1" applyBorder="1"/>
    <xf numFmtId="1" fontId="0" fillId="0" borderId="20" xfId="0" applyNumberFormat="1" applyBorder="1"/>
    <xf numFmtId="0" fontId="0" fillId="0" borderId="34" xfId="0" applyBorder="1"/>
    <xf numFmtId="0" fontId="0" fillId="10" borderId="21" xfId="0" applyFill="1" applyBorder="1"/>
    <xf numFmtId="0" fontId="0" fillId="0" borderId="21" xfId="0" applyBorder="1"/>
    <xf numFmtId="9" fontId="0" fillId="0" borderId="23" xfId="2" applyFont="1" applyBorder="1"/>
    <xf numFmtId="43" fontId="0" fillId="0" borderId="30" xfId="1" applyFont="1" applyBorder="1"/>
    <xf numFmtId="43" fontId="0" fillId="0" borderId="31" xfId="1" applyFont="1" applyBorder="1"/>
    <xf numFmtId="43" fontId="0" fillId="0" borderId="35" xfId="1" applyFont="1" applyBorder="1"/>
    <xf numFmtId="43" fontId="0" fillId="0" borderId="32" xfId="1" applyFont="1" applyBorder="1"/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1" xfId="0" applyFont="1" applyBorder="1"/>
    <xf numFmtId="0" fontId="0" fillId="0" borderId="31" xfId="0" applyBorder="1" applyAlignment="1">
      <alignment horizontal="center" vertical="center"/>
    </xf>
    <xf numFmtId="0" fontId="0" fillId="0" borderId="31" xfId="0" applyBorder="1" applyAlignment="1">
      <alignment horizontal="center"/>
    </xf>
    <xf numFmtId="1" fontId="0" fillId="0" borderId="35" xfId="0" applyNumberFormat="1" applyBorder="1" applyAlignment="1">
      <alignment horizontal="right"/>
    </xf>
    <xf numFmtId="164" fontId="0" fillId="0" borderId="31" xfId="0" applyNumberFormat="1" applyBorder="1"/>
    <xf numFmtId="165" fontId="0" fillId="0" borderId="36" xfId="0" applyNumberFormat="1" applyBorder="1"/>
    <xf numFmtId="0" fontId="6" fillId="9" borderId="31" xfId="0" applyFont="1" applyFill="1" applyBorder="1"/>
    <xf numFmtId="0" fontId="0" fillId="0" borderId="32" xfId="0" applyBorder="1"/>
    <xf numFmtId="1" fontId="0" fillId="5" borderId="30" xfId="0" applyNumberFormat="1" applyFill="1" applyBorder="1"/>
    <xf numFmtId="0" fontId="0" fillId="0" borderId="31" xfId="0" applyBorder="1"/>
    <xf numFmtId="0" fontId="0" fillId="5" borderId="32" xfId="0" applyFill="1" applyBorder="1"/>
    <xf numFmtId="0" fontId="0" fillId="0" borderId="30" xfId="0" applyBorder="1"/>
    <xf numFmtId="165" fontId="0" fillId="0" borderId="32" xfId="0" applyNumberFormat="1" applyBorder="1"/>
    <xf numFmtId="0" fontId="0" fillId="0" borderId="37" xfId="0" applyBorder="1"/>
    <xf numFmtId="0" fontId="0" fillId="10" borderId="31" xfId="0" applyFill="1" applyBorder="1"/>
    <xf numFmtId="9" fontId="0" fillId="0" borderId="32" xfId="2" applyFont="1" applyBorder="1"/>
    <xf numFmtId="164" fontId="0" fillId="0" borderId="35" xfId="0" applyNumberFormat="1" applyBorder="1"/>
    <xf numFmtId="165" fontId="0" fillId="0" borderId="30" xfId="0" applyNumberFormat="1" applyBorder="1"/>
    <xf numFmtId="0" fontId="0" fillId="0" borderId="38" xfId="0" applyBorder="1"/>
    <xf numFmtId="164" fontId="0" fillId="0" borderId="32" xfId="0" applyNumberFormat="1" applyBorder="1"/>
    <xf numFmtId="165" fontId="0" fillId="0" borderId="38" xfId="0" applyNumberFormat="1" applyBorder="1"/>
    <xf numFmtId="1" fontId="0" fillId="0" borderId="31" xfId="0" applyNumberFormat="1" applyBorder="1"/>
    <xf numFmtId="43" fontId="0" fillId="0" borderId="39" xfId="1" applyFont="1" applyBorder="1"/>
    <xf numFmtId="43" fontId="0" fillId="0" borderId="40" xfId="1" applyFont="1" applyBorder="1"/>
    <xf numFmtId="43" fontId="0" fillId="0" borderId="41" xfId="1" applyFont="1" applyBorder="1"/>
    <xf numFmtId="0" fontId="3" fillId="0" borderId="42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43" xfId="0" applyFont="1" applyBorder="1" applyAlignment="1">
      <alignment vertical="center"/>
    </xf>
    <xf numFmtId="0" fontId="0" fillId="0" borderId="43" xfId="0" applyBorder="1"/>
    <xf numFmtId="165" fontId="0" fillId="0" borderId="44" xfId="0" applyNumberFormat="1" applyBorder="1"/>
    <xf numFmtId="0" fontId="6" fillId="9" borderId="43" xfId="0" applyFont="1" applyFill="1" applyBorder="1"/>
    <xf numFmtId="0" fontId="0" fillId="0" borderId="45" xfId="0" applyBorder="1"/>
    <xf numFmtId="1" fontId="0" fillId="5" borderId="44" xfId="0" applyNumberFormat="1" applyFill="1" applyBorder="1"/>
    <xf numFmtId="0" fontId="0" fillId="5" borderId="45" xfId="0" applyFill="1" applyBorder="1"/>
    <xf numFmtId="0" fontId="0" fillId="0" borderId="44" xfId="0" applyBorder="1"/>
    <xf numFmtId="0" fontId="0" fillId="0" borderId="46" xfId="0" applyBorder="1"/>
    <xf numFmtId="0" fontId="0" fillId="10" borderId="43" xfId="0" applyFill="1" applyBorder="1"/>
    <xf numFmtId="2" fontId="3" fillId="11" borderId="43" xfId="0" applyNumberFormat="1" applyFont="1" applyFill="1" applyBorder="1"/>
    <xf numFmtId="0" fontId="3" fillId="11" borderId="43" xfId="0" applyFont="1" applyFill="1" applyBorder="1"/>
    <xf numFmtId="0" fontId="3" fillId="5" borderId="47" xfId="0" applyFont="1" applyFill="1" applyBorder="1" applyAlignment="1">
      <alignment vertical="top"/>
    </xf>
    <xf numFmtId="0" fontId="3" fillId="5" borderId="48" xfId="0" applyFont="1" applyFill="1" applyBorder="1" applyAlignment="1">
      <alignment vertical="top"/>
    </xf>
    <xf numFmtId="0" fontId="3" fillId="5" borderId="49" xfId="0" applyFont="1" applyFill="1" applyBorder="1" applyAlignment="1">
      <alignment vertical="top"/>
    </xf>
    <xf numFmtId="167" fontId="3" fillId="5" borderId="49" xfId="0" applyNumberFormat="1" applyFont="1" applyFill="1" applyBorder="1" applyAlignment="1">
      <alignment vertical="top"/>
    </xf>
    <xf numFmtId="0" fontId="3" fillId="5" borderId="50" xfId="0" applyFont="1" applyFill="1" applyBorder="1" applyAlignment="1">
      <alignment vertical="top"/>
    </xf>
    <xf numFmtId="0" fontId="0" fillId="0" borderId="51" xfId="0" applyBorder="1"/>
    <xf numFmtId="0" fontId="3" fillId="0" borderId="52" xfId="0" applyFont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/>
    </xf>
    <xf numFmtId="164" fontId="0" fillId="0" borderId="22" xfId="0" applyNumberFormat="1" applyBorder="1"/>
    <xf numFmtId="0" fontId="0" fillId="0" borderId="20" xfId="0" applyBorder="1"/>
    <xf numFmtId="164" fontId="3" fillId="0" borderId="23" xfId="0" applyNumberFormat="1" applyFont="1" applyBorder="1"/>
    <xf numFmtId="43" fontId="0" fillId="0" borderId="54" xfId="1" applyFont="1" applyBorder="1"/>
    <xf numFmtId="43" fontId="0" fillId="0" borderId="55" xfId="1" applyFont="1" applyBorder="1"/>
    <xf numFmtId="43" fontId="0" fillId="0" borderId="56" xfId="1" applyFont="1" applyBorder="1"/>
    <xf numFmtId="0" fontId="3" fillId="0" borderId="51" xfId="0" applyFont="1" applyBorder="1" applyAlignment="1">
      <alignment horizontal="center" vertical="center" wrapText="1"/>
    </xf>
    <xf numFmtId="0" fontId="3" fillId="0" borderId="57" xfId="0" applyFont="1" applyBorder="1" applyAlignment="1">
      <alignment horizontal="center" vertical="center"/>
    </xf>
    <xf numFmtId="164" fontId="3" fillId="0" borderId="32" xfId="0" applyNumberFormat="1" applyFont="1" applyBorder="1"/>
    <xf numFmtId="1" fontId="0" fillId="0" borderId="32" xfId="0" applyNumberFormat="1" applyBorder="1"/>
    <xf numFmtId="0" fontId="3" fillId="0" borderId="58" xfId="0" applyFont="1" applyBorder="1" applyAlignment="1">
      <alignment horizontal="center" vertical="center" wrapText="1"/>
    </xf>
    <xf numFmtId="0" fontId="3" fillId="0" borderId="59" xfId="0" applyFont="1" applyBorder="1" applyAlignment="1">
      <alignment horizontal="center" vertical="center"/>
    </xf>
    <xf numFmtId="0" fontId="3" fillId="0" borderId="60" xfId="0" applyFont="1" applyBorder="1"/>
    <xf numFmtId="0" fontId="0" fillId="0" borderId="61" xfId="0" applyBorder="1" applyAlignment="1">
      <alignment horizontal="center"/>
    </xf>
    <xf numFmtId="1" fontId="0" fillId="0" borderId="61" xfId="0" applyNumberFormat="1" applyBorder="1"/>
    <xf numFmtId="164" fontId="0" fillId="0" borderId="61" xfId="0" applyNumberFormat="1" applyBorder="1"/>
    <xf numFmtId="0" fontId="3" fillId="0" borderId="62" xfId="0" applyFont="1" applyBorder="1" applyAlignment="1">
      <alignment horizontal="center" vertical="center"/>
    </xf>
    <xf numFmtId="0" fontId="3" fillId="0" borderId="46" xfId="0" applyFont="1" applyBorder="1" applyAlignment="1">
      <alignment vertical="center"/>
    </xf>
    <xf numFmtId="164" fontId="3" fillId="2" borderId="45" xfId="0" applyNumberFormat="1" applyFont="1" applyFill="1" applyBorder="1"/>
    <xf numFmtId="167" fontId="3" fillId="5" borderId="48" xfId="0" applyNumberFormat="1" applyFont="1" applyFill="1" applyBorder="1" applyAlignment="1">
      <alignment vertical="top"/>
    </xf>
    <xf numFmtId="165" fontId="0" fillId="0" borderId="22" xfId="0" applyNumberFormat="1" applyBorder="1"/>
    <xf numFmtId="0" fontId="0" fillId="0" borderId="23" xfId="0" applyBorder="1"/>
    <xf numFmtId="164" fontId="0" fillId="0" borderId="23" xfId="0" applyNumberFormat="1" applyBorder="1"/>
    <xf numFmtId="165" fontId="0" fillId="0" borderId="35" xfId="0" applyNumberFormat="1" applyBorder="1"/>
    <xf numFmtId="1" fontId="0" fillId="0" borderId="35" xfId="0" applyNumberFormat="1" applyBorder="1"/>
    <xf numFmtId="43" fontId="0" fillId="0" borderId="36" xfId="1" applyFont="1" applyBorder="1"/>
    <xf numFmtId="43" fontId="0" fillId="0" borderId="61" xfId="1" applyFont="1" applyBorder="1"/>
    <xf numFmtId="43" fontId="0" fillId="0" borderId="63" xfId="1" applyFont="1" applyBorder="1"/>
    <xf numFmtId="0" fontId="3" fillId="0" borderId="64" xfId="0" applyFont="1" applyBorder="1" applyAlignment="1">
      <alignment horizontal="center" vertical="center"/>
    </xf>
    <xf numFmtId="0" fontId="3" fillId="5" borderId="65" xfId="0" applyFont="1" applyFill="1" applyBorder="1"/>
    <xf numFmtId="0" fontId="3" fillId="5" borderId="48" xfId="0" applyFont="1" applyFill="1" applyBorder="1"/>
    <xf numFmtId="167" fontId="3" fillId="5" borderId="48" xfId="0" applyNumberFormat="1" applyFont="1" applyFill="1" applyBorder="1"/>
    <xf numFmtId="0" fontId="3" fillId="5" borderId="66" xfId="0" applyFont="1" applyFill="1" applyBorder="1"/>
    <xf numFmtId="0" fontId="3" fillId="0" borderId="67" xfId="0" applyFont="1" applyBorder="1" applyAlignment="1">
      <alignment horizontal="center" vertical="center"/>
    </xf>
    <xf numFmtId="0" fontId="3" fillId="5" borderId="65" xfId="0" applyFont="1" applyFill="1" applyBorder="1" applyAlignment="1">
      <alignment vertical="top"/>
    </xf>
    <xf numFmtId="167" fontId="3" fillId="5" borderId="50" xfId="0" applyNumberFormat="1" applyFont="1" applyFill="1" applyBorder="1" applyAlignment="1">
      <alignment vertical="top"/>
    </xf>
    <xf numFmtId="0" fontId="3" fillId="5" borderId="66" xfId="0" applyFont="1" applyFill="1" applyBorder="1" applyAlignment="1">
      <alignment vertical="top"/>
    </xf>
    <xf numFmtId="0" fontId="3" fillId="0" borderId="42" xfId="0" applyFont="1" applyBorder="1" applyAlignment="1">
      <alignment horizontal="center" vertical="center" wrapText="1"/>
    </xf>
    <xf numFmtId="0" fontId="3" fillId="0" borderId="68" xfId="0" applyFont="1" applyBorder="1" applyAlignment="1">
      <alignment horizontal="center" vertical="center"/>
    </xf>
    <xf numFmtId="0" fontId="0" fillId="0" borderId="64" xfId="0" applyBorder="1"/>
    <xf numFmtId="1" fontId="18" fillId="2" borderId="69" xfId="0" applyNumberFormat="1" applyFont="1" applyFill="1" applyBorder="1" applyAlignment="1">
      <alignment horizontal="center" vertical="center"/>
    </xf>
    <xf numFmtId="0" fontId="0" fillId="0" borderId="70" xfId="0" applyBorder="1"/>
    <xf numFmtId="1" fontId="17" fillId="0" borderId="71" xfId="0" applyNumberFormat="1" applyFont="1" applyBorder="1" applyAlignment="1">
      <alignment horizontal="center" vertical="center"/>
    </xf>
    <xf numFmtId="1" fontId="17" fillId="0" borderId="72" xfId="0" applyNumberFormat="1" applyFont="1" applyBorder="1" applyAlignment="1">
      <alignment horizontal="center" vertical="center"/>
    </xf>
    <xf numFmtId="1" fontId="17" fillId="0" borderId="73" xfId="0" applyNumberFormat="1" applyFont="1" applyBorder="1" applyAlignment="1">
      <alignment horizontal="center" vertical="center"/>
    </xf>
    <xf numFmtId="1" fontId="17" fillId="0" borderId="74" xfId="0" applyNumberFormat="1" applyFont="1" applyBorder="1" applyAlignment="1">
      <alignment horizontal="center" vertical="center"/>
    </xf>
    <xf numFmtId="0" fontId="0" fillId="0" borderId="75" xfId="0" applyBorder="1"/>
    <xf numFmtId="1" fontId="0" fillId="0" borderId="0" xfId="0" applyNumberFormat="1"/>
    <xf numFmtId="0" fontId="17" fillId="0" borderId="0" xfId="0" applyFont="1"/>
    <xf numFmtId="0" fontId="17" fillId="2" borderId="76" xfId="0" applyFont="1" applyFill="1" applyBorder="1" applyAlignment="1">
      <alignment horizontal="center" vertical="center"/>
    </xf>
    <xf numFmtId="0" fontId="17" fillId="2" borderId="77" xfId="0" applyFont="1" applyFill="1" applyBorder="1" applyAlignment="1">
      <alignment horizontal="center" vertical="center"/>
    </xf>
    <xf numFmtId="0" fontId="17" fillId="2" borderId="78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0" xfId="0" applyFont="1"/>
    <xf numFmtId="0" fontId="13" fillId="0" borderId="0" xfId="0" applyFont="1"/>
    <xf numFmtId="165" fontId="13" fillId="0" borderId="0" xfId="0" applyNumberFormat="1" applyFont="1"/>
    <xf numFmtId="164" fontId="13" fillId="0" borderId="0" xfId="0" applyNumberFormat="1" applyFont="1"/>
    <xf numFmtId="166" fontId="0" fillId="0" borderId="0" xfId="2" applyNumberFormat="1" applyFont="1" applyFill="1" applyBorder="1"/>
    <xf numFmtId="165" fontId="0" fillId="0" borderId="0" xfId="0" applyNumberFormat="1"/>
    <xf numFmtId="0" fontId="3" fillId="0" borderId="30" xfId="0" applyFont="1" applyBorder="1"/>
    <xf numFmtId="165" fontId="0" fillId="0" borderId="31" xfId="0" applyNumberFormat="1" applyBorder="1"/>
    <xf numFmtId="165" fontId="3" fillId="0" borderId="31" xfId="0" applyNumberFormat="1" applyFont="1" applyBorder="1"/>
    <xf numFmtId="164" fontId="13" fillId="0" borderId="31" xfId="0" applyNumberFormat="1" applyFont="1" applyBorder="1"/>
    <xf numFmtId="166" fontId="0" fillId="0" borderId="32" xfId="2" applyNumberFormat="1" applyFont="1" applyBorder="1"/>
    <xf numFmtId="9" fontId="0" fillId="0" borderId="0" xfId="2" applyFont="1"/>
    <xf numFmtId="164" fontId="0" fillId="0" borderId="0" xfId="0" applyNumberForma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right" vertical="center"/>
    </xf>
    <xf numFmtId="165" fontId="17" fillId="0" borderId="0" xfId="0" applyNumberFormat="1" applyFont="1" applyAlignment="1">
      <alignment horizontal="right" vertical="center"/>
    </xf>
    <xf numFmtId="164" fontId="17" fillId="0" borderId="0" xfId="0" applyNumberFormat="1" applyFont="1" applyAlignment="1">
      <alignment horizontal="right" vertical="center"/>
    </xf>
    <xf numFmtId="9" fontId="0" fillId="0" borderId="0" xfId="2" applyFont="1" applyBorder="1"/>
    <xf numFmtId="165" fontId="3" fillId="0" borderId="0" xfId="0" applyNumberFormat="1" applyFont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0" fontId="17" fillId="0" borderId="43" xfId="0" applyFont="1" applyBorder="1" applyAlignment="1">
      <alignment horizontal="right" vertical="center"/>
    </xf>
    <xf numFmtId="1" fontId="3" fillId="0" borderId="43" xfId="0" applyNumberFormat="1" applyFont="1" applyBorder="1" applyAlignment="1">
      <alignment horizontal="right" vertical="center"/>
    </xf>
    <xf numFmtId="164" fontId="3" fillId="0" borderId="43" xfId="0" applyNumberFormat="1" applyFont="1" applyBorder="1" applyAlignment="1">
      <alignment horizontal="right" vertical="center"/>
    </xf>
    <xf numFmtId="166" fontId="3" fillId="0" borderId="45" xfId="2" applyNumberFormat="1" applyFont="1" applyBorder="1" applyAlignment="1">
      <alignment horizontal="right" vertical="center"/>
    </xf>
    <xf numFmtId="0" fontId="3" fillId="0" borderId="38" xfId="0" applyFont="1" applyBorder="1" applyAlignment="1">
      <alignment horizontal="center"/>
    </xf>
  </cellXfs>
  <cellStyles count="8">
    <cellStyle name="Comma" xfId="1" builtinId="3"/>
    <cellStyle name="Normal" xfId="0" builtinId="0"/>
    <cellStyle name="Normal 210" xfId="5" xr:uid="{27297633-5FAC-4D5C-AFAE-0597CD6125DA}"/>
    <cellStyle name="Normal 219" xfId="6" xr:uid="{5E55D211-EDA3-4B9A-81AD-8AFABC8CC721}"/>
    <cellStyle name="Normal 237" xfId="7" xr:uid="{C1F55D09-C749-4DED-9629-128E7C2014AC}"/>
    <cellStyle name="Normal 238" xfId="3" xr:uid="{809E9B33-9F17-429A-845E-3739C178C44A}"/>
    <cellStyle name="Percent" xfId="2" builtinId="5"/>
    <cellStyle name="Percent 254" xfId="4" xr:uid="{C85376A8-4C0D-4847-A430-10A05A5FEB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8"/>
  <sheetViews>
    <sheetView tabSelected="1" workbookViewId="0">
      <selection activeCell="C4" sqref="C4"/>
    </sheetView>
  </sheetViews>
  <sheetFormatPr defaultRowHeight="14.5" x14ac:dyDescent="0.35"/>
  <cols>
    <col min="1" max="1" width="11" customWidth="1"/>
    <col min="2" max="2" width="7.81640625" customWidth="1"/>
    <col min="3" max="3" width="23.26953125" customWidth="1"/>
    <col min="4" max="4" width="9.1796875" customWidth="1"/>
    <col min="5" max="5" width="9.26953125" customWidth="1"/>
    <col min="6" max="6" width="10" customWidth="1"/>
    <col min="7" max="7" width="8.1796875" customWidth="1"/>
    <col min="8" max="8" width="12.54296875" customWidth="1"/>
    <col min="9" max="9" width="12.453125" customWidth="1"/>
    <col min="10" max="10" width="11" customWidth="1"/>
    <col min="11" max="11" width="9.453125" customWidth="1"/>
    <col min="12" max="12" width="11" customWidth="1"/>
    <col min="13" max="13" width="13.54296875" customWidth="1"/>
    <col min="14" max="14" width="14.81640625" customWidth="1"/>
    <col min="15" max="15" width="16" customWidth="1"/>
    <col min="16" max="16" width="11.26953125" customWidth="1"/>
    <col min="17" max="18" width="9.54296875" customWidth="1"/>
    <col min="19" max="19" width="12.54296875" customWidth="1"/>
    <col min="20" max="20" width="9.453125" customWidth="1"/>
    <col min="21" max="21" width="12.7265625" customWidth="1"/>
    <col min="22" max="22" width="10" customWidth="1"/>
    <col min="23" max="23" width="12.26953125" customWidth="1"/>
    <col min="24" max="24" width="11" customWidth="1"/>
    <col min="25" max="25" width="10.54296875" customWidth="1"/>
    <col min="26" max="26" width="11.26953125" customWidth="1"/>
    <col min="27" max="27" width="9.81640625" customWidth="1"/>
    <col min="28" max="28" width="11.26953125" customWidth="1"/>
  </cols>
  <sheetData>
    <row r="1" spans="1:29" ht="22.5" customHeight="1" thickBot="1" x14ac:dyDescent="0.4">
      <c r="A1" s="90" t="s">
        <v>85</v>
      </c>
      <c r="B1" s="91"/>
      <c r="C1" s="91"/>
      <c r="D1" s="91"/>
      <c r="E1" s="91"/>
      <c r="F1" s="92"/>
    </row>
    <row r="2" spans="1:29" ht="22.5" customHeight="1" thickBot="1" x14ac:dyDescent="0.4">
      <c r="A2" s="93" t="s">
        <v>86</v>
      </c>
      <c r="B2" s="94"/>
      <c r="C2" s="94"/>
      <c r="D2" s="94"/>
      <c r="E2" s="94"/>
      <c r="F2" s="94"/>
      <c r="G2" s="95"/>
      <c r="H2" s="96" t="s">
        <v>87</v>
      </c>
      <c r="I2" s="97"/>
      <c r="J2" s="98"/>
      <c r="K2" s="99" t="s">
        <v>88</v>
      </c>
      <c r="L2" s="100"/>
      <c r="M2" s="101"/>
      <c r="N2" s="102" t="s">
        <v>89</v>
      </c>
      <c r="O2" s="103"/>
      <c r="P2" s="104" t="s">
        <v>90</v>
      </c>
      <c r="Q2" s="105"/>
      <c r="R2" s="105"/>
      <c r="S2" s="105"/>
      <c r="T2" s="105"/>
      <c r="U2" s="106"/>
      <c r="W2" s="107" t="s">
        <v>91</v>
      </c>
      <c r="X2" s="108"/>
      <c r="Y2" s="108"/>
      <c r="Z2" s="108"/>
      <c r="AA2" s="109"/>
      <c r="AB2" s="110"/>
    </row>
    <row r="3" spans="1:29" ht="58.5" thickBot="1" x14ac:dyDescent="0.4">
      <c r="A3" s="111" t="s">
        <v>92</v>
      </c>
      <c r="B3" s="112" t="s">
        <v>93</v>
      </c>
      <c r="C3" s="112" t="s">
        <v>94</v>
      </c>
      <c r="D3" s="113" t="s">
        <v>95</v>
      </c>
      <c r="E3" s="112" t="s">
        <v>96</v>
      </c>
      <c r="F3" s="114" t="s">
        <v>97</v>
      </c>
      <c r="G3" s="113" t="s">
        <v>98</v>
      </c>
      <c r="H3" s="115" t="s">
        <v>99</v>
      </c>
      <c r="I3" s="116" t="s">
        <v>100</v>
      </c>
      <c r="J3" s="117" t="s">
        <v>101</v>
      </c>
      <c r="K3" s="118" t="s">
        <v>102</v>
      </c>
      <c r="L3" s="119" t="s">
        <v>103</v>
      </c>
      <c r="M3" s="120" t="s">
        <v>104</v>
      </c>
      <c r="N3" s="115" t="s">
        <v>105</v>
      </c>
      <c r="O3" s="121" t="s">
        <v>106</v>
      </c>
      <c r="P3" s="122" t="s">
        <v>107</v>
      </c>
      <c r="Q3" s="123" t="s">
        <v>108</v>
      </c>
      <c r="R3" s="124" t="s">
        <v>109</v>
      </c>
      <c r="S3" s="119" t="s">
        <v>110</v>
      </c>
      <c r="T3" s="119" t="s">
        <v>111</v>
      </c>
      <c r="U3" s="119" t="s">
        <v>112</v>
      </c>
      <c r="W3" s="125" t="s">
        <v>113</v>
      </c>
      <c r="X3" s="126" t="s">
        <v>102</v>
      </c>
      <c r="Y3" s="126" t="s">
        <v>103</v>
      </c>
      <c r="Z3" s="126" t="s">
        <v>104</v>
      </c>
      <c r="AA3" s="126" t="s">
        <v>114</v>
      </c>
      <c r="AB3" s="127" t="s">
        <v>110</v>
      </c>
    </row>
    <row r="4" spans="1:29" ht="20.25" customHeight="1" x14ac:dyDescent="0.35">
      <c r="A4" s="128" t="s">
        <v>115</v>
      </c>
      <c r="B4" s="129">
        <v>1904</v>
      </c>
      <c r="C4" s="130" t="s">
        <v>116</v>
      </c>
      <c r="D4" s="131">
        <v>2</v>
      </c>
      <c r="E4" s="132" t="s">
        <v>117</v>
      </c>
      <c r="F4" s="133">
        <v>2</v>
      </c>
      <c r="G4" s="134">
        <v>0.05</v>
      </c>
      <c r="H4" s="135">
        <f>+F4*B4</f>
        <v>3808</v>
      </c>
      <c r="I4" s="136">
        <v>3820</v>
      </c>
      <c r="J4" s="137">
        <f>I4-H4</f>
        <v>12</v>
      </c>
      <c r="K4" s="138">
        <v>3808</v>
      </c>
      <c r="L4" s="139">
        <f>+I4-K4</f>
        <v>12</v>
      </c>
      <c r="M4" s="140">
        <v>110</v>
      </c>
      <c r="N4" s="141">
        <f>+K4-M4</f>
        <v>3698</v>
      </c>
      <c r="O4" s="137">
        <f>+N4/B4</f>
        <v>1.9422268907563025</v>
      </c>
      <c r="P4" s="142">
        <f>+L4+M4</f>
        <v>122</v>
      </c>
      <c r="Q4" s="143">
        <v>40</v>
      </c>
      <c r="R4" s="144">
        <f t="shared" ref="R4:R10" si="0">+P4-Q4</f>
        <v>82</v>
      </c>
      <c r="S4" s="144">
        <f t="shared" ref="S4:S10" si="1">+R4*G4</f>
        <v>4.1000000000000005</v>
      </c>
      <c r="T4" s="144">
        <f t="shared" ref="T4:T10" si="2">+R4*D4</f>
        <v>164</v>
      </c>
      <c r="U4" s="145">
        <f>+R4/I4</f>
        <v>2.1465968586387434E-2</v>
      </c>
      <c r="W4" s="146">
        <f>+I4*G4</f>
        <v>191</v>
      </c>
      <c r="X4" s="147">
        <f>+K4*G4</f>
        <v>190.4</v>
      </c>
      <c r="Y4" s="147">
        <f>+L4*G4</f>
        <v>0.60000000000000009</v>
      </c>
      <c r="Z4" s="147">
        <f>+M4*G4</f>
        <v>5.5</v>
      </c>
      <c r="AA4" s="148">
        <f>+Q4*G4</f>
        <v>2</v>
      </c>
      <c r="AB4" s="149">
        <f t="shared" ref="AB4:AB10" si="3">+R4*G4</f>
        <v>4.1000000000000005</v>
      </c>
    </row>
    <row r="5" spans="1:29" ht="20.25" customHeight="1" x14ac:dyDescent="0.35">
      <c r="A5" s="150"/>
      <c r="B5" s="151"/>
      <c r="C5" s="152" t="s">
        <v>118</v>
      </c>
      <c r="D5" s="153">
        <v>4</v>
      </c>
      <c r="E5" s="154" t="s">
        <v>117</v>
      </c>
      <c r="F5" s="155">
        <v>2</v>
      </c>
      <c r="G5" s="156">
        <v>0.05</v>
      </c>
      <c r="H5" s="157">
        <f>+F5*B4</f>
        <v>3808</v>
      </c>
      <c r="I5" s="158">
        <v>3815</v>
      </c>
      <c r="J5" s="159">
        <f t="shared" ref="J5:J10" si="4">I5-H5</f>
        <v>7</v>
      </c>
      <c r="K5" s="160">
        <v>3808</v>
      </c>
      <c r="L5" s="161">
        <f t="shared" ref="L5:L10" si="5">+I5-K5</f>
        <v>7</v>
      </c>
      <c r="M5" s="162">
        <v>40</v>
      </c>
      <c r="N5" s="163">
        <f t="shared" ref="N5:N10" si="6">+K5-M5</f>
        <v>3768</v>
      </c>
      <c r="O5" s="164">
        <f>+N5/B4</f>
        <v>1.9789915966386555</v>
      </c>
      <c r="P5" s="165">
        <f>+L5+M5</f>
        <v>47</v>
      </c>
      <c r="Q5" s="166">
        <v>20</v>
      </c>
      <c r="R5" s="161">
        <f t="shared" si="0"/>
        <v>27</v>
      </c>
      <c r="S5" s="161">
        <f>+R5*G5</f>
        <v>1.35</v>
      </c>
      <c r="T5" s="161">
        <f t="shared" si="2"/>
        <v>108</v>
      </c>
      <c r="U5" s="167">
        <f t="shared" ref="U5:U9" si="7">+R5/I5</f>
        <v>7.0773263433813894E-3</v>
      </c>
      <c r="W5" s="146">
        <f t="shared" ref="W5:W35" si="8">+I5*G5</f>
        <v>190.75</v>
      </c>
      <c r="X5" s="147">
        <f t="shared" ref="X5:X35" si="9">+K5*G5</f>
        <v>190.4</v>
      </c>
      <c r="Y5" s="147">
        <f t="shared" ref="Y5:Y35" si="10">+L5*G5</f>
        <v>0.35000000000000003</v>
      </c>
      <c r="Z5" s="147">
        <f t="shared" ref="Z5:Z35" si="11">+M5*G5</f>
        <v>2</v>
      </c>
      <c r="AA5" s="148">
        <f t="shared" ref="AA5:AA35" si="12">+Q5*G5</f>
        <v>1</v>
      </c>
      <c r="AB5" s="149">
        <f t="shared" si="3"/>
        <v>1.35</v>
      </c>
    </row>
    <row r="6" spans="1:29" ht="20.25" customHeight="1" x14ac:dyDescent="0.35">
      <c r="A6" s="150"/>
      <c r="B6" s="151"/>
      <c r="C6" s="152" t="s">
        <v>119</v>
      </c>
      <c r="D6" s="153">
        <v>40</v>
      </c>
      <c r="E6" s="154" t="s">
        <v>120</v>
      </c>
      <c r="F6" s="168">
        <v>0.15</v>
      </c>
      <c r="G6" s="156">
        <v>1</v>
      </c>
      <c r="H6" s="169">
        <f>+F6*B4</f>
        <v>285.59999999999997</v>
      </c>
      <c r="I6" s="158">
        <v>290</v>
      </c>
      <c r="J6" s="159">
        <f t="shared" si="4"/>
        <v>4.4000000000000341</v>
      </c>
      <c r="K6" s="160">
        <v>285</v>
      </c>
      <c r="L6" s="161">
        <f t="shared" si="5"/>
        <v>5</v>
      </c>
      <c r="M6" s="162">
        <v>16.5</v>
      </c>
      <c r="N6" s="170">
        <f t="shared" si="6"/>
        <v>268.5</v>
      </c>
      <c r="O6" s="171">
        <f>+N6/B4</f>
        <v>0.14101890756302521</v>
      </c>
      <c r="P6" s="165">
        <f>+L6+M6</f>
        <v>21.5</v>
      </c>
      <c r="Q6" s="166">
        <v>0</v>
      </c>
      <c r="R6" s="161">
        <f t="shared" si="0"/>
        <v>21.5</v>
      </c>
      <c r="S6" s="161">
        <f t="shared" si="1"/>
        <v>21.5</v>
      </c>
      <c r="T6" s="161">
        <f t="shared" si="2"/>
        <v>860</v>
      </c>
      <c r="U6" s="167">
        <f t="shared" si="7"/>
        <v>7.4137931034482754E-2</v>
      </c>
      <c r="W6" s="146">
        <f t="shared" si="8"/>
        <v>290</v>
      </c>
      <c r="X6" s="147">
        <f t="shared" si="9"/>
        <v>285</v>
      </c>
      <c r="Y6" s="147">
        <f t="shared" si="10"/>
        <v>5</v>
      </c>
      <c r="Z6" s="147">
        <f t="shared" si="11"/>
        <v>16.5</v>
      </c>
      <c r="AA6" s="148">
        <f t="shared" si="12"/>
        <v>0</v>
      </c>
      <c r="AB6" s="149">
        <f t="shared" si="3"/>
        <v>21.5</v>
      </c>
    </row>
    <row r="7" spans="1:29" ht="20.25" customHeight="1" x14ac:dyDescent="0.35">
      <c r="A7" s="150"/>
      <c r="B7" s="151"/>
      <c r="C7" s="152" t="s">
        <v>121</v>
      </c>
      <c r="D7" s="153">
        <v>45</v>
      </c>
      <c r="E7" s="154" t="s">
        <v>120</v>
      </c>
      <c r="F7" s="168">
        <v>0.1</v>
      </c>
      <c r="G7" s="156">
        <v>1</v>
      </c>
      <c r="H7" s="169">
        <f>+F7*B4</f>
        <v>190.4</v>
      </c>
      <c r="I7" s="158">
        <v>194.5</v>
      </c>
      <c r="J7" s="159">
        <f t="shared" si="4"/>
        <v>4.0999999999999943</v>
      </c>
      <c r="K7" s="160">
        <v>190.4</v>
      </c>
      <c r="L7" s="161">
        <f t="shared" si="5"/>
        <v>4.0999999999999943</v>
      </c>
      <c r="M7" s="162">
        <v>12.5</v>
      </c>
      <c r="N7" s="163">
        <f t="shared" si="6"/>
        <v>177.9</v>
      </c>
      <c r="O7" s="171">
        <f>+N7/B4</f>
        <v>9.3434873949579833E-2</v>
      </c>
      <c r="P7" s="165">
        <f t="shared" ref="P7:P10" si="13">+L7+M7</f>
        <v>16.599999999999994</v>
      </c>
      <c r="Q7" s="166">
        <v>0</v>
      </c>
      <c r="R7" s="161">
        <f t="shared" si="0"/>
        <v>16.599999999999994</v>
      </c>
      <c r="S7" s="161">
        <f t="shared" si="1"/>
        <v>16.599999999999994</v>
      </c>
      <c r="T7" s="161">
        <f t="shared" si="2"/>
        <v>746.99999999999977</v>
      </c>
      <c r="U7" s="167">
        <f t="shared" si="7"/>
        <v>8.5347043701799463E-2</v>
      </c>
      <c r="W7" s="146">
        <f t="shared" si="8"/>
        <v>194.5</v>
      </c>
      <c r="X7" s="147">
        <f t="shared" si="9"/>
        <v>190.4</v>
      </c>
      <c r="Y7" s="147">
        <f t="shared" si="10"/>
        <v>4.0999999999999943</v>
      </c>
      <c r="Z7" s="147">
        <f t="shared" si="11"/>
        <v>12.5</v>
      </c>
      <c r="AA7" s="148">
        <f t="shared" si="12"/>
        <v>0</v>
      </c>
      <c r="AB7" s="149">
        <f t="shared" si="3"/>
        <v>16.599999999999994</v>
      </c>
    </row>
    <row r="8" spans="1:29" ht="20.25" customHeight="1" x14ac:dyDescent="0.35">
      <c r="A8" s="150"/>
      <c r="B8" s="151"/>
      <c r="C8" s="152" t="s">
        <v>122</v>
      </c>
      <c r="D8" s="153">
        <v>52</v>
      </c>
      <c r="E8" s="154" t="s">
        <v>120</v>
      </c>
      <c r="F8" s="168">
        <v>0.1</v>
      </c>
      <c r="G8" s="156">
        <v>1</v>
      </c>
      <c r="H8" s="169">
        <f>+F8*B4</f>
        <v>190.4</v>
      </c>
      <c r="I8" s="158">
        <v>193</v>
      </c>
      <c r="J8" s="159">
        <f t="shared" si="4"/>
        <v>2.5999999999999943</v>
      </c>
      <c r="K8" s="160">
        <v>190.4</v>
      </c>
      <c r="L8" s="161">
        <f>+I8-K8</f>
        <v>2.5999999999999943</v>
      </c>
      <c r="M8" s="162">
        <v>6.5</v>
      </c>
      <c r="N8" s="170">
        <f t="shared" si="6"/>
        <v>183.9</v>
      </c>
      <c r="O8" s="171">
        <f>+N8/B4</f>
        <v>9.6586134453781516E-2</v>
      </c>
      <c r="P8" s="165">
        <f t="shared" si="13"/>
        <v>9.0999999999999943</v>
      </c>
      <c r="Q8" s="166">
        <v>0</v>
      </c>
      <c r="R8" s="161">
        <f t="shared" si="0"/>
        <v>9.0999999999999943</v>
      </c>
      <c r="S8" s="161">
        <f t="shared" si="1"/>
        <v>9.0999999999999943</v>
      </c>
      <c r="T8" s="161">
        <f t="shared" si="2"/>
        <v>473.1999999999997</v>
      </c>
      <c r="U8" s="167">
        <f t="shared" si="7"/>
        <v>4.7150259067357481E-2</v>
      </c>
      <c r="W8" s="146">
        <f t="shared" si="8"/>
        <v>193</v>
      </c>
      <c r="X8" s="147">
        <f t="shared" si="9"/>
        <v>190.4</v>
      </c>
      <c r="Y8" s="147">
        <f t="shared" si="10"/>
        <v>2.5999999999999943</v>
      </c>
      <c r="Z8" s="147">
        <f t="shared" si="11"/>
        <v>6.5</v>
      </c>
      <c r="AA8" s="148">
        <f t="shared" si="12"/>
        <v>0</v>
      </c>
      <c r="AB8" s="149">
        <f t="shared" si="3"/>
        <v>9.0999999999999943</v>
      </c>
    </row>
    <row r="9" spans="1:29" ht="20.25" customHeight="1" x14ac:dyDescent="0.35">
      <c r="A9" s="150"/>
      <c r="B9" s="151"/>
      <c r="C9" s="152" t="s">
        <v>123</v>
      </c>
      <c r="D9" s="153">
        <v>90</v>
      </c>
      <c r="E9" s="154" t="s">
        <v>120</v>
      </c>
      <c r="F9" s="168">
        <v>0.1</v>
      </c>
      <c r="G9" s="156">
        <v>1</v>
      </c>
      <c r="H9" s="172">
        <f>+F9*B4</f>
        <v>190.4</v>
      </c>
      <c r="I9" s="158">
        <v>191.5</v>
      </c>
      <c r="J9" s="159">
        <f t="shared" si="4"/>
        <v>1.0999999999999943</v>
      </c>
      <c r="K9" s="160">
        <v>190.4</v>
      </c>
      <c r="L9" s="173">
        <f>+I9-K9</f>
        <v>1.0999999999999943</v>
      </c>
      <c r="M9" s="162">
        <v>1</v>
      </c>
      <c r="N9" s="163">
        <f t="shared" si="6"/>
        <v>189.4</v>
      </c>
      <c r="O9" s="171">
        <f>+N9/B4</f>
        <v>9.9474789915966394E-2</v>
      </c>
      <c r="P9" s="165">
        <f t="shared" si="13"/>
        <v>2.0999999999999943</v>
      </c>
      <c r="Q9" s="166">
        <v>0</v>
      </c>
      <c r="R9" s="161">
        <f t="shared" si="0"/>
        <v>2.0999999999999943</v>
      </c>
      <c r="S9" s="161">
        <f t="shared" si="1"/>
        <v>2.0999999999999943</v>
      </c>
      <c r="T9" s="161">
        <f t="shared" si="2"/>
        <v>188.99999999999949</v>
      </c>
      <c r="U9" s="167">
        <f t="shared" si="7"/>
        <v>1.0966057441253235E-2</v>
      </c>
      <c r="W9" s="146">
        <f t="shared" si="8"/>
        <v>191.5</v>
      </c>
      <c r="X9" s="147">
        <f t="shared" si="9"/>
        <v>190.4</v>
      </c>
      <c r="Y9" s="147">
        <f t="shared" si="10"/>
        <v>1.0999999999999943</v>
      </c>
      <c r="Z9" s="147">
        <f t="shared" si="11"/>
        <v>1</v>
      </c>
      <c r="AA9" s="148">
        <f t="shared" si="12"/>
        <v>0</v>
      </c>
      <c r="AB9" s="149">
        <f t="shared" si="3"/>
        <v>2.0999999999999943</v>
      </c>
    </row>
    <row r="10" spans="1:29" ht="20.25" customHeight="1" x14ac:dyDescent="0.35">
      <c r="A10" s="150"/>
      <c r="B10" s="151"/>
      <c r="C10" s="152" t="s">
        <v>124</v>
      </c>
      <c r="D10" s="153">
        <v>60</v>
      </c>
      <c r="E10" s="154" t="s">
        <v>125</v>
      </c>
      <c r="F10" s="168">
        <v>0.1</v>
      </c>
      <c r="G10" s="156">
        <v>1</v>
      </c>
      <c r="H10" s="169">
        <f>+F10*B4</f>
        <v>190.4</v>
      </c>
      <c r="I10" s="158">
        <v>193.5</v>
      </c>
      <c r="J10" s="159">
        <f t="shared" si="4"/>
        <v>3.0999999999999943</v>
      </c>
      <c r="K10" s="160">
        <v>190.4</v>
      </c>
      <c r="L10" s="161">
        <f t="shared" si="5"/>
        <v>3.0999999999999943</v>
      </c>
      <c r="M10" s="162">
        <v>4</v>
      </c>
      <c r="N10" s="170">
        <f t="shared" si="6"/>
        <v>186.4</v>
      </c>
      <c r="O10" s="171">
        <f>+N10/B4</f>
        <v>9.7899159663865545E-2</v>
      </c>
      <c r="P10" s="165">
        <f t="shared" si="13"/>
        <v>7.0999999999999943</v>
      </c>
      <c r="Q10" s="166">
        <v>0</v>
      </c>
      <c r="R10" s="161">
        <f t="shared" si="0"/>
        <v>7.0999999999999943</v>
      </c>
      <c r="S10" s="161">
        <f t="shared" si="1"/>
        <v>7.0999999999999943</v>
      </c>
      <c r="T10" s="161">
        <f t="shared" si="2"/>
        <v>425.99999999999966</v>
      </c>
      <c r="U10" s="167">
        <f>+R10/I10</f>
        <v>3.6692506459948294E-2</v>
      </c>
      <c r="W10" s="174">
        <f t="shared" si="8"/>
        <v>193.5</v>
      </c>
      <c r="X10" s="175">
        <f t="shared" si="9"/>
        <v>190.4</v>
      </c>
      <c r="Y10" s="175">
        <f t="shared" si="10"/>
        <v>3.0999999999999943</v>
      </c>
      <c r="Z10" s="175">
        <f t="shared" si="11"/>
        <v>4</v>
      </c>
      <c r="AA10" s="148">
        <f t="shared" si="12"/>
        <v>0</v>
      </c>
      <c r="AB10" s="176">
        <f t="shared" si="3"/>
        <v>7.0999999999999943</v>
      </c>
    </row>
    <row r="11" spans="1:29" ht="20.25" customHeight="1" thickBot="1" x14ac:dyDescent="0.4">
      <c r="A11" s="177"/>
      <c r="B11" s="178"/>
      <c r="C11" s="179"/>
      <c r="D11" s="180"/>
      <c r="E11" s="180"/>
      <c r="F11" s="180"/>
      <c r="G11" s="180"/>
      <c r="H11" s="181"/>
      <c r="I11" s="182"/>
      <c r="J11" s="183"/>
      <c r="K11" s="184"/>
      <c r="L11" s="180"/>
      <c r="M11" s="185"/>
      <c r="N11" s="186"/>
      <c r="O11" s="183"/>
      <c r="P11" s="187"/>
      <c r="Q11" s="188"/>
      <c r="R11" s="180"/>
      <c r="S11" s="189">
        <f>SUM(S4:S10)</f>
        <v>61.84999999999998</v>
      </c>
      <c r="T11" s="190">
        <f>SUM(T4:T10)</f>
        <v>2967.1999999999985</v>
      </c>
      <c r="U11" s="183"/>
      <c r="W11" s="191">
        <f>SUM(W4:W10)</f>
        <v>1444.25</v>
      </c>
      <c r="X11" s="192">
        <f t="shared" ref="X11:AB11" si="14">SUM(X4:X10)</f>
        <v>1427.4</v>
      </c>
      <c r="Y11" s="192">
        <f t="shared" si="14"/>
        <v>16.849999999999977</v>
      </c>
      <c r="Z11" s="193">
        <f t="shared" si="14"/>
        <v>48</v>
      </c>
      <c r="AA11" s="194">
        <f>SUM(AA4:AA10)</f>
        <v>3</v>
      </c>
      <c r="AB11" s="195">
        <f t="shared" si="14"/>
        <v>61.84999999999998</v>
      </c>
      <c r="AC11" s="196"/>
    </row>
    <row r="12" spans="1:29" ht="20.25" customHeight="1" x14ac:dyDescent="0.35">
      <c r="A12" s="197" t="s">
        <v>126</v>
      </c>
      <c r="B12" s="198">
        <v>1722</v>
      </c>
      <c r="C12" s="130" t="s">
        <v>127</v>
      </c>
      <c r="D12" s="131">
        <v>20</v>
      </c>
      <c r="E12" s="132" t="s">
        <v>120</v>
      </c>
      <c r="F12" s="199">
        <v>0.4</v>
      </c>
      <c r="G12" s="134">
        <v>1</v>
      </c>
      <c r="H12" s="135">
        <f>+F12*B12</f>
        <v>688.80000000000007</v>
      </c>
      <c r="I12" s="136">
        <v>700</v>
      </c>
      <c r="J12" s="137">
        <f>I12-H12</f>
        <v>11.199999999999932</v>
      </c>
      <c r="K12" s="138">
        <v>688.8</v>
      </c>
      <c r="L12" s="144">
        <f>+I12-K12</f>
        <v>11.200000000000045</v>
      </c>
      <c r="M12" s="140">
        <v>135</v>
      </c>
      <c r="N12" s="200">
        <f>+K12-M12</f>
        <v>553.79999999999995</v>
      </c>
      <c r="O12" s="201">
        <f>+N12/B12</f>
        <v>0.32160278745644599</v>
      </c>
      <c r="P12" s="142">
        <f>+L12+M12</f>
        <v>146.20000000000005</v>
      </c>
      <c r="Q12" s="143">
        <v>120</v>
      </c>
      <c r="R12" s="144">
        <f>+P12-Q12</f>
        <v>26.200000000000045</v>
      </c>
      <c r="S12" s="144">
        <f>+R12*G12</f>
        <v>26.200000000000045</v>
      </c>
      <c r="T12" s="144">
        <f t="shared" ref="T12:T20" si="15">+R12*D12</f>
        <v>524.00000000000091</v>
      </c>
      <c r="U12" s="145">
        <f>+R12/I12</f>
        <v>3.7428571428571492E-2</v>
      </c>
      <c r="W12" s="202">
        <f>+I12*G12</f>
        <v>700</v>
      </c>
      <c r="X12" s="203">
        <f t="shared" si="9"/>
        <v>688.8</v>
      </c>
      <c r="Y12" s="203">
        <f t="shared" si="10"/>
        <v>11.200000000000045</v>
      </c>
      <c r="Z12" s="203">
        <f t="shared" si="11"/>
        <v>135</v>
      </c>
      <c r="AA12" s="148">
        <f t="shared" si="12"/>
        <v>120</v>
      </c>
      <c r="AB12" s="204">
        <f t="shared" ref="AB12:AB20" si="16">+R12*G12</f>
        <v>26.200000000000045</v>
      </c>
    </row>
    <row r="13" spans="1:29" ht="20.25" customHeight="1" x14ac:dyDescent="0.35">
      <c r="A13" s="205"/>
      <c r="B13" s="206"/>
      <c r="C13" s="152" t="s">
        <v>128</v>
      </c>
      <c r="D13" s="153">
        <v>65</v>
      </c>
      <c r="E13" s="154" t="s">
        <v>120</v>
      </c>
      <c r="F13" s="168">
        <v>0.08</v>
      </c>
      <c r="G13" s="156">
        <v>1</v>
      </c>
      <c r="H13" s="157">
        <f>+F13*B12</f>
        <v>137.76</v>
      </c>
      <c r="I13" s="158">
        <v>140.5</v>
      </c>
      <c r="J13" s="164">
        <f>+I13-H13</f>
        <v>2.7400000000000091</v>
      </c>
      <c r="K13" s="160">
        <v>137.80000000000001</v>
      </c>
      <c r="L13" s="161">
        <f>+I13-K13</f>
        <v>2.6999999999999886</v>
      </c>
      <c r="M13" s="162">
        <v>9.5</v>
      </c>
      <c r="N13" s="163">
        <f>+K13-M13</f>
        <v>128.30000000000001</v>
      </c>
      <c r="O13" s="207">
        <f>+N13/B12</f>
        <v>7.4506387921022071E-2</v>
      </c>
      <c r="P13" s="165">
        <f>+L13+M13</f>
        <v>12.199999999999989</v>
      </c>
      <c r="Q13" s="166">
        <v>2</v>
      </c>
      <c r="R13" s="161">
        <f t="shared" ref="R13:R20" si="17">+P13-Q13</f>
        <v>10.199999999999989</v>
      </c>
      <c r="S13" s="161">
        <f>+R13*G13</f>
        <v>10.199999999999989</v>
      </c>
      <c r="T13" s="161">
        <f t="shared" si="15"/>
        <v>662.99999999999932</v>
      </c>
      <c r="U13" s="167">
        <f>+R13/I13</f>
        <v>7.2597864768683198E-2</v>
      </c>
      <c r="W13" s="146">
        <f>+I13*G13</f>
        <v>140.5</v>
      </c>
      <c r="X13" s="147">
        <f t="shared" si="9"/>
        <v>137.80000000000001</v>
      </c>
      <c r="Y13" s="147">
        <f t="shared" si="10"/>
        <v>2.6999999999999886</v>
      </c>
      <c r="Z13" s="147">
        <f>+M13*G13</f>
        <v>9.5</v>
      </c>
      <c r="AA13" s="148">
        <f t="shared" si="12"/>
        <v>2</v>
      </c>
      <c r="AB13" s="149">
        <f t="shared" si="16"/>
        <v>10.199999999999989</v>
      </c>
    </row>
    <row r="14" spans="1:29" ht="20.25" customHeight="1" x14ac:dyDescent="0.35">
      <c r="A14" s="205"/>
      <c r="B14" s="206"/>
      <c r="C14" s="152" t="s">
        <v>129</v>
      </c>
      <c r="D14" s="153">
        <v>85</v>
      </c>
      <c r="E14" s="154" t="s">
        <v>120</v>
      </c>
      <c r="F14" s="168">
        <v>0.05</v>
      </c>
      <c r="G14" s="156">
        <v>1</v>
      </c>
      <c r="H14" s="169">
        <f>+F14*B12</f>
        <v>86.100000000000009</v>
      </c>
      <c r="I14" s="158">
        <v>89</v>
      </c>
      <c r="J14" s="164">
        <f>+I14-H14</f>
        <v>2.8999999999999915</v>
      </c>
      <c r="K14" s="160">
        <v>76.099999999999994</v>
      </c>
      <c r="L14" s="161">
        <f t="shared" ref="L14:L20" si="18">+I14-K14</f>
        <v>12.900000000000006</v>
      </c>
      <c r="M14" s="162">
        <v>5</v>
      </c>
      <c r="N14" s="170">
        <f>+K14-M14</f>
        <v>71.099999999999994</v>
      </c>
      <c r="O14" s="207">
        <f>+N14/B12</f>
        <v>4.1289198606271775E-2</v>
      </c>
      <c r="P14" s="165">
        <f>+L14+M14</f>
        <v>17.900000000000006</v>
      </c>
      <c r="Q14" s="166">
        <v>10</v>
      </c>
      <c r="R14" s="161">
        <f t="shared" si="17"/>
        <v>7.9000000000000057</v>
      </c>
      <c r="S14" s="161">
        <f t="shared" ref="S14:S20" si="19">+R14*G14</f>
        <v>7.9000000000000057</v>
      </c>
      <c r="T14" s="161">
        <f t="shared" si="15"/>
        <v>671.50000000000045</v>
      </c>
      <c r="U14" s="167">
        <f t="shared" ref="U14:U20" si="20">+R14/I14</f>
        <v>8.8764044943820286E-2</v>
      </c>
      <c r="W14" s="146">
        <f t="shared" si="8"/>
        <v>89</v>
      </c>
      <c r="X14" s="147">
        <f t="shared" si="9"/>
        <v>76.099999999999994</v>
      </c>
      <c r="Y14" s="147">
        <f t="shared" si="10"/>
        <v>12.900000000000006</v>
      </c>
      <c r="Z14" s="147">
        <f>+M14*G14</f>
        <v>5</v>
      </c>
      <c r="AA14" s="148">
        <f t="shared" si="12"/>
        <v>10</v>
      </c>
      <c r="AB14" s="149">
        <f t="shared" si="16"/>
        <v>7.9000000000000057</v>
      </c>
    </row>
    <row r="15" spans="1:29" ht="20.25" customHeight="1" x14ac:dyDescent="0.35">
      <c r="A15" s="205"/>
      <c r="B15" s="206"/>
      <c r="C15" s="152" t="s">
        <v>130</v>
      </c>
      <c r="D15" s="153">
        <v>55</v>
      </c>
      <c r="E15" s="154" t="s">
        <v>120</v>
      </c>
      <c r="F15" s="168">
        <v>0.08</v>
      </c>
      <c r="G15" s="156">
        <v>1</v>
      </c>
      <c r="H15" s="169">
        <f>+F15*B12</f>
        <v>137.76</v>
      </c>
      <c r="I15" s="158">
        <v>139.5</v>
      </c>
      <c r="J15" s="159">
        <f>I15-H15</f>
        <v>1.7400000000000091</v>
      </c>
      <c r="K15" s="160">
        <v>137.80000000000001</v>
      </c>
      <c r="L15" s="161">
        <f>+I15-K15</f>
        <v>1.6999999999999886</v>
      </c>
      <c r="M15" s="162">
        <v>7</v>
      </c>
      <c r="N15" s="163">
        <f t="shared" ref="N15:N20" si="21">+K15-M15</f>
        <v>130.80000000000001</v>
      </c>
      <c r="O15" s="207">
        <f>+N15/B12</f>
        <v>7.5958188153310111E-2</v>
      </c>
      <c r="P15" s="165">
        <f t="shared" ref="P15:P20" si="22">+L15+M15</f>
        <v>8.6999999999999886</v>
      </c>
      <c r="Q15" s="166">
        <v>0</v>
      </c>
      <c r="R15" s="161">
        <f t="shared" si="17"/>
        <v>8.6999999999999886</v>
      </c>
      <c r="S15" s="161">
        <f t="shared" si="19"/>
        <v>8.6999999999999886</v>
      </c>
      <c r="T15" s="161">
        <f t="shared" si="15"/>
        <v>478.49999999999937</v>
      </c>
      <c r="U15" s="167">
        <f>+R15/I15</f>
        <v>6.2365591397849383E-2</v>
      </c>
      <c r="W15" s="146">
        <f>+I15*G15</f>
        <v>139.5</v>
      </c>
      <c r="X15" s="147">
        <f t="shared" si="9"/>
        <v>137.80000000000001</v>
      </c>
      <c r="Y15" s="147">
        <f t="shared" si="10"/>
        <v>1.6999999999999886</v>
      </c>
      <c r="Z15" s="147">
        <f t="shared" si="11"/>
        <v>7</v>
      </c>
      <c r="AA15" s="148">
        <f t="shared" si="12"/>
        <v>0</v>
      </c>
      <c r="AB15" s="149">
        <f t="shared" si="16"/>
        <v>8.6999999999999886</v>
      </c>
    </row>
    <row r="16" spans="1:29" ht="20.25" customHeight="1" x14ac:dyDescent="0.35">
      <c r="A16" s="205"/>
      <c r="B16" s="206"/>
      <c r="C16" s="152" t="s">
        <v>131</v>
      </c>
      <c r="D16" s="153">
        <v>48</v>
      </c>
      <c r="E16" s="154" t="s">
        <v>125</v>
      </c>
      <c r="F16" s="168">
        <v>0.06</v>
      </c>
      <c r="G16" s="156">
        <v>1</v>
      </c>
      <c r="H16" s="169">
        <f>+F16*B12</f>
        <v>103.32</v>
      </c>
      <c r="I16" s="158">
        <v>105</v>
      </c>
      <c r="J16" s="159">
        <f>I16-H16</f>
        <v>1.6800000000000068</v>
      </c>
      <c r="K16" s="160">
        <v>103.3</v>
      </c>
      <c r="L16" s="161">
        <f>+I16-K16</f>
        <v>1.7000000000000028</v>
      </c>
      <c r="M16" s="162">
        <v>11</v>
      </c>
      <c r="N16" s="170">
        <f t="shared" si="21"/>
        <v>92.3</v>
      </c>
      <c r="O16" s="207">
        <f>+N16/B12</f>
        <v>5.3600464576074328E-2</v>
      </c>
      <c r="P16" s="165">
        <f t="shared" si="22"/>
        <v>12.700000000000003</v>
      </c>
      <c r="Q16" s="166">
        <v>0</v>
      </c>
      <c r="R16" s="161">
        <f t="shared" si="17"/>
        <v>12.700000000000003</v>
      </c>
      <c r="S16" s="161">
        <f t="shared" si="19"/>
        <v>12.700000000000003</v>
      </c>
      <c r="T16" s="161">
        <f t="shared" si="15"/>
        <v>609.60000000000014</v>
      </c>
      <c r="U16" s="167">
        <f>+R16/I16</f>
        <v>0.12095238095238098</v>
      </c>
      <c r="W16" s="146">
        <f>+I16*G16</f>
        <v>105</v>
      </c>
      <c r="X16" s="147">
        <f t="shared" si="9"/>
        <v>103.3</v>
      </c>
      <c r="Y16" s="147">
        <f t="shared" si="10"/>
        <v>1.7000000000000028</v>
      </c>
      <c r="Z16" s="147">
        <f t="shared" si="11"/>
        <v>11</v>
      </c>
      <c r="AA16" s="148">
        <f t="shared" si="12"/>
        <v>0</v>
      </c>
      <c r="AB16" s="149">
        <f t="shared" si="16"/>
        <v>12.700000000000003</v>
      </c>
    </row>
    <row r="17" spans="1:29" ht="20.25" customHeight="1" x14ac:dyDescent="0.35">
      <c r="A17" s="205"/>
      <c r="B17" s="206"/>
      <c r="C17" s="152" t="s">
        <v>132</v>
      </c>
      <c r="D17" s="153">
        <v>35</v>
      </c>
      <c r="E17" s="154" t="s">
        <v>125</v>
      </c>
      <c r="F17" s="168">
        <v>0.06</v>
      </c>
      <c r="G17" s="156">
        <v>1</v>
      </c>
      <c r="H17" s="172">
        <f>+F17*B12</f>
        <v>103.32</v>
      </c>
      <c r="I17" s="158">
        <v>107</v>
      </c>
      <c r="J17" s="208">
        <f t="shared" ref="J17:J20" si="23">I17-H17</f>
        <v>3.6800000000000068</v>
      </c>
      <c r="K17" s="160">
        <v>103.3</v>
      </c>
      <c r="L17" s="161">
        <f t="shared" si="18"/>
        <v>3.7000000000000028</v>
      </c>
      <c r="M17" s="162">
        <v>12.3</v>
      </c>
      <c r="N17" s="163">
        <f t="shared" si="21"/>
        <v>91</v>
      </c>
      <c r="O17" s="207">
        <f>+N17/B12</f>
        <v>5.2845528455284556E-2</v>
      </c>
      <c r="P17" s="165">
        <f t="shared" si="22"/>
        <v>16.000000000000004</v>
      </c>
      <c r="Q17" s="166">
        <v>0</v>
      </c>
      <c r="R17" s="161">
        <f t="shared" si="17"/>
        <v>16.000000000000004</v>
      </c>
      <c r="S17" s="161">
        <f t="shared" si="19"/>
        <v>16.000000000000004</v>
      </c>
      <c r="T17" s="161">
        <f t="shared" si="15"/>
        <v>560.00000000000011</v>
      </c>
      <c r="U17" s="167">
        <f t="shared" si="20"/>
        <v>0.14953271028037388</v>
      </c>
      <c r="W17" s="146">
        <f t="shared" si="8"/>
        <v>107</v>
      </c>
      <c r="X17" s="147">
        <f t="shared" si="9"/>
        <v>103.3</v>
      </c>
      <c r="Y17" s="147">
        <f t="shared" si="10"/>
        <v>3.7000000000000028</v>
      </c>
      <c r="Z17" s="147">
        <f t="shared" si="11"/>
        <v>12.3</v>
      </c>
      <c r="AA17" s="148">
        <f t="shared" si="12"/>
        <v>0</v>
      </c>
      <c r="AB17" s="149">
        <f t="shared" si="16"/>
        <v>16.000000000000004</v>
      </c>
    </row>
    <row r="18" spans="1:29" ht="20.25" customHeight="1" x14ac:dyDescent="0.35">
      <c r="A18" s="205"/>
      <c r="B18" s="206"/>
      <c r="C18" s="152" t="s">
        <v>133</v>
      </c>
      <c r="D18" s="153">
        <v>50</v>
      </c>
      <c r="E18" s="154" t="s">
        <v>120</v>
      </c>
      <c r="F18" s="168">
        <v>0.03</v>
      </c>
      <c r="G18" s="156">
        <v>1</v>
      </c>
      <c r="H18" s="169">
        <f>+F18*B12</f>
        <v>51.66</v>
      </c>
      <c r="I18" s="158">
        <v>54.5</v>
      </c>
      <c r="J18" s="159">
        <f t="shared" si="23"/>
        <v>2.8400000000000034</v>
      </c>
      <c r="K18" s="160">
        <v>51.7</v>
      </c>
      <c r="L18" s="161">
        <f t="shared" si="18"/>
        <v>2.7999999999999972</v>
      </c>
      <c r="M18" s="162">
        <v>6</v>
      </c>
      <c r="N18" s="163">
        <f t="shared" si="21"/>
        <v>45.7</v>
      </c>
      <c r="O18" s="207">
        <f>+N18/B12</f>
        <v>2.6538908246225321E-2</v>
      </c>
      <c r="P18" s="165">
        <f t="shared" si="22"/>
        <v>8.7999999999999972</v>
      </c>
      <c r="Q18" s="166">
        <v>0</v>
      </c>
      <c r="R18" s="161">
        <f t="shared" si="17"/>
        <v>8.7999999999999972</v>
      </c>
      <c r="S18" s="161">
        <f t="shared" si="19"/>
        <v>8.7999999999999972</v>
      </c>
      <c r="T18" s="161">
        <f t="shared" si="15"/>
        <v>439.99999999999989</v>
      </c>
      <c r="U18" s="167">
        <f t="shared" si="20"/>
        <v>0.16146788990825683</v>
      </c>
      <c r="W18" s="146">
        <f t="shared" si="8"/>
        <v>54.5</v>
      </c>
      <c r="X18" s="147">
        <f t="shared" si="9"/>
        <v>51.7</v>
      </c>
      <c r="Y18" s="147">
        <f t="shared" si="10"/>
        <v>2.7999999999999972</v>
      </c>
      <c r="Z18" s="147">
        <f t="shared" si="11"/>
        <v>6</v>
      </c>
      <c r="AA18" s="148">
        <f t="shared" si="12"/>
        <v>0</v>
      </c>
      <c r="AB18" s="149">
        <f t="shared" si="16"/>
        <v>8.7999999999999972</v>
      </c>
    </row>
    <row r="19" spans="1:29" ht="20.25" customHeight="1" x14ac:dyDescent="0.35">
      <c r="A19" s="205"/>
      <c r="B19" s="206"/>
      <c r="C19" s="152" t="s">
        <v>134</v>
      </c>
      <c r="D19" s="154">
        <v>70</v>
      </c>
      <c r="E19" s="154" t="s">
        <v>120</v>
      </c>
      <c r="F19" s="156">
        <v>0.1</v>
      </c>
      <c r="G19" s="156">
        <v>1</v>
      </c>
      <c r="H19" s="169">
        <f>+F19*B12</f>
        <v>172.20000000000002</v>
      </c>
      <c r="I19" s="158">
        <v>172.2</v>
      </c>
      <c r="J19" s="159">
        <f t="shared" si="23"/>
        <v>0</v>
      </c>
      <c r="K19" s="160">
        <v>172.2</v>
      </c>
      <c r="L19" s="161">
        <f t="shared" si="18"/>
        <v>0</v>
      </c>
      <c r="M19" s="162">
        <v>0</v>
      </c>
      <c r="N19" s="163">
        <f t="shared" si="21"/>
        <v>172.2</v>
      </c>
      <c r="O19" s="207">
        <f>+N19/B12</f>
        <v>9.9999999999999992E-2</v>
      </c>
      <c r="P19" s="165">
        <f t="shared" si="22"/>
        <v>0</v>
      </c>
      <c r="Q19" s="166">
        <v>0</v>
      </c>
      <c r="R19" s="161">
        <f t="shared" si="17"/>
        <v>0</v>
      </c>
      <c r="S19" s="161">
        <f t="shared" si="19"/>
        <v>0</v>
      </c>
      <c r="T19" s="161">
        <f t="shared" si="15"/>
        <v>0</v>
      </c>
      <c r="U19" s="167">
        <f t="shared" si="20"/>
        <v>0</v>
      </c>
      <c r="W19" s="146">
        <f t="shared" si="8"/>
        <v>172.2</v>
      </c>
      <c r="X19" s="147">
        <f t="shared" si="9"/>
        <v>172.2</v>
      </c>
      <c r="Y19" s="147">
        <f t="shared" si="10"/>
        <v>0</v>
      </c>
      <c r="Z19" s="147">
        <f t="shared" si="11"/>
        <v>0</v>
      </c>
      <c r="AA19" s="148">
        <f t="shared" si="12"/>
        <v>0</v>
      </c>
      <c r="AB19" s="149">
        <f t="shared" si="16"/>
        <v>0</v>
      </c>
    </row>
    <row r="20" spans="1:29" ht="20.25" customHeight="1" x14ac:dyDescent="0.35">
      <c r="A20" s="209"/>
      <c r="B20" s="210"/>
      <c r="C20" s="211" t="s">
        <v>135</v>
      </c>
      <c r="D20" s="212">
        <v>2</v>
      </c>
      <c r="E20" s="212" t="s">
        <v>117</v>
      </c>
      <c r="F20" s="213">
        <v>2</v>
      </c>
      <c r="G20" s="214">
        <v>0.04</v>
      </c>
      <c r="H20" s="169">
        <f>+F20*B12</f>
        <v>3444</v>
      </c>
      <c r="I20" s="158">
        <v>3460</v>
      </c>
      <c r="J20" s="159">
        <f t="shared" si="23"/>
        <v>16</v>
      </c>
      <c r="K20" s="160">
        <v>3444</v>
      </c>
      <c r="L20" s="161">
        <f t="shared" si="18"/>
        <v>16</v>
      </c>
      <c r="M20" s="162">
        <v>35</v>
      </c>
      <c r="N20" s="170">
        <f t="shared" si="21"/>
        <v>3409</v>
      </c>
      <c r="O20" s="207">
        <f>+N20/B12</f>
        <v>1.9796747967479675</v>
      </c>
      <c r="P20" s="165">
        <f t="shared" si="22"/>
        <v>51</v>
      </c>
      <c r="Q20" s="166">
        <v>0</v>
      </c>
      <c r="R20" s="161">
        <f t="shared" si="17"/>
        <v>51</v>
      </c>
      <c r="S20" s="161">
        <f t="shared" si="19"/>
        <v>2.04</v>
      </c>
      <c r="T20" s="161">
        <f t="shared" si="15"/>
        <v>102</v>
      </c>
      <c r="U20" s="167">
        <f t="shared" si="20"/>
        <v>1.4739884393063583E-2</v>
      </c>
      <c r="W20" s="174">
        <f t="shared" si="8"/>
        <v>138.4</v>
      </c>
      <c r="X20" s="175">
        <f t="shared" si="9"/>
        <v>137.76</v>
      </c>
      <c r="Y20" s="175">
        <f t="shared" si="10"/>
        <v>0.64</v>
      </c>
      <c r="Z20" s="175">
        <f t="shared" si="11"/>
        <v>1.4000000000000001</v>
      </c>
      <c r="AA20" s="148">
        <f t="shared" si="12"/>
        <v>0</v>
      </c>
      <c r="AB20" s="176">
        <f t="shared" si="16"/>
        <v>2.04</v>
      </c>
    </row>
    <row r="21" spans="1:29" ht="20.25" customHeight="1" thickBot="1" x14ac:dyDescent="0.4">
      <c r="A21" s="177"/>
      <c r="B21" s="215"/>
      <c r="C21" s="216"/>
      <c r="D21" s="180"/>
      <c r="E21" s="180"/>
      <c r="F21" s="180"/>
      <c r="G21" s="180"/>
      <c r="H21" s="181"/>
      <c r="I21" s="182"/>
      <c r="J21" s="183"/>
      <c r="K21" s="184"/>
      <c r="L21" s="180"/>
      <c r="M21" s="185"/>
      <c r="N21" s="186"/>
      <c r="O21" s="217">
        <f>SUM(O12:O19)+0.06</f>
        <v>0.8063414634146342</v>
      </c>
      <c r="P21" s="187"/>
      <c r="Q21" s="188"/>
      <c r="R21" s="180"/>
      <c r="S21" s="190">
        <f>SUM(S12:S20)</f>
        <v>92.540000000000035</v>
      </c>
      <c r="T21" s="190">
        <f>SUM(T12:T20)</f>
        <v>4048.6000000000004</v>
      </c>
      <c r="U21" s="183"/>
      <c r="W21" s="191">
        <f>SUM(W12:W20)</f>
        <v>1646.1000000000001</v>
      </c>
      <c r="X21" s="193">
        <f t="shared" ref="X21:AB21" si="24">SUM(X12:X20)</f>
        <v>1608.76</v>
      </c>
      <c r="Y21" s="195">
        <f t="shared" si="24"/>
        <v>37.340000000000032</v>
      </c>
      <c r="Z21" s="192">
        <f t="shared" si="24"/>
        <v>187.20000000000002</v>
      </c>
      <c r="AA21" s="218">
        <f>SUM(AA12:AA20)</f>
        <v>132</v>
      </c>
      <c r="AB21" s="192">
        <f t="shared" si="24"/>
        <v>92.540000000000035</v>
      </c>
      <c r="AC21" s="196"/>
    </row>
    <row r="22" spans="1:29" ht="20.25" customHeight="1" x14ac:dyDescent="0.35">
      <c r="A22" s="197" t="s">
        <v>136</v>
      </c>
      <c r="B22" s="198">
        <v>1520</v>
      </c>
      <c r="C22" s="130" t="s">
        <v>137</v>
      </c>
      <c r="D22" s="131">
        <v>9.5</v>
      </c>
      <c r="E22" s="131" t="s">
        <v>117</v>
      </c>
      <c r="F22" s="219">
        <v>2</v>
      </c>
      <c r="G22" s="134">
        <v>0.03</v>
      </c>
      <c r="H22" s="135">
        <f>+F22*B22</f>
        <v>3040</v>
      </c>
      <c r="I22" s="136">
        <v>3050</v>
      </c>
      <c r="J22" s="220">
        <f>I22-H22</f>
        <v>10</v>
      </c>
      <c r="K22" s="138">
        <v>3040</v>
      </c>
      <c r="L22" s="144">
        <f>+I22-K22</f>
        <v>10</v>
      </c>
      <c r="M22" s="140">
        <v>15</v>
      </c>
      <c r="N22" s="200">
        <f>+K22-M22</f>
        <v>3025</v>
      </c>
      <c r="O22" s="221">
        <f>+N22/B22</f>
        <v>1.9901315789473684</v>
      </c>
      <c r="P22" s="142">
        <f>+L22+M22</f>
        <v>25</v>
      </c>
      <c r="Q22" s="143">
        <v>10</v>
      </c>
      <c r="R22" s="144">
        <f>+P22-Q22</f>
        <v>15</v>
      </c>
      <c r="S22" s="144">
        <f>+R22*G22</f>
        <v>0.44999999999999996</v>
      </c>
      <c r="T22" s="144">
        <f>+R22*D22</f>
        <v>142.5</v>
      </c>
      <c r="U22" s="145">
        <f>+R22/I22</f>
        <v>4.9180327868852463E-3</v>
      </c>
      <c r="W22" s="202">
        <f t="shared" si="8"/>
        <v>91.5</v>
      </c>
      <c r="X22" s="203">
        <f t="shared" si="9"/>
        <v>91.2</v>
      </c>
      <c r="Y22" s="203">
        <f t="shared" si="10"/>
        <v>0.3</v>
      </c>
      <c r="Z22" s="203">
        <f>+M22*G22</f>
        <v>0.44999999999999996</v>
      </c>
      <c r="AA22" s="148">
        <f t="shared" si="12"/>
        <v>0.3</v>
      </c>
      <c r="AB22" s="204">
        <f>+R22*G22</f>
        <v>0.44999999999999996</v>
      </c>
    </row>
    <row r="23" spans="1:29" ht="20.25" customHeight="1" x14ac:dyDescent="0.35">
      <c r="A23" s="205"/>
      <c r="B23" s="206"/>
      <c r="C23" s="152" t="s">
        <v>138</v>
      </c>
      <c r="D23" s="153">
        <v>0.64</v>
      </c>
      <c r="E23" s="153" t="s">
        <v>139</v>
      </c>
      <c r="F23" s="222">
        <v>1</v>
      </c>
      <c r="G23" s="156">
        <v>1</v>
      </c>
      <c r="H23" s="157">
        <f>+F23*B22</f>
        <v>1520</v>
      </c>
      <c r="I23" s="158">
        <v>1520</v>
      </c>
      <c r="J23" s="159">
        <f>I23-H23</f>
        <v>0</v>
      </c>
      <c r="K23" s="160">
        <v>1520</v>
      </c>
      <c r="L23" s="161">
        <f t="shared" ref="L23:L25" si="25">+I23-K23</f>
        <v>0</v>
      </c>
      <c r="M23" s="162">
        <v>20</v>
      </c>
      <c r="N23" s="163">
        <f>+K23-M23</f>
        <v>1500</v>
      </c>
      <c r="O23" s="171">
        <f>+N23/B22</f>
        <v>0.98684210526315785</v>
      </c>
      <c r="P23" s="165">
        <f>+L23+M23</f>
        <v>20</v>
      </c>
      <c r="Q23" s="166">
        <v>20</v>
      </c>
      <c r="R23" s="161">
        <f t="shared" ref="R23:R25" si="26">+P23-Q23</f>
        <v>0</v>
      </c>
      <c r="S23" s="161">
        <f>+R23*G23</f>
        <v>0</v>
      </c>
      <c r="T23" s="161">
        <f>+R23*D23</f>
        <v>0</v>
      </c>
      <c r="U23" s="167">
        <f t="shared" ref="U23:U25" si="27">+R23/I23</f>
        <v>0</v>
      </c>
      <c r="W23" s="146">
        <f t="shared" si="8"/>
        <v>1520</v>
      </c>
      <c r="X23" s="147">
        <f t="shared" si="9"/>
        <v>1520</v>
      </c>
      <c r="Y23" s="147">
        <f t="shared" si="10"/>
        <v>0</v>
      </c>
      <c r="Z23" s="147">
        <f>+M23*G23</f>
        <v>20</v>
      </c>
      <c r="AA23" s="148">
        <f t="shared" si="12"/>
        <v>20</v>
      </c>
      <c r="AB23" s="149">
        <f>+R23*G23</f>
        <v>0</v>
      </c>
    </row>
    <row r="24" spans="1:29" ht="20.25" customHeight="1" x14ac:dyDescent="0.35">
      <c r="A24" s="205"/>
      <c r="B24" s="206"/>
      <c r="C24" s="152" t="s">
        <v>140</v>
      </c>
      <c r="D24" s="153">
        <v>6</v>
      </c>
      <c r="E24" s="153" t="s">
        <v>117</v>
      </c>
      <c r="F24" s="223">
        <v>1</v>
      </c>
      <c r="G24" s="156">
        <v>0.05</v>
      </c>
      <c r="H24" s="169">
        <f>+F24*B22</f>
        <v>1520</v>
      </c>
      <c r="I24" s="158">
        <v>1520</v>
      </c>
      <c r="J24" s="159">
        <f>I24-H24</f>
        <v>0</v>
      </c>
      <c r="K24" s="160">
        <v>1520</v>
      </c>
      <c r="L24" s="161">
        <f t="shared" si="25"/>
        <v>0</v>
      </c>
      <c r="M24" s="162">
        <v>0</v>
      </c>
      <c r="N24" s="170">
        <f t="shared" ref="N24:N25" si="28">+K24-M24</f>
        <v>1520</v>
      </c>
      <c r="O24" s="171">
        <f>+N24/B22</f>
        <v>1</v>
      </c>
      <c r="P24" s="165">
        <f>+L24+M24</f>
        <v>0</v>
      </c>
      <c r="Q24" s="166">
        <v>0</v>
      </c>
      <c r="R24" s="161">
        <f t="shared" si="26"/>
        <v>0</v>
      </c>
      <c r="S24" s="161">
        <f>+R24*G24</f>
        <v>0</v>
      </c>
      <c r="T24" s="161">
        <f>+R24*D24</f>
        <v>0</v>
      </c>
      <c r="U24" s="167">
        <f t="shared" si="27"/>
        <v>0</v>
      </c>
      <c r="W24" s="146">
        <f t="shared" si="8"/>
        <v>76</v>
      </c>
      <c r="X24" s="147">
        <f t="shared" si="9"/>
        <v>76</v>
      </c>
      <c r="Y24" s="147">
        <f t="shared" si="10"/>
        <v>0</v>
      </c>
      <c r="Z24" s="147">
        <f t="shared" si="11"/>
        <v>0</v>
      </c>
      <c r="AA24" s="148">
        <f t="shared" si="12"/>
        <v>0</v>
      </c>
      <c r="AB24" s="149">
        <f>+R24*G24</f>
        <v>0</v>
      </c>
    </row>
    <row r="25" spans="1:29" ht="20.25" customHeight="1" x14ac:dyDescent="0.35">
      <c r="A25" s="205"/>
      <c r="B25" s="206"/>
      <c r="C25" s="152" t="s">
        <v>124</v>
      </c>
      <c r="D25" s="153">
        <v>60</v>
      </c>
      <c r="E25" s="153" t="s">
        <v>125</v>
      </c>
      <c r="F25" s="168">
        <v>0.1</v>
      </c>
      <c r="G25" s="156">
        <v>1</v>
      </c>
      <c r="H25" s="169">
        <f>+F25*B22</f>
        <v>152</v>
      </c>
      <c r="I25" s="158">
        <v>152</v>
      </c>
      <c r="J25" s="159">
        <f>I25-H25</f>
        <v>0</v>
      </c>
      <c r="K25" s="160">
        <v>152</v>
      </c>
      <c r="L25" s="161">
        <f t="shared" si="25"/>
        <v>0</v>
      </c>
      <c r="M25" s="162">
        <v>4.5</v>
      </c>
      <c r="N25" s="163">
        <f t="shared" si="28"/>
        <v>147.5</v>
      </c>
      <c r="O25" s="171">
        <f>+N25/B22</f>
        <v>9.7039473684210523E-2</v>
      </c>
      <c r="P25" s="165">
        <f t="shared" ref="P25" si="29">+L25+M25</f>
        <v>4.5</v>
      </c>
      <c r="Q25" s="166">
        <v>0</v>
      </c>
      <c r="R25" s="161">
        <f t="shared" si="26"/>
        <v>4.5</v>
      </c>
      <c r="S25" s="161">
        <f>+R25*G25</f>
        <v>4.5</v>
      </c>
      <c r="T25" s="161">
        <f>+R25*D25</f>
        <v>270</v>
      </c>
      <c r="U25" s="167">
        <f t="shared" si="27"/>
        <v>2.9605263157894735E-2</v>
      </c>
      <c r="W25" s="224">
        <f t="shared" si="8"/>
        <v>152</v>
      </c>
      <c r="X25" s="225">
        <f t="shared" si="9"/>
        <v>152</v>
      </c>
      <c r="Y25" s="225">
        <f t="shared" si="10"/>
        <v>0</v>
      </c>
      <c r="Z25" s="225">
        <f t="shared" si="11"/>
        <v>4.5</v>
      </c>
      <c r="AA25" s="148">
        <f t="shared" si="12"/>
        <v>0</v>
      </c>
      <c r="AB25" s="226">
        <f>+R25*G25</f>
        <v>4.5</v>
      </c>
    </row>
    <row r="26" spans="1:29" ht="21.75" customHeight="1" thickBot="1" x14ac:dyDescent="0.4">
      <c r="A26" s="177"/>
      <c r="B26" s="227"/>
      <c r="C26" s="216"/>
      <c r="D26" s="180"/>
      <c r="E26" s="180"/>
      <c r="F26" s="180"/>
      <c r="G26" s="180"/>
      <c r="H26" s="181"/>
      <c r="I26" s="182"/>
      <c r="J26" s="183"/>
      <c r="K26" s="184"/>
      <c r="L26" s="180"/>
      <c r="M26" s="185"/>
      <c r="N26" s="186"/>
      <c r="O26" s="183"/>
      <c r="P26" s="187"/>
      <c r="Q26" s="188"/>
      <c r="R26" s="180"/>
      <c r="S26" s="190">
        <f>SUM(S22:S25)</f>
        <v>4.95</v>
      </c>
      <c r="T26" s="190">
        <f>SUM(T22:T25)</f>
        <v>412.5</v>
      </c>
      <c r="U26" s="183"/>
      <c r="W26" s="228">
        <f>SUM(W22:W25)</f>
        <v>1839.5</v>
      </c>
      <c r="X26" s="229">
        <f t="shared" ref="X26:AB26" si="30">SUM(X22:X25)</f>
        <v>1839.2</v>
      </c>
      <c r="Y26" s="229">
        <f t="shared" si="30"/>
        <v>0.3</v>
      </c>
      <c r="Z26" s="229">
        <f t="shared" si="30"/>
        <v>24.95</v>
      </c>
      <c r="AA26" s="230">
        <f>SUM(AA22:AA25)</f>
        <v>20.3</v>
      </c>
      <c r="AB26" s="231">
        <f t="shared" si="30"/>
        <v>4.95</v>
      </c>
    </row>
    <row r="27" spans="1:29" ht="20.25" customHeight="1" x14ac:dyDescent="0.35">
      <c r="A27" s="197" t="s">
        <v>141</v>
      </c>
      <c r="B27" s="198">
        <v>752</v>
      </c>
      <c r="C27" s="130" t="s">
        <v>127</v>
      </c>
      <c r="D27" s="131">
        <v>20</v>
      </c>
      <c r="E27" s="132" t="s">
        <v>120</v>
      </c>
      <c r="F27" s="199">
        <v>0.4</v>
      </c>
      <c r="G27" s="134">
        <v>1</v>
      </c>
      <c r="H27" s="157">
        <f>+F27*B27</f>
        <v>300.8</v>
      </c>
      <c r="I27" s="136">
        <v>320</v>
      </c>
      <c r="J27" s="220">
        <f t="shared" ref="J27:J35" si="31">I27-H27</f>
        <v>19.199999999999989</v>
      </c>
      <c r="K27" s="138">
        <v>300.8</v>
      </c>
      <c r="L27" s="173">
        <f>+I27-K27</f>
        <v>19.199999999999989</v>
      </c>
      <c r="M27" s="140">
        <v>35</v>
      </c>
      <c r="N27" s="141">
        <f>+K27-M27</f>
        <v>265.8</v>
      </c>
      <c r="O27" s="221">
        <f>+N27/B27</f>
        <v>0.35345744680851066</v>
      </c>
      <c r="P27" s="142">
        <f>+L27+M27</f>
        <v>54.199999999999989</v>
      </c>
      <c r="Q27" s="143">
        <v>25</v>
      </c>
      <c r="R27" s="144">
        <f>+P27-Q27</f>
        <v>29.199999999999989</v>
      </c>
      <c r="S27" s="144">
        <f t="shared" ref="S27:S35" si="32">+R27*G27</f>
        <v>29.199999999999989</v>
      </c>
      <c r="T27" s="144">
        <f t="shared" ref="T27:T35" si="33">+R27*D27</f>
        <v>583.99999999999977</v>
      </c>
      <c r="U27" s="145">
        <f>+R27/I27</f>
        <v>9.124999999999997E-2</v>
      </c>
      <c r="W27" s="202">
        <f t="shared" si="8"/>
        <v>320</v>
      </c>
      <c r="X27" s="203">
        <f t="shared" si="9"/>
        <v>300.8</v>
      </c>
      <c r="Y27" s="203">
        <f t="shared" si="10"/>
        <v>19.199999999999989</v>
      </c>
      <c r="Z27" s="203">
        <f t="shared" si="11"/>
        <v>35</v>
      </c>
      <c r="AA27" s="148">
        <f t="shared" si="12"/>
        <v>25</v>
      </c>
      <c r="AB27" s="204">
        <f t="shared" ref="AB27:AB35" si="34">+R27*G27</f>
        <v>29.199999999999989</v>
      </c>
    </row>
    <row r="28" spans="1:29" ht="20.25" customHeight="1" x14ac:dyDescent="0.35">
      <c r="A28" s="205"/>
      <c r="B28" s="206"/>
      <c r="C28" s="152" t="s">
        <v>142</v>
      </c>
      <c r="D28" s="153">
        <v>65</v>
      </c>
      <c r="E28" s="154" t="s">
        <v>120</v>
      </c>
      <c r="F28" s="168">
        <v>0.08</v>
      </c>
      <c r="G28" s="156">
        <v>1</v>
      </c>
      <c r="H28" s="157">
        <f>+F28*B27</f>
        <v>60.160000000000004</v>
      </c>
      <c r="I28" s="158">
        <v>63.5</v>
      </c>
      <c r="J28" s="159">
        <f t="shared" si="31"/>
        <v>3.3399999999999963</v>
      </c>
      <c r="K28" s="160">
        <v>60.2</v>
      </c>
      <c r="L28" s="161">
        <f t="shared" ref="L28:L35" si="35">+I28-K28</f>
        <v>3.2999999999999972</v>
      </c>
      <c r="M28" s="162">
        <v>4</v>
      </c>
      <c r="N28" s="163">
        <f t="shared" ref="N28:N35" si="36">+K28-M28</f>
        <v>56.2</v>
      </c>
      <c r="O28" s="171">
        <f>+N28/B27</f>
        <v>7.4734042553191493E-2</v>
      </c>
      <c r="P28" s="165">
        <f>+L28+M28</f>
        <v>7.2999999999999972</v>
      </c>
      <c r="Q28" s="166">
        <v>0</v>
      </c>
      <c r="R28" s="161">
        <f>+P28-Q28</f>
        <v>7.2999999999999972</v>
      </c>
      <c r="S28" s="161">
        <f t="shared" si="32"/>
        <v>7.2999999999999972</v>
      </c>
      <c r="T28" s="161">
        <f t="shared" si="33"/>
        <v>474.49999999999983</v>
      </c>
      <c r="U28" s="167">
        <f t="shared" ref="U28:U35" si="37">+R28/I28</f>
        <v>0.1149606299212598</v>
      </c>
      <c r="W28" s="146">
        <f t="shared" si="8"/>
        <v>63.5</v>
      </c>
      <c r="X28" s="147">
        <f t="shared" si="9"/>
        <v>60.2</v>
      </c>
      <c r="Y28" s="147">
        <f t="shared" si="10"/>
        <v>3.2999999999999972</v>
      </c>
      <c r="Z28" s="147">
        <f t="shared" si="11"/>
        <v>4</v>
      </c>
      <c r="AA28" s="148">
        <f t="shared" si="12"/>
        <v>0</v>
      </c>
      <c r="AB28" s="149">
        <f t="shared" si="34"/>
        <v>7.2999999999999972</v>
      </c>
    </row>
    <row r="29" spans="1:29" ht="20.25" customHeight="1" x14ac:dyDescent="0.35">
      <c r="A29" s="205"/>
      <c r="B29" s="206"/>
      <c r="C29" s="152" t="s">
        <v>143</v>
      </c>
      <c r="D29" s="153">
        <v>130</v>
      </c>
      <c r="E29" s="154" t="s">
        <v>120</v>
      </c>
      <c r="F29" s="168">
        <v>0.05</v>
      </c>
      <c r="G29" s="156">
        <v>1</v>
      </c>
      <c r="H29" s="169">
        <f>+F29*B27</f>
        <v>37.6</v>
      </c>
      <c r="I29" s="158">
        <v>40.5</v>
      </c>
      <c r="J29" s="159">
        <f t="shared" si="31"/>
        <v>2.8999999999999986</v>
      </c>
      <c r="K29" s="160">
        <v>37.6</v>
      </c>
      <c r="L29" s="161">
        <f t="shared" si="35"/>
        <v>2.8999999999999986</v>
      </c>
      <c r="M29" s="162">
        <v>5</v>
      </c>
      <c r="N29" s="170">
        <f t="shared" si="36"/>
        <v>32.6</v>
      </c>
      <c r="O29" s="171">
        <f>+N29/B27</f>
        <v>4.3351063829787234E-2</v>
      </c>
      <c r="P29" s="165">
        <f>+L29+M29</f>
        <v>7.8999999999999986</v>
      </c>
      <c r="Q29" s="166">
        <v>0</v>
      </c>
      <c r="R29" s="161">
        <f t="shared" ref="R29:R35" si="38">+P29-Q29</f>
        <v>7.8999999999999986</v>
      </c>
      <c r="S29" s="161">
        <f t="shared" si="32"/>
        <v>7.8999999999999986</v>
      </c>
      <c r="T29" s="161">
        <f t="shared" si="33"/>
        <v>1026.9999999999998</v>
      </c>
      <c r="U29" s="167">
        <f t="shared" si="37"/>
        <v>0.1950617283950617</v>
      </c>
      <c r="W29" s="146">
        <f t="shared" si="8"/>
        <v>40.5</v>
      </c>
      <c r="X29" s="147">
        <f t="shared" si="9"/>
        <v>37.6</v>
      </c>
      <c r="Y29" s="147">
        <f t="shared" si="10"/>
        <v>2.8999999999999986</v>
      </c>
      <c r="Z29" s="147">
        <f t="shared" si="11"/>
        <v>5</v>
      </c>
      <c r="AA29" s="148">
        <f t="shared" si="12"/>
        <v>0</v>
      </c>
      <c r="AB29" s="149">
        <f t="shared" si="34"/>
        <v>7.8999999999999986</v>
      </c>
    </row>
    <row r="30" spans="1:29" ht="20.25" customHeight="1" x14ac:dyDescent="0.35">
      <c r="A30" s="205"/>
      <c r="B30" s="206"/>
      <c r="C30" s="152" t="s">
        <v>144</v>
      </c>
      <c r="D30" s="153">
        <v>55</v>
      </c>
      <c r="E30" s="154" t="s">
        <v>120</v>
      </c>
      <c r="F30" s="168">
        <v>0.08</v>
      </c>
      <c r="G30" s="156">
        <v>1</v>
      </c>
      <c r="H30" s="169">
        <f>+F30*B27</f>
        <v>60.160000000000004</v>
      </c>
      <c r="I30" s="158">
        <v>63</v>
      </c>
      <c r="J30" s="159">
        <f t="shared" si="31"/>
        <v>2.8399999999999963</v>
      </c>
      <c r="K30" s="160">
        <v>60.2</v>
      </c>
      <c r="L30" s="161">
        <f t="shared" si="35"/>
        <v>2.7999999999999972</v>
      </c>
      <c r="M30" s="162">
        <v>2.5</v>
      </c>
      <c r="N30" s="163">
        <f t="shared" si="36"/>
        <v>57.7</v>
      </c>
      <c r="O30" s="171">
        <f>+N30/B27</f>
        <v>7.6728723404255322E-2</v>
      </c>
      <c r="P30" s="165">
        <f t="shared" ref="P30:P35" si="39">+L30+M30</f>
        <v>5.2999999999999972</v>
      </c>
      <c r="Q30" s="166">
        <v>0</v>
      </c>
      <c r="R30" s="161">
        <f t="shared" si="38"/>
        <v>5.2999999999999972</v>
      </c>
      <c r="S30" s="161">
        <f t="shared" si="32"/>
        <v>5.2999999999999972</v>
      </c>
      <c r="T30" s="161">
        <f t="shared" si="33"/>
        <v>291.49999999999983</v>
      </c>
      <c r="U30" s="167">
        <f t="shared" si="37"/>
        <v>8.4126984126984078E-2</v>
      </c>
      <c r="W30" s="146">
        <f t="shared" si="8"/>
        <v>63</v>
      </c>
      <c r="X30" s="147">
        <f t="shared" si="9"/>
        <v>60.2</v>
      </c>
      <c r="Y30" s="147">
        <f t="shared" si="10"/>
        <v>2.7999999999999972</v>
      </c>
      <c r="Z30" s="147">
        <f t="shared" si="11"/>
        <v>2.5</v>
      </c>
      <c r="AA30" s="148">
        <f t="shared" si="12"/>
        <v>0</v>
      </c>
      <c r="AB30" s="149">
        <f t="shared" si="34"/>
        <v>5.2999999999999972</v>
      </c>
    </row>
    <row r="31" spans="1:29" ht="20.25" customHeight="1" x14ac:dyDescent="0.35">
      <c r="A31" s="205"/>
      <c r="B31" s="206"/>
      <c r="C31" s="152" t="s">
        <v>131</v>
      </c>
      <c r="D31" s="153">
        <v>48</v>
      </c>
      <c r="E31" s="154" t="s">
        <v>125</v>
      </c>
      <c r="F31" s="168">
        <v>0.06</v>
      </c>
      <c r="G31" s="156">
        <v>1</v>
      </c>
      <c r="H31" s="169">
        <f>+F31*B27</f>
        <v>45.12</v>
      </c>
      <c r="I31" s="158">
        <v>46</v>
      </c>
      <c r="J31" s="159">
        <f t="shared" si="31"/>
        <v>0.88000000000000256</v>
      </c>
      <c r="K31" s="160">
        <v>45.1</v>
      </c>
      <c r="L31" s="161">
        <f t="shared" si="35"/>
        <v>0.89999999999999858</v>
      </c>
      <c r="M31" s="162">
        <v>2</v>
      </c>
      <c r="N31" s="170">
        <f t="shared" si="36"/>
        <v>43.1</v>
      </c>
      <c r="O31" s="171">
        <f>+N31/B27</f>
        <v>5.7313829787234045E-2</v>
      </c>
      <c r="P31" s="165">
        <f t="shared" si="39"/>
        <v>2.8999999999999986</v>
      </c>
      <c r="Q31" s="166">
        <v>0</v>
      </c>
      <c r="R31" s="161">
        <f t="shared" si="38"/>
        <v>2.8999999999999986</v>
      </c>
      <c r="S31" s="161">
        <f t="shared" si="32"/>
        <v>2.8999999999999986</v>
      </c>
      <c r="T31" s="161">
        <f t="shared" si="33"/>
        <v>139.19999999999993</v>
      </c>
      <c r="U31" s="167">
        <f t="shared" si="37"/>
        <v>6.3043478260869534E-2</v>
      </c>
      <c r="W31" s="146">
        <f t="shared" si="8"/>
        <v>46</v>
      </c>
      <c r="X31" s="147">
        <f t="shared" si="9"/>
        <v>45.1</v>
      </c>
      <c r="Y31" s="147">
        <f t="shared" si="10"/>
        <v>0.89999999999999858</v>
      </c>
      <c r="Z31" s="147">
        <f t="shared" si="11"/>
        <v>2</v>
      </c>
      <c r="AA31" s="148">
        <f t="shared" si="12"/>
        <v>0</v>
      </c>
      <c r="AB31" s="149">
        <f t="shared" si="34"/>
        <v>2.8999999999999986</v>
      </c>
    </row>
    <row r="32" spans="1:29" ht="20.25" customHeight="1" x14ac:dyDescent="0.35">
      <c r="A32" s="205"/>
      <c r="B32" s="206"/>
      <c r="C32" s="152" t="s">
        <v>145</v>
      </c>
      <c r="D32" s="153">
        <v>35</v>
      </c>
      <c r="E32" s="154" t="s">
        <v>125</v>
      </c>
      <c r="F32" s="168">
        <v>0.06</v>
      </c>
      <c r="G32" s="156">
        <v>1</v>
      </c>
      <c r="H32" s="169">
        <f>+F32*B27</f>
        <v>45.12</v>
      </c>
      <c r="I32" s="158">
        <v>48</v>
      </c>
      <c r="J32" s="159">
        <f t="shared" si="31"/>
        <v>2.8800000000000026</v>
      </c>
      <c r="K32" s="160">
        <v>45.1</v>
      </c>
      <c r="L32" s="161">
        <f t="shared" si="35"/>
        <v>2.8999999999999986</v>
      </c>
      <c r="M32" s="162">
        <v>2.5</v>
      </c>
      <c r="N32" s="163">
        <f t="shared" si="36"/>
        <v>42.6</v>
      </c>
      <c r="O32" s="171">
        <f>+N32/B27</f>
        <v>5.6648936170212764E-2</v>
      </c>
      <c r="P32" s="165">
        <f t="shared" si="39"/>
        <v>5.3999999999999986</v>
      </c>
      <c r="Q32" s="166">
        <v>0</v>
      </c>
      <c r="R32" s="161">
        <f t="shared" si="38"/>
        <v>5.3999999999999986</v>
      </c>
      <c r="S32" s="161">
        <f t="shared" si="32"/>
        <v>5.3999999999999986</v>
      </c>
      <c r="T32" s="161">
        <f t="shared" si="33"/>
        <v>188.99999999999994</v>
      </c>
      <c r="U32" s="167">
        <f t="shared" si="37"/>
        <v>0.11249999999999998</v>
      </c>
      <c r="W32" s="146">
        <f t="shared" si="8"/>
        <v>48</v>
      </c>
      <c r="X32" s="147">
        <f t="shared" si="9"/>
        <v>45.1</v>
      </c>
      <c r="Y32" s="147">
        <f t="shared" si="10"/>
        <v>2.8999999999999986</v>
      </c>
      <c r="Z32" s="147">
        <f t="shared" si="11"/>
        <v>2.5</v>
      </c>
      <c r="AA32" s="148">
        <f t="shared" si="12"/>
        <v>0</v>
      </c>
      <c r="AB32" s="149">
        <f t="shared" si="34"/>
        <v>5.3999999999999986</v>
      </c>
    </row>
    <row r="33" spans="1:29" ht="20.25" customHeight="1" x14ac:dyDescent="0.35">
      <c r="A33" s="205"/>
      <c r="B33" s="206"/>
      <c r="C33" s="152" t="s">
        <v>133</v>
      </c>
      <c r="D33" s="153">
        <v>50</v>
      </c>
      <c r="E33" s="154" t="s">
        <v>120</v>
      </c>
      <c r="F33" s="168">
        <v>0.03</v>
      </c>
      <c r="G33" s="156">
        <v>1</v>
      </c>
      <c r="H33" s="169">
        <f>+F33*B27</f>
        <v>22.56</v>
      </c>
      <c r="I33" s="158">
        <v>24</v>
      </c>
      <c r="J33" s="159">
        <f t="shared" si="31"/>
        <v>1.4400000000000013</v>
      </c>
      <c r="K33" s="160">
        <v>22.6</v>
      </c>
      <c r="L33" s="161">
        <f t="shared" si="35"/>
        <v>1.3999999999999986</v>
      </c>
      <c r="M33" s="162">
        <v>1.5</v>
      </c>
      <c r="N33" s="163">
        <f t="shared" si="36"/>
        <v>21.1</v>
      </c>
      <c r="O33" s="171">
        <f>+N33/B27</f>
        <v>2.8058510638297875E-2</v>
      </c>
      <c r="P33" s="165">
        <f t="shared" si="39"/>
        <v>2.8999999999999986</v>
      </c>
      <c r="Q33" s="166">
        <v>0</v>
      </c>
      <c r="R33" s="161">
        <f t="shared" si="38"/>
        <v>2.8999999999999986</v>
      </c>
      <c r="S33" s="161">
        <f t="shared" si="32"/>
        <v>2.8999999999999986</v>
      </c>
      <c r="T33" s="161">
        <f t="shared" si="33"/>
        <v>144.99999999999994</v>
      </c>
      <c r="U33" s="167">
        <f t="shared" si="37"/>
        <v>0.12083333333333328</v>
      </c>
      <c r="W33" s="146">
        <f t="shared" si="8"/>
        <v>24</v>
      </c>
      <c r="X33" s="147">
        <f t="shared" si="9"/>
        <v>22.6</v>
      </c>
      <c r="Y33" s="147">
        <f t="shared" si="10"/>
        <v>1.3999999999999986</v>
      </c>
      <c r="Z33" s="147">
        <f t="shared" si="11"/>
        <v>1.5</v>
      </c>
      <c r="AA33" s="148">
        <f t="shared" si="12"/>
        <v>0</v>
      </c>
      <c r="AB33" s="149">
        <f t="shared" si="34"/>
        <v>2.8999999999999986</v>
      </c>
    </row>
    <row r="34" spans="1:29" ht="20.25" customHeight="1" x14ac:dyDescent="0.35">
      <c r="A34" s="205"/>
      <c r="B34" s="206"/>
      <c r="C34" s="152" t="s">
        <v>134</v>
      </c>
      <c r="D34" s="154">
        <v>70</v>
      </c>
      <c r="E34" s="154" t="s">
        <v>120</v>
      </c>
      <c r="F34" s="156">
        <v>0.1</v>
      </c>
      <c r="G34" s="156">
        <v>1</v>
      </c>
      <c r="H34" s="169">
        <f>+F34*B27</f>
        <v>75.2</v>
      </c>
      <c r="I34" s="158">
        <v>76</v>
      </c>
      <c r="J34" s="159">
        <f t="shared" si="31"/>
        <v>0.79999999999999716</v>
      </c>
      <c r="K34" s="160">
        <v>75.2</v>
      </c>
      <c r="L34" s="161">
        <f t="shared" si="35"/>
        <v>0.79999999999999716</v>
      </c>
      <c r="M34" s="162">
        <v>0</v>
      </c>
      <c r="N34" s="163">
        <f t="shared" si="36"/>
        <v>75.2</v>
      </c>
      <c r="O34" s="171">
        <f>+N34/B27</f>
        <v>0.1</v>
      </c>
      <c r="P34" s="165">
        <f t="shared" si="39"/>
        <v>0.79999999999999716</v>
      </c>
      <c r="Q34" s="166">
        <v>0</v>
      </c>
      <c r="R34" s="161">
        <f t="shared" si="38"/>
        <v>0.79999999999999716</v>
      </c>
      <c r="S34" s="161">
        <f t="shared" si="32"/>
        <v>0.79999999999999716</v>
      </c>
      <c r="T34" s="161">
        <f t="shared" si="33"/>
        <v>55.999999999999801</v>
      </c>
      <c r="U34" s="167">
        <f t="shared" si="37"/>
        <v>1.0526315789473648E-2</v>
      </c>
      <c r="W34" s="146">
        <f t="shared" si="8"/>
        <v>76</v>
      </c>
      <c r="X34" s="147">
        <f t="shared" si="9"/>
        <v>75.2</v>
      </c>
      <c r="Y34" s="147">
        <f t="shared" si="10"/>
        <v>0.79999999999999716</v>
      </c>
      <c r="Z34" s="147">
        <f t="shared" si="11"/>
        <v>0</v>
      </c>
      <c r="AA34" s="148">
        <f t="shared" si="12"/>
        <v>0</v>
      </c>
      <c r="AB34" s="149">
        <f t="shared" si="34"/>
        <v>0.79999999999999716</v>
      </c>
    </row>
    <row r="35" spans="1:29" ht="20.25" customHeight="1" x14ac:dyDescent="0.35">
      <c r="A35" s="209"/>
      <c r="B35" s="210"/>
      <c r="C35" s="211" t="s">
        <v>135</v>
      </c>
      <c r="D35" s="212">
        <v>2</v>
      </c>
      <c r="E35" s="212" t="s">
        <v>117</v>
      </c>
      <c r="F35" s="213">
        <v>2</v>
      </c>
      <c r="G35" s="214">
        <v>0.04</v>
      </c>
      <c r="H35" s="169">
        <f>+F35*B27</f>
        <v>1504</v>
      </c>
      <c r="I35" s="158">
        <v>1530</v>
      </c>
      <c r="J35" s="159">
        <f t="shared" si="31"/>
        <v>26</v>
      </c>
      <c r="K35" s="160">
        <v>1504</v>
      </c>
      <c r="L35" s="161">
        <f t="shared" si="35"/>
        <v>26</v>
      </c>
      <c r="M35" s="162">
        <v>20</v>
      </c>
      <c r="N35" s="170">
        <f t="shared" si="36"/>
        <v>1484</v>
      </c>
      <c r="O35" s="171">
        <f>+N35/B27</f>
        <v>1.9734042553191489</v>
      </c>
      <c r="P35" s="165">
        <f t="shared" si="39"/>
        <v>46</v>
      </c>
      <c r="Q35" s="166">
        <v>0</v>
      </c>
      <c r="R35" s="161">
        <f t="shared" si="38"/>
        <v>46</v>
      </c>
      <c r="S35" s="161">
        <f t="shared" si="32"/>
        <v>1.84</v>
      </c>
      <c r="T35" s="161">
        <f t="shared" si="33"/>
        <v>92</v>
      </c>
      <c r="U35" s="167">
        <f t="shared" si="37"/>
        <v>3.0065359477124184E-2</v>
      </c>
      <c r="W35" s="224">
        <f t="shared" si="8"/>
        <v>61.2</v>
      </c>
      <c r="X35" s="225">
        <f t="shared" si="9"/>
        <v>60.160000000000004</v>
      </c>
      <c r="Y35" s="225">
        <f t="shared" si="10"/>
        <v>1.04</v>
      </c>
      <c r="Z35" s="225">
        <f t="shared" si="11"/>
        <v>0.8</v>
      </c>
      <c r="AA35" s="148">
        <f t="shared" si="12"/>
        <v>0</v>
      </c>
      <c r="AB35" s="226">
        <f t="shared" si="34"/>
        <v>1.84</v>
      </c>
    </row>
    <row r="36" spans="1:29" ht="23.25" customHeight="1" thickBot="1" x14ac:dyDescent="0.4">
      <c r="A36" s="177"/>
      <c r="B36" s="232"/>
      <c r="C36" s="216"/>
      <c r="D36" s="180"/>
      <c r="E36" s="180"/>
      <c r="F36" s="180"/>
      <c r="G36" s="180"/>
      <c r="H36" s="186"/>
      <c r="I36" s="180"/>
      <c r="J36" s="183"/>
      <c r="K36" s="186"/>
      <c r="L36" s="180"/>
      <c r="M36" s="183"/>
      <c r="N36" s="186"/>
      <c r="O36" s="183"/>
      <c r="P36" s="187"/>
      <c r="Q36" s="180"/>
      <c r="R36" s="180"/>
      <c r="S36" s="190">
        <f>SUM(S27:S35)</f>
        <v>63.539999999999978</v>
      </c>
      <c r="T36" s="190">
        <f>SUM(T27:T35)</f>
        <v>2998.1999999999989</v>
      </c>
      <c r="U36" s="183"/>
      <c r="W36" s="233">
        <f>SUM(W27:W35)</f>
        <v>742.2</v>
      </c>
      <c r="X36" s="192">
        <f t="shared" ref="X36:AB36" si="40">SUM(X27:X35)</f>
        <v>706.96</v>
      </c>
      <c r="Y36" s="192">
        <f t="shared" si="40"/>
        <v>35.239999999999974</v>
      </c>
      <c r="Z36" s="193">
        <f t="shared" si="40"/>
        <v>53.3</v>
      </c>
      <c r="AA36" s="234">
        <f>SUM(AA27:AA35)</f>
        <v>25</v>
      </c>
      <c r="AB36" s="235">
        <f t="shared" si="40"/>
        <v>63.539999999999978</v>
      </c>
      <c r="AC36" s="196"/>
    </row>
    <row r="37" spans="1:29" ht="31.5" customHeight="1" thickBot="1" x14ac:dyDescent="0.4">
      <c r="A37" s="236" t="s">
        <v>146</v>
      </c>
      <c r="B37" s="237">
        <f>+B4+B12+B22+B27</f>
        <v>5898</v>
      </c>
      <c r="C37" s="216"/>
      <c r="D37" s="180"/>
      <c r="E37" s="180"/>
      <c r="F37" s="180"/>
      <c r="G37" s="180"/>
      <c r="H37" s="186"/>
      <c r="I37" s="180"/>
      <c r="J37" s="183"/>
      <c r="K37" s="186"/>
      <c r="L37" s="180"/>
      <c r="M37" s="183"/>
      <c r="N37" s="186"/>
      <c r="O37" s="183"/>
      <c r="P37" s="187"/>
      <c r="Q37" s="180"/>
      <c r="R37" s="238"/>
      <c r="S37" s="239">
        <f>+S36+S26+S21+S11</f>
        <v>222.88</v>
      </c>
      <c r="T37" s="239">
        <f>+T36+T26+T21+T11</f>
        <v>10426.499999999998</v>
      </c>
      <c r="U37" s="240"/>
      <c r="W37" s="241">
        <f>+W11+W21+W26+W36</f>
        <v>5672.05</v>
      </c>
      <c r="X37" s="242">
        <f t="shared" ref="X37:AB37" si="41">+X11+X21+X26+X36</f>
        <v>5582.32</v>
      </c>
      <c r="Y37" s="242">
        <f t="shared" si="41"/>
        <v>89.72999999999999</v>
      </c>
      <c r="Z37" s="243">
        <f>+Z11+Z21+Z26+Z36</f>
        <v>313.45000000000005</v>
      </c>
      <c r="AA37" s="243">
        <f>+AA11+AA21+AA26+AA36</f>
        <v>180.3</v>
      </c>
      <c r="AB37" s="244">
        <f t="shared" si="41"/>
        <v>222.88</v>
      </c>
      <c r="AC37" s="196"/>
    </row>
    <row r="38" spans="1:29" x14ac:dyDescent="0.35">
      <c r="B38" s="245"/>
      <c r="Y38" s="246"/>
    </row>
    <row r="39" spans="1:29" ht="15" thickBot="1" x14ac:dyDescent="0.4">
      <c r="W39" s="246"/>
      <c r="X39" s="246"/>
      <c r="Y39" s="246"/>
      <c r="Z39" s="246"/>
      <c r="AA39" s="246"/>
    </row>
    <row r="40" spans="1:29" ht="23.25" customHeight="1" x14ac:dyDescent="0.35">
      <c r="A40" s="247"/>
      <c r="B40" s="247"/>
      <c r="C40" s="247"/>
      <c r="D40" s="247"/>
      <c r="E40" s="247"/>
      <c r="F40" s="247"/>
      <c r="S40" s="248" t="s">
        <v>147</v>
      </c>
      <c r="T40" s="249"/>
      <c r="U40" s="249"/>
      <c r="V40" s="249"/>
      <c r="W40" s="249"/>
      <c r="X40" s="249"/>
      <c r="Y40" s="249"/>
      <c r="Z40" s="249"/>
      <c r="AA40" s="249"/>
      <c r="AB40" s="250"/>
    </row>
    <row r="41" spans="1:29" ht="45.75" customHeight="1" x14ac:dyDescent="0.35">
      <c r="A41" s="251"/>
      <c r="B41" s="251"/>
      <c r="C41" s="251"/>
      <c r="D41" s="252"/>
      <c r="E41" s="252"/>
      <c r="F41" s="253"/>
      <c r="O41" s="251"/>
      <c r="P41" s="251"/>
      <c r="S41" s="254" t="s">
        <v>92</v>
      </c>
      <c r="T41" s="255" t="s">
        <v>93</v>
      </c>
      <c r="U41" s="126" t="s">
        <v>148</v>
      </c>
      <c r="V41" s="126" t="s">
        <v>149</v>
      </c>
      <c r="W41" s="126" t="s">
        <v>150</v>
      </c>
      <c r="X41" s="126" t="s">
        <v>151</v>
      </c>
      <c r="Y41" s="126" t="s">
        <v>152</v>
      </c>
      <c r="Z41" s="126" t="s">
        <v>153</v>
      </c>
      <c r="AA41" s="126" t="s">
        <v>154</v>
      </c>
      <c r="AB41" s="127" t="s">
        <v>155</v>
      </c>
    </row>
    <row r="42" spans="1:29" ht="31.5" customHeight="1" x14ac:dyDescent="0.35">
      <c r="A42" s="256"/>
      <c r="B42" s="257"/>
      <c r="C42" s="258"/>
      <c r="D42" s="258"/>
      <c r="E42" s="259"/>
      <c r="F42" s="260"/>
      <c r="O42" s="261"/>
      <c r="P42" s="261"/>
      <c r="S42" s="262" t="s">
        <v>156</v>
      </c>
      <c r="T42" s="152">
        <f>+B4</f>
        <v>1904</v>
      </c>
      <c r="U42" s="263">
        <f t="shared" ref="U42:Z42" si="42">+W11</f>
        <v>1444.25</v>
      </c>
      <c r="V42" s="263">
        <f t="shared" si="42"/>
        <v>1427.4</v>
      </c>
      <c r="W42" s="263">
        <f t="shared" si="42"/>
        <v>16.849999999999977</v>
      </c>
      <c r="X42" s="263">
        <f t="shared" si="42"/>
        <v>48</v>
      </c>
      <c r="Y42" s="264">
        <f t="shared" si="42"/>
        <v>3</v>
      </c>
      <c r="Z42" s="263">
        <f t="shared" si="42"/>
        <v>61.84999999999998</v>
      </c>
      <c r="AA42" s="265">
        <f>+Z42/T42</f>
        <v>3.248424369747898E-2</v>
      </c>
      <c r="AB42" s="266">
        <f>+Z42/U42</f>
        <v>4.2824995672494363E-2</v>
      </c>
    </row>
    <row r="43" spans="1:29" ht="31.5" customHeight="1" x14ac:dyDescent="0.35">
      <c r="A43" s="256"/>
      <c r="B43" s="257"/>
      <c r="C43" s="257"/>
      <c r="D43" s="258"/>
      <c r="E43" s="259"/>
      <c r="F43" s="260"/>
      <c r="O43" s="261"/>
      <c r="P43" s="261"/>
      <c r="Q43" s="267"/>
      <c r="R43" s="268"/>
      <c r="S43" s="262" t="s">
        <v>157</v>
      </c>
      <c r="T43" s="152">
        <f>+B12</f>
        <v>1722</v>
      </c>
      <c r="U43" s="263">
        <f t="shared" ref="U43:Z43" si="43">+W21</f>
        <v>1646.1000000000001</v>
      </c>
      <c r="V43" s="263">
        <f t="shared" si="43"/>
        <v>1608.76</v>
      </c>
      <c r="W43" s="263">
        <f t="shared" si="43"/>
        <v>37.340000000000032</v>
      </c>
      <c r="X43" s="263">
        <f t="shared" si="43"/>
        <v>187.20000000000002</v>
      </c>
      <c r="Y43" s="264">
        <f t="shared" si="43"/>
        <v>132</v>
      </c>
      <c r="Z43" s="263">
        <f t="shared" si="43"/>
        <v>92.540000000000035</v>
      </c>
      <c r="AA43" s="265">
        <f>+Z43/T43</f>
        <v>5.3739837398374006E-2</v>
      </c>
      <c r="AB43" s="266">
        <f>+Z43/U43</f>
        <v>5.6217726748071212E-2</v>
      </c>
    </row>
    <row r="44" spans="1:29" ht="31.5" customHeight="1" x14ac:dyDescent="0.35">
      <c r="A44" s="256"/>
      <c r="B44" s="257"/>
      <c r="C44" s="257"/>
      <c r="D44" s="258"/>
      <c r="E44" s="259"/>
      <c r="F44" s="260"/>
      <c r="O44" s="261"/>
      <c r="P44" s="261"/>
      <c r="S44" s="262" t="s">
        <v>158</v>
      </c>
      <c r="T44" s="152">
        <f>+B22</f>
        <v>1520</v>
      </c>
      <c r="U44" s="263">
        <f t="shared" ref="U44:Z44" si="44">+W26</f>
        <v>1839.5</v>
      </c>
      <c r="V44" s="263">
        <f t="shared" si="44"/>
        <v>1839.2</v>
      </c>
      <c r="W44" s="263">
        <f t="shared" si="44"/>
        <v>0.3</v>
      </c>
      <c r="X44" s="263">
        <f t="shared" si="44"/>
        <v>24.95</v>
      </c>
      <c r="Y44" s="264">
        <f t="shared" si="44"/>
        <v>20.3</v>
      </c>
      <c r="Z44" s="263">
        <f t="shared" si="44"/>
        <v>4.95</v>
      </c>
      <c r="AA44" s="265">
        <f>+Z44/T44</f>
        <v>3.2565789473684211E-3</v>
      </c>
      <c r="AB44" s="266">
        <f>+Z44/U44</f>
        <v>2.6909486273443872E-3</v>
      </c>
    </row>
    <row r="45" spans="1:29" ht="31.5" customHeight="1" x14ac:dyDescent="0.35">
      <c r="A45" s="256"/>
      <c r="B45" s="257"/>
      <c r="C45" s="258"/>
      <c r="D45" s="258"/>
      <c r="E45" s="259"/>
      <c r="F45" s="260"/>
      <c r="O45" s="261"/>
      <c r="P45" s="261"/>
      <c r="S45" s="262" t="s">
        <v>159</v>
      </c>
      <c r="T45" s="152">
        <f>+B27</f>
        <v>752</v>
      </c>
      <c r="U45" s="263">
        <f t="shared" ref="U45:Z45" si="45">+W36</f>
        <v>742.2</v>
      </c>
      <c r="V45" s="263">
        <f t="shared" si="45"/>
        <v>706.96</v>
      </c>
      <c r="W45" s="263">
        <f t="shared" si="45"/>
        <v>35.239999999999974</v>
      </c>
      <c r="X45" s="263">
        <f t="shared" si="45"/>
        <v>53.3</v>
      </c>
      <c r="Y45" s="264">
        <f t="shared" si="45"/>
        <v>25</v>
      </c>
      <c r="Z45" s="263">
        <f t="shared" si="45"/>
        <v>63.539999999999978</v>
      </c>
      <c r="AA45" s="265">
        <f>+Z45/T45</f>
        <v>8.4494680851063805E-2</v>
      </c>
      <c r="AB45" s="266">
        <f>+Z45/U45</f>
        <v>8.5610347615198021E-2</v>
      </c>
    </row>
    <row r="46" spans="1:29" ht="31.5" customHeight="1" thickBot="1" x14ac:dyDescent="0.4">
      <c r="A46" s="269"/>
      <c r="B46" s="270"/>
      <c r="C46" s="270"/>
      <c r="D46" s="271"/>
      <c r="E46" s="272"/>
      <c r="F46" s="260"/>
      <c r="G46" s="273"/>
      <c r="O46" s="274"/>
      <c r="P46" s="274"/>
      <c r="S46" s="275" t="s">
        <v>160</v>
      </c>
      <c r="T46" s="276">
        <f>SUM(T42:T45)</f>
        <v>5898</v>
      </c>
      <c r="U46" s="277">
        <f>SUM(U42:U45)</f>
        <v>5672.05</v>
      </c>
      <c r="V46" s="277">
        <f t="shared" ref="V46:Z46" si="46">SUM(V42:V45)</f>
        <v>5582.32</v>
      </c>
      <c r="W46" s="277">
        <f t="shared" si="46"/>
        <v>89.72999999999999</v>
      </c>
      <c r="X46" s="277">
        <f t="shared" si="46"/>
        <v>313.45000000000005</v>
      </c>
      <c r="Y46" s="277">
        <f t="shared" si="46"/>
        <v>180.3</v>
      </c>
      <c r="Z46" s="277">
        <f t="shared" si="46"/>
        <v>222.88</v>
      </c>
      <c r="AA46" s="278">
        <f>+Z46/T46</f>
        <v>3.7789081044421836E-2</v>
      </c>
      <c r="AB46" s="279">
        <f>+Z46/U46</f>
        <v>3.9294434992639342E-2</v>
      </c>
    </row>
    <row r="47" spans="1:29" x14ac:dyDescent="0.35">
      <c r="S47" s="280" t="s">
        <v>161</v>
      </c>
      <c r="T47" s="256">
        <v>410</v>
      </c>
      <c r="U47">
        <v>368</v>
      </c>
    </row>
    <row r="48" spans="1:29" x14ac:dyDescent="0.35">
      <c r="T48" s="256">
        <f>+T46+T47</f>
        <v>6308</v>
      </c>
      <c r="U48" s="246">
        <f>+U47+U46</f>
        <v>6040.05</v>
      </c>
    </row>
  </sheetData>
  <mergeCells count="15">
    <mergeCell ref="A27:A35"/>
    <mergeCell ref="B27:B35"/>
    <mergeCell ref="S40:AB40"/>
    <mergeCell ref="A4:A10"/>
    <mergeCell ref="B4:B10"/>
    <mergeCell ref="A12:A20"/>
    <mergeCell ref="B12:B20"/>
    <mergeCell ref="A22:A25"/>
    <mergeCell ref="B22:B25"/>
    <mergeCell ref="A1:F1"/>
    <mergeCell ref="A2:G2"/>
    <mergeCell ref="H2:J2"/>
    <mergeCell ref="K2:M2"/>
    <mergeCell ref="N2:O2"/>
    <mergeCell ref="P2:U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61BDA-0EF0-4001-9B30-F306C4D56FC6}">
  <dimension ref="A1:WVV102"/>
  <sheetViews>
    <sheetView workbookViewId="0">
      <selection activeCell="A6" sqref="A6"/>
    </sheetView>
  </sheetViews>
  <sheetFormatPr defaultColWidth="9" defaultRowHeight="14.5" x14ac:dyDescent="0.35"/>
  <cols>
    <col min="1" max="1" width="49.1796875" style="4" customWidth="1"/>
    <col min="2" max="2" width="12.1796875" style="4" customWidth="1"/>
    <col min="3" max="3" width="12.7265625" style="4" customWidth="1"/>
    <col min="4" max="4" width="12.453125" style="4" customWidth="1"/>
    <col min="5" max="5" width="12" style="4" customWidth="1"/>
    <col min="6" max="6" width="14.81640625" style="4" customWidth="1"/>
    <col min="7" max="7" width="13.54296875" style="4" customWidth="1"/>
    <col min="8" max="8" width="12.1796875" style="4" customWidth="1"/>
    <col min="9" max="9" width="11.54296875" style="4" customWidth="1"/>
    <col min="10" max="10" width="12" style="4" customWidth="1"/>
    <col min="11" max="11" width="12.54296875" style="4" customWidth="1"/>
    <col min="12" max="12" width="11.54296875" style="4" customWidth="1"/>
    <col min="13" max="13" width="12.453125" style="4" customWidth="1"/>
    <col min="14" max="14" width="11.54296875" style="4" customWidth="1"/>
    <col min="15" max="15" width="12" style="4" customWidth="1"/>
    <col min="16" max="16" width="9" style="4" hidden="1" customWidth="1"/>
    <col min="17" max="253" width="9" style="4"/>
    <col min="254" max="254" width="1" style="4" customWidth="1"/>
    <col min="255" max="255" width="38.1796875" style="4" customWidth="1"/>
    <col min="256" max="256" width="12.1796875" style="4" customWidth="1"/>
    <col min="257" max="257" width="12.7265625" style="4" customWidth="1"/>
    <col min="258" max="258" width="12.453125" style="4" customWidth="1"/>
    <col min="259" max="259" width="12" style="4" customWidth="1"/>
    <col min="260" max="260" width="14.81640625" style="4" customWidth="1"/>
    <col min="261" max="261" width="13.54296875" style="4" customWidth="1"/>
    <col min="262" max="262" width="12.1796875" style="4" customWidth="1"/>
    <col min="263" max="263" width="11.54296875" style="4" customWidth="1"/>
    <col min="264" max="264" width="12" style="4" customWidth="1"/>
    <col min="265" max="265" width="12.54296875" style="4" customWidth="1"/>
    <col min="266" max="266" width="11.54296875" style="4" customWidth="1"/>
    <col min="267" max="267" width="12.453125" style="4" customWidth="1"/>
    <col min="268" max="268" width="11.54296875" style="4" customWidth="1"/>
    <col min="269" max="269" width="12" style="4" customWidth="1"/>
    <col min="270" max="270" width="9" style="4" hidden="1" customWidth="1"/>
    <col min="271" max="509" width="9" style="4"/>
    <col min="510" max="510" width="1" style="4" customWidth="1"/>
    <col min="511" max="511" width="38.1796875" style="4" customWidth="1"/>
    <col min="512" max="512" width="12.1796875" style="4" customWidth="1"/>
    <col min="513" max="513" width="12.7265625" style="4" customWidth="1"/>
    <col min="514" max="514" width="12.453125" style="4" customWidth="1"/>
    <col min="515" max="515" width="12" style="4" customWidth="1"/>
    <col min="516" max="516" width="14.81640625" style="4" customWidth="1"/>
    <col min="517" max="517" width="13.54296875" style="4" customWidth="1"/>
    <col min="518" max="518" width="12.1796875" style="4" customWidth="1"/>
    <col min="519" max="519" width="11.54296875" style="4" customWidth="1"/>
    <col min="520" max="520" width="12" style="4" customWidth="1"/>
    <col min="521" max="521" width="12.54296875" style="4" customWidth="1"/>
    <col min="522" max="522" width="11.54296875" style="4" customWidth="1"/>
    <col min="523" max="523" width="12.453125" style="4" customWidth="1"/>
    <col min="524" max="524" width="11.54296875" style="4" customWidth="1"/>
    <col min="525" max="525" width="12" style="4" customWidth="1"/>
    <col min="526" max="526" width="9" style="4" hidden="1" customWidth="1"/>
    <col min="527" max="765" width="9" style="4"/>
    <col min="766" max="766" width="1" style="4" customWidth="1"/>
    <col min="767" max="767" width="38.1796875" style="4" customWidth="1"/>
    <col min="768" max="768" width="12.1796875" style="4" customWidth="1"/>
    <col min="769" max="769" width="12.7265625" style="4" customWidth="1"/>
    <col min="770" max="770" width="12.453125" style="4" customWidth="1"/>
    <col min="771" max="771" width="12" style="4" customWidth="1"/>
    <col min="772" max="772" width="14.81640625" style="4" customWidth="1"/>
    <col min="773" max="773" width="13.54296875" style="4" customWidth="1"/>
    <col min="774" max="774" width="12.1796875" style="4" customWidth="1"/>
    <col min="775" max="775" width="11.54296875" style="4" customWidth="1"/>
    <col min="776" max="776" width="12" style="4" customWidth="1"/>
    <col min="777" max="777" width="12.54296875" style="4" customWidth="1"/>
    <col min="778" max="778" width="11.54296875" style="4" customWidth="1"/>
    <col min="779" max="779" width="12.453125" style="4" customWidth="1"/>
    <col min="780" max="780" width="11.54296875" style="4" customWidth="1"/>
    <col min="781" max="781" width="12" style="4" customWidth="1"/>
    <col min="782" max="782" width="9" style="4" hidden="1" customWidth="1"/>
    <col min="783" max="1021" width="9" style="4"/>
    <col min="1022" max="1022" width="1" style="4" customWidth="1"/>
    <col min="1023" max="1023" width="38.1796875" style="4" customWidth="1"/>
    <col min="1024" max="1024" width="12.1796875" style="4" customWidth="1"/>
    <col min="1025" max="1025" width="12.7265625" style="4" customWidth="1"/>
    <col min="1026" max="1026" width="12.453125" style="4" customWidth="1"/>
    <col min="1027" max="1027" width="12" style="4" customWidth="1"/>
    <col min="1028" max="1028" width="14.81640625" style="4" customWidth="1"/>
    <col min="1029" max="1029" width="13.54296875" style="4" customWidth="1"/>
    <col min="1030" max="1030" width="12.1796875" style="4" customWidth="1"/>
    <col min="1031" max="1031" width="11.54296875" style="4" customWidth="1"/>
    <col min="1032" max="1032" width="12" style="4" customWidth="1"/>
    <col min="1033" max="1033" width="12.54296875" style="4" customWidth="1"/>
    <col min="1034" max="1034" width="11.54296875" style="4" customWidth="1"/>
    <col min="1035" max="1035" width="12.453125" style="4" customWidth="1"/>
    <col min="1036" max="1036" width="11.54296875" style="4" customWidth="1"/>
    <col min="1037" max="1037" width="12" style="4" customWidth="1"/>
    <col min="1038" max="1038" width="9" style="4" hidden="1" customWidth="1"/>
    <col min="1039" max="1277" width="9" style="4"/>
    <col min="1278" max="1278" width="1" style="4" customWidth="1"/>
    <col min="1279" max="1279" width="38.1796875" style="4" customWidth="1"/>
    <col min="1280" max="1280" width="12.1796875" style="4" customWidth="1"/>
    <col min="1281" max="1281" width="12.7265625" style="4" customWidth="1"/>
    <col min="1282" max="1282" width="12.453125" style="4" customWidth="1"/>
    <col min="1283" max="1283" width="12" style="4" customWidth="1"/>
    <col min="1284" max="1284" width="14.81640625" style="4" customWidth="1"/>
    <col min="1285" max="1285" width="13.54296875" style="4" customWidth="1"/>
    <col min="1286" max="1286" width="12.1796875" style="4" customWidth="1"/>
    <col min="1287" max="1287" width="11.54296875" style="4" customWidth="1"/>
    <col min="1288" max="1288" width="12" style="4" customWidth="1"/>
    <col min="1289" max="1289" width="12.54296875" style="4" customWidth="1"/>
    <col min="1290" max="1290" width="11.54296875" style="4" customWidth="1"/>
    <col min="1291" max="1291" width="12.453125" style="4" customWidth="1"/>
    <col min="1292" max="1292" width="11.54296875" style="4" customWidth="1"/>
    <col min="1293" max="1293" width="12" style="4" customWidth="1"/>
    <col min="1294" max="1294" width="9" style="4" hidden="1" customWidth="1"/>
    <col min="1295" max="1533" width="9" style="4"/>
    <col min="1534" max="1534" width="1" style="4" customWidth="1"/>
    <col min="1535" max="1535" width="38.1796875" style="4" customWidth="1"/>
    <col min="1536" max="1536" width="12.1796875" style="4" customWidth="1"/>
    <col min="1537" max="1537" width="12.7265625" style="4" customWidth="1"/>
    <col min="1538" max="1538" width="12.453125" style="4" customWidth="1"/>
    <col min="1539" max="1539" width="12" style="4" customWidth="1"/>
    <col min="1540" max="1540" width="14.81640625" style="4" customWidth="1"/>
    <col min="1541" max="1541" width="13.54296875" style="4" customWidth="1"/>
    <col min="1542" max="1542" width="12.1796875" style="4" customWidth="1"/>
    <col min="1543" max="1543" width="11.54296875" style="4" customWidth="1"/>
    <col min="1544" max="1544" width="12" style="4" customWidth="1"/>
    <col min="1545" max="1545" width="12.54296875" style="4" customWidth="1"/>
    <col min="1546" max="1546" width="11.54296875" style="4" customWidth="1"/>
    <col min="1547" max="1547" width="12.453125" style="4" customWidth="1"/>
    <col min="1548" max="1548" width="11.54296875" style="4" customWidth="1"/>
    <col min="1549" max="1549" width="12" style="4" customWidth="1"/>
    <col min="1550" max="1550" width="9" style="4" hidden="1" customWidth="1"/>
    <col min="1551" max="1789" width="9" style="4"/>
    <col min="1790" max="1790" width="1" style="4" customWidth="1"/>
    <col min="1791" max="1791" width="38.1796875" style="4" customWidth="1"/>
    <col min="1792" max="1792" width="12.1796875" style="4" customWidth="1"/>
    <col min="1793" max="1793" width="12.7265625" style="4" customWidth="1"/>
    <col min="1794" max="1794" width="12.453125" style="4" customWidth="1"/>
    <col min="1795" max="1795" width="12" style="4" customWidth="1"/>
    <col min="1796" max="1796" width="14.81640625" style="4" customWidth="1"/>
    <col min="1797" max="1797" width="13.54296875" style="4" customWidth="1"/>
    <col min="1798" max="1798" width="12.1796875" style="4" customWidth="1"/>
    <col min="1799" max="1799" width="11.54296875" style="4" customWidth="1"/>
    <col min="1800" max="1800" width="12" style="4" customWidth="1"/>
    <col min="1801" max="1801" width="12.54296875" style="4" customWidth="1"/>
    <col min="1802" max="1802" width="11.54296875" style="4" customWidth="1"/>
    <col min="1803" max="1803" width="12.453125" style="4" customWidth="1"/>
    <col min="1804" max="1804" width="11.54296875" style="4" customWidth="1"/>
    <col min="1805" max="1805" width="12" style="4" customWidth="1"/>
    <col min="1806" max="1806" width="9" style="4" hidden="1" customWidth="1"/>
    <col min="1807" max="2045" width="9" style="4"/>
    <col min="2046" max="2046" width="1" style="4" customWidth="1"/>
    <col min="2047" max="2047" width="38.1796875" style="4" customWidth="1"/>
    <col min="2048" max="2048" width="12.1796875" style="4" customWidth="1"/>
    <col min="2049" max="2049" width="12.7265625" style="4" customWidth="1"/>
    <col min="2050" max="2050" width="12.453125" style="4" customWidth="1"/>
    <col min="2051" max="2051" width="12" style="4" customWidth="1"/>
    <col min="2052" max="2052" width="14.81640625" style="4" customWidth="1"/>
    <col min="2053" max="2053" width="13.54296875" style="4" customWidth="1"/>
    <col min="2054" max="2054" width="12.1796875" style="4" customWidth="1"/>
    <col min="2055" max="2055" width="11.54296875" style="4" customWidth="1"/>
    <col min="2056" max="2056" width="12" style="4" customWidth="1"/>
    <col min="2057" max="2057" width="12.54296875" style="4" customWidth="1"/>
    <col min="2058" max="2058" width="11.54296875" style="4" customWidth="1"/>
    <col min="2059" max="2059" width="12.453125" style="4" customWidth="1"/>
    <col min="2060" max="2060" width="11.54296875" style="4" customWidth="1"/>
    <col min="2061" max="2061" width="12" style="4" customWidth="1"/>
    <col min="2062" max="2062" width="9" style="4" hidden="1" customWidth="1"/>
    <col min="2063" max="2301" width="9" style="4"/>
    <col min="2302" max="2302" width="1" style="4" customWidth="1"/>
    <col min="2303" max="2303" width="38.1796875" style="4" customWidth="1"/>
    <col min="2304" max="2304" width="12.1796875" style="4" customWidth="1"/>
    <col min="2305" max="2305" width="12.7265625" style="4" customWidth="1"/>
    <col min="2306" max="2306" width="12.453125" style="4" customWidth="1"/>
    <col min="2307" max="2307" width="12" style="4" customWidth="1"/>
    <col min="2308" max="2308" width="14.81640625" style="4" customWidth="1"/>
    <col min="2309" max="2309" width="13.54296875" style="4" customWidth="1"/>
    <col min="2310" max="2310" width="12.1796875" style="4" customWidth="1"/>
    <col min="2311" max="2311" width="11.54296875" style="4" customWidth="1"/>
    <col min="2312" max="2312" width="12" style="4" customWidth="1"/>
    <col min="2313" max="2313" width="12.54296875" style="4" customWidth="1"/>
    <col min="2314" max="2314" width="11.54296875" style="4" customWidth="1"/>
    <col min="2315" max="2315" width="12.453125" style="4" customWidth="1"/>
    <col min="2316" max="2316" width="11.54296875" style="4" customWidth="1"/>
    <col min="2317" max="2317" width="12" style="4" customWidth="1"/>
    <col min="2318" max="2318" width="9" style="4" hidden="1" customWidth="1"/>
    <col min="2319" max="2557" width="9" style="4"/>
    <col min="2558" max="2558" width="1" style="4" customWidth="1"/>
    <col min="2559" max="2559" width="38.1796875" style="4" customWidth="1"/>
    <col min="2560" max="2560" width="12.1796875" style="4" customWidth="1"/>
    <col min="2561" max="2561" width="12.7265625" style="4" customWidth="1"/>
    <col min="2562" max="2562" width="12.453125" style="4" customWidth="1"/>
    <col min="2563" max="2563" width="12" style="4" customWidth="1"/>
    <col min="2564" max="2564" width="14.81640625" style="4" customWidth="1"/>
    <col min="2565" max="2565" width="13.54296875" style="4" customWidth="1"/>
    <col min="2566" max="2566" width="12.1796875" style="4" customWidth="1"/>
    <col min="2567" max="2567" width="11.54296875" style="4" customWidth="1"/>
    <col min="2568" max="2568" width="12" style="4" customWidth="1"/>
    <col min="2569" max="2569" width="12.54296875" style="4" customWidth="1"/>
    <col min="2570" max="2570" width="11.54296875" style="4" customWidth="1"/>
    <col min="2571" max="2571" width="12.453125" style="4" customWidth="1"/>
    <col min="2572" max="2572" width="11.54296875" style="4" customWidth="1"/>
    <col min="2573" max="2573" width="12" style="4" customWidth="1"/>
    <col min="2574" max="2574" width="9" style="4" hidden="1" customWidth="1"/>
    <col min="2575" max="2813" width="9" style="4"/>
    <col min="2814" max="2814" width="1" style="4" customWidth="1"/>
    <col min="2815" max="2815" width="38.1796875" style="4" customWidth="1"/>
    <col min="2816" max="2816" width="12.1796875" style="4" customWidth="1"/>
    <col min="2817" max="2817" width="12.7265625" style="4" customWidth="1"/>
    <col min="2818" max="2818" width="12.453125" style="4" customWidth="1"/>
    <col min="2819" max="2819" width="12" style="4" customWidth="1"/>
    <col min="2820" max="2820" width="14.81640625" style="4" customWidth="1"/>
    <col min="2821" max="2821" width="13.54296875" style="4" customWidth="1"/>
    <col min="2822" max="2822" width="12.1796875" style="4" customWidth="1"/>
    <col min="2823" max="2823" width="11.54296875" style="4" customWidth="1"/>
    <col min="2824" max="2824" width="12" style="4" customWidth="1"/>
    <col min="2825" max="2825" width="12.54296875" style="4" customWidth="1"/>
    <col min="2826" max="2826" width="11.54296875" style="4" customWidth="1"/>
    <col min="2827" max="2827" width="12.453125" style="4" customWidth="1"/>
    <col min="2828" max="2828" width="11.54296875" style="4" customWidth="1"/>
    <col min="2829" max="2829" width="12" style="4" customWidth="1"/>
    <col min="2830" max="2830" width="9" style="4" hidden="1" customWidth="1"/>
    <col min="2831" max="3069" width="9" style="4"/>
    <col min="3070" max="3070" width="1" style="4" customWidth="1"/>
    <col min="3071" max="3071" width="38.1796875" style="4" customWidth="1"/>
    <col min="3072" max="3072" width="12.1796875" style="4" customWidth="1"/>
    <col min="3073" max="3073" width="12.7265625" style="4" customWidth="1"/>
    <col min="3074" max="3074" width="12.453125" style="4" customWidth="1"/>
    <col min="3075" max="3075" width="12" style="4" customWidth="1"/>
    <col min="3076" max="3076" width="14.81640625" style="4" customWidth="1"/>
    <col min="3077" max="3077" width="13.54296875" style="4" customWidth="1"/>
    <col min="3078" max="3078" width="12.1796875" style="4" customWidth="1"/>
    <col min="3079" max="3079" width="11.54296875" style="4" customWidth="1"/>
    <col min="3080" max="3080" width="12" style="4" customWidth="1"/>
    <col min="3081" max="3081" width="12.54296875" style="4" customWidth="1"/>
    <col min="3082" max="3082" width="11.54296875" style="4" customWidth="1"/>
    <col min="3083" max="3083" width="12.453125" style="4" customWidth="1"/>
    <col min="3084" max="3084" width="11.54296875" style="4" customWidth="1"/>
    <col min="3085" max="3085" width="12" style="4" customWidth="1"/>
    <col min="3086" max="3086" width="9" style="4" hidden="1" customWidth="1"/>
    <col min="3087" max="3325" width="9" style="4"/>
    <col min="3326" max="3326" width="1" style="4" customWidth="1"/>
    <col min="3327" max="3327" width="38.1796875" style="4" customWidth="1"/>
    <col min="3328" max="3328" width="12.1796875" style="4" customWidth="1"/>
    <col min="3329" max="3329" width="12.7265625" style="4" customWidth="1"/>
    <col min="3330" max="3330" width="12.453125" style="4" customWidth="1"/>
    <col min="3331" max="3331" width="12" style="4" customWidth="1"/>
    <col min="3332" max="3332" width="14.81640625" style="4" customWidth="1"/>
    <col min="3333" max="3333" width="13.54296875" style="4" customWidth="1"/>
    <col min="3334" max="3334" width="12.1796875" style="4" customWidth="1"/>
    <col min="3335" max="3335" width="11.54296875" style="4" customWidth="1"/>
    <col min="3336" max="3336" width="12" style="4" customWidth="1"/>
    <col min="3337" max="3337" width="12.54296875" style="4" customWidth="1"/>
    <col min="3338" max="3338" width="11.54296875" style="4" customWidth="1"/>
    <col min="3339" max="3339" width="12.453125" style="4" customWidth="1"/>
    <col min="3340" max="3340" width="11.54296875" style="4" customWidth="1"/>
    <col min="3341" max="3341" width="12" style="4" customWidth="1"/>
    <col min="3342" max="3342" width="9" style="4" hidden="1" customWidth="1"/>
    <col min="3343" max="3581" width="9" style="4"/>
    <col min="3582" max="3582" width="1" style="4" customWidth="1"/>
    <col min="3583" max="3583" width="38.1796875" style="4" customWidth="1"/>
    <col min="3584" max="3584" width="12.1796875" style="4" customWidth="1"/>
    <col min="3585" max="3585" width="12.7265625" style="4" customWidth="1"/>
    <col min="3586" max="3586" width="12.453125" style="4" customWidth="1"/>
    <col min="3587" max="3587" width="12" style="4" customWidth="1"/>
    <col min="3588" max="3588" width="14.81640625" style="4" customWidth="1"/>
    <col min="3589" max="3589" width="13.54296875" style="4" customWidth="1"/>
    <col min="3590" max="3590" width="12.1796875" style="4" customWidth="1"/>
    <col min="3591" max="3591" width="11.54296875" style="4" customWidth="1"/>
    <col min="3592" max="3592" width="12" style="4" customWidth="1"/>
    <col min="3593" max="3593" width="12.54296875" style="4" customWidth="1"/>
    <col min="3594" max="3594" width="11.54296875" style="4" customWidth="1"/>
    <col min="3595" max="3595" width="12.453125" style="4" customWidth="1"/>
    <col min="3596" max="3596" width="11.54296875" style="4" customWidth="1"/>
    <col min="3597" max="3597" width="12" style="4" customWidth="1"/>
    <col min="3598" max="3598" width="9" style="4" hidden="1" customWidth="1"/>
    <col min="3599" max="3837" width="9" style="4"/>
    <col min="3838" max="3838" width="1" style="4" customWidth="1"/>
    <col min="3839" max="3839" width="38.1796875" style="4" customWidth="1"/>
    <col min="3840" max="3840" width="12.1796875" style="4" customWidth="1"/>
    <col min="3841" max="3841" width="12.7265625" style="4" customWidth="1"/>
    <col min="3842" max="3842" width="12.453125" style="4" customWidth="1"/>
    <col min="3843" max="3843" width="12" style="4" customWidth="1"/>
    <col min="3844" max="3844" width="14.81640625" style="4" customWidth="1"/>
    <col min="3845" max="3845" width="13.54296875" style="4" customWidth="1"/>
    <col min="3846" max="3846" width="12.1796875" style="4" customWidth="1"/>
    <col min="3847" max="3847" width="11.54296875" style="4" customWidth="1"/>
    <col min="3848" max="3848" width="12" style="4" customWidth="1"/>
    <col min="3849" max="3849" width="12.54296875" style="4" customWidth="1"/>
    <col min="3850" max="3850" width="11.54296875" style="4" customWidth="1"/>
    <col min="3851" max="3851" width="12.453125" style="4" customWidth="1"/>
    <col min="3852" max="3852" width="11.54296875" style="4" customWidth="1"/>
    <col min="3853" max="3853" width="12" style="4" customWidth="1"/>
    <col min="3854" max="3854" width="9" style="4" hidden="1" customWidth="1"/>
    <col min="3855" max="4093" width="9" style="4"/>
    <col min="4094" max="4094" width="1" style="4" customWidth="1"/>
    <col min="4095" max="4095" width="38.1796875" style="4" customWidth="1"/>
    <col min="4096" max="4096" width="12.1796875" style="4" customWidth="1"/>
    <col min="4097" max="4097" width="12.7265625" style="4" customWidth="1"/>
    <col min="4098" max="4098" width="12.453125" style="4" customWidth="1"/>
    <col min="4099" max="4099" width="12" style="4" customWidth="1"/>
    <col min="4100" max="4100" width="14.81640625" style="4" customWidth="1"/>
    <col min="4101" max="4101" width="13.54296875" style="4" customWidth="1"/>
    <col min="4102" max="4102" width="12.1796875" style="4" customWidth="1"/>
    <col min="4103" max="4103" width="11.54296875" style="4" customWidth="1"/>
    <col min="4104" max="4104" width="12" style="4" customWidth="1"/>
    <col min="4105" max="4105" width="12.54296875" style="4" customWidth="1"/>
    <col min="4106" max="4106" width="11.54296875" style="4" customWidth="1"/>
    <col min="4107" max="4107" width="12.453125" style="4" customWidth="1"/>
    <col min="4108" max="4108" width="11.54296875" style="4" customWidth="1"/>
    <col min="4109" max="4109" width="12" style="4" customWidth="1"/>
    <col min="4110" max="4110" width="9" style="4" hidden="1" customWidth="1"/>
    <col min="4111" max="4349" width="9" style="4"/>
    <col min="4350" max="4350" width="1" style="4" customWidth="1"/>
    <col min="4351" max="4351" width="38.1796875" style="4" customWidth="1"/>
    <col min="4352" max="4352" width="12.1796875" style="4" customWidth="1"/>
    <col min="4353" max="4353" width="12.7265625" style="4" customWidth="1"/>
    <col min="4354" max="4354" width="12.453125" style="4" customWidth="1"/>
    <col min="4355" max="4355" width="12" style="4" customWidth="1"/>
    <col min="4356" max="4356" width="14.81640625" style="4" customWidth="1"/>
    <col min="4357" max="4357" width="13.54296875" style="4" customWidth="1"/>
    <col min="4358" max="4358" width="12.1796875" style="4" customWidth="1"/>
    <col min="4359" max="4359" width="11.54296875" style="4" customWidth="1"/>
    <col min="4360" max="4360" width="12" style="4" customWidth="1"/>
    <col min="4361" max="4361" width="12.54296875" style="4" customWidth="1"/>
    <col min="4362" max="4362" width="11.54296875" style="4" customWidth="1"/>
    <col min="4363" max="4363" width="12.453125" style="4" customWidth="1"/>
    <col min="4364" max="4364" width="11.54296875" style="4" customWidth="1"/>
    <col min="4365" max="4365" width="12" style="4" customWidth="1"/>
    <col min="4366" max="4366" width="9" style="4" hidden="1" customWidth="1"/>
    <col min="4367" max="4605" width="9" style="4"/>
    <col min="4606" max="4606" width="1" style="4" customWidth="1"/>
    <col min="4607" max="4607" width="38.1796875" style="4" customWidth="1"/>
    <col min="4608" max="4608" width="12.1796875" style="4" customWidth="1"/>
    <col min="4609" max="4609" width="12.7265625" style="4" customWidth="1"/>
    <col min="4610" max="4610" width="12.453125" style="4" customWidth="1"/>
    <col min="4611" max="4611" width="12" style="4" customWidth="1"/>
    <col min="4612" max="4612" width="14.81640625" style="4" customWidth="1"/>
    <col min="4613" max="4613" width="13.54296875" style="4" customWidth="1"/>
    <col min="4614" max="4614" width="12.1796875" style="4" customWidth="1"/>
    <col min="4615" max="4615" width="11.54296875" style="4" customWidth="1"/>
    <col min="4616" max="4616" width="12" style="4" customWidth="1"/>
    <col min="4617" max="4617" width="12.54296875" style="4" customWidth="1"/>
    <col min="4618" max="4618" width="11.54296875" style="4" customWidth="1"/>
    <col min="4619" max="4619" width="12.453125" style="4" customWidth="1"/>
    <col min="4620" max="4620" width="11.54296875" style="4" customWidth="1"/>
    <col min="4621" max="4621" width="12" style="4" customWidth="1"/>
    <col min="4622" max="4622" width="9" style="4" hidden="1" customWidth="1"/>
    <col min="4623" max="4861" width="9" style="4"/>
    <col min="4862" max="4862" width="1" style="4" customWidth="1"/>
    <col min="4863" max="4863" width="38.1796875" style="4" customWidth="1"/>
    <col min="4864" max="4864" width="12.1796875" style="4" customWidth="1"/>
    <col min="4865" max="4865" width="12.7265625" style="4" customWidth="1"/>
    <col min="4866" max="4866" width="12.453125" style="4" customWidth="1"/>
    <col min="4867" max="4867" width="12" style="4" customWidth="1"/>
    <col min="4868" max="4868" width="14.81640625" style="4" customWidth="1"/>
    <col min="4869" max="4869" width="13.54296875" style="4" customWidth="1"/>
    <col min="4870" max="4870" width="12.1796875" style="4" customWidth="1"/>
    <col min="4871" max="4871" width="11.54296875" style="4" customWidth="1"/>
    <col min="4872" max="4872" width="12" style="4" customWidth="1"/>
    <col min="4873" max="4873" width="12.54296875" style="4" customWidth="1"/>
    <col min="4874" max="4874" width="11.54296875" style="4" customWidth="1"/>
    <col min="4875" max="4875" width="12.453125" style="4" customWidth="1"/>
    <col min="4876" max="4876" width="11.54296875" style="4" customWidth="1"/>
    <col min="4877" max="4877" width="12" style="4" customWidth="1"/>
    <col min="4878" max="4878" width="9" style="4" hidden="1" customWidth="1"/>
    <col min="4879" max="5117" width="9" style="4"/>
    <col min="5118" max="5118" width="1" style="4" customWidth="1"/>
    <col min="5119" max="5119" width="38.1796875" style="4" customWidth="1"/>
    <col min="5120" max="5120" width="12.1796875" style="4" customWidth="1"/>
    <col min="5121" max="5121" width="12.7265625" style="4" customWidth="1"/>
    <col min="5122" max="5122" width="12.453125" style="4" customWidth="1"/>
    <col min="5123" max="5123" width="12" style="4" customWidth="1"/>
    <col min="5124" max="5124" width="14.81640625" style="4" customWidth="1"/>
    <col min="5125" max="5125" width="13.54296875" style="4" customWidth="1"/>
    <col min="5126" max="5126" width="12.1796875" style="4" customWidth="1"/>
    <col min="5127" max="5127" width="11.54296875" style="4" customWidth="1"/>
    <col min="5128" max="5128" width="12" style="4" customWidth="1"/>
    <col min="5129" max="5129" width="12.54296875" style="4" customWidth="1"/>
    <col min="5130" max="5130" width="11.54296875" style="4" customWidth="1"/>
    <col min="5131" max="5131" width="12.453125" style="4" customWidth="1"/>
    <col min="5132" max="5132" width="11.54296875" style="4" customWidth="1"/>
    <col min="5133" max="5133" width="12" style="4" customWidth="1"/>
    <col min="5134" max="5134" width="9" style="4" hidden="1" customWidth="1"/>
    <col min="5135" max="5373" width="9" style="4"/>
    <col min="5374" max="5374" width="1" style="4" customWidth="1"/>
    <col min="5375" max="5375" width="38.1796875" style="4" customWidth="1"/>
    <col min="5376" max="5376" width="12.1796875" style="4" customWidth="1"/>
    <col min="5377" max="5377" width="12.7265625" style="4" customWidth="1"/>
    <col min="5378" max="5378" width="12.453125" style="4" customWidth="1"/>
    <col min="5379" max="5379" width="12" style="4" customWidth="1"/>
    <col min="5380" max="5380" width="14.81640625" style="4" customWidth="1"/>
    <col min="5381" max="5381" width="13.54296875" style="4" customWidth="1"/>
    <col min="5382" max="5382" width="12.1796875" style="4" customWidth="1"/>
    <col min="5383" max="5383" width="11.54296875" style="4" customWidth="1"/>
    <col min="5384" max="5384" width="12" style="4" customWidth="1"/>
    <col min="5385" max="5385" width="12.54296875" style="4" customWidth="1"/>
    <col min="5386" max="5386" width="11.54296875" style="4" customWidth="1"/>
    <col min="5387" max="5387" width="12.453125" style="4" customWidth="1"/>
    <col min="5388" max="5388" width="11.54296875" style="4" customWidth="1"/>
    <col min="5389" max="5389" width="12" style="4" customWidth="1"/>
    <col min="5390" max="5390" width="9" style="4" hidden="1" customWidth="1"/>
    <col min="5391" max="5629" width="9" style="4"/>
    <col min="5630" max="5630" width="1" style="4" customWidth="1"/>
    <col min="5631" max="5631" width="38.1796875" style="4" customWidth="1"/>
    <col min="5632" max="5632" width="12.1796875" style="4" customWidth="1"/>
    <col min="5633" max="5633" width="12.7265625" style="4" customWidth="1"/>
    <col min="5634" max="5634" width="12.453125" style="4" customWidth="1"/>
    <col min="5635" max="5635" width="12" style="4" customWidth="1"/>
    <col min="5636" max="5636" width="14.81640625" style="4" customWidth="1"/>
    <col min="5637" max="5637" width="13.54296875" style="4" customWidth="1"/>
    <col min="5638" max="5638" width="12.1796875" style="4" customWidth="1"/>
    <col min="5639" max="5639" width="11.54296875" style="4" customWidth="1"/>
    <col min="5640" max="5640" width="12" style="4" customWidth="1"/>
    <col min="5641" max="5641" width="12.54296875" style="4" customWidth="1"/>
    <col min="5642" max="5642" width="11.54296875" style="4" customWidth="1"/>
    <col min="5643" max="5643" width="12.453125" style="4" customWidth="1"/>
    <col min="5644" max="5644" width="11.54296875" style="4" customWidth="1"/>
    <col min="5645" max="5645" width="12" style="4" customWidth="1"/>
    <col min="5646" max="5646" width="9" style="4" hidden="1" customWidth="1"/>
    <col min="5647" max="5885" width="9" style="4"/>
    <col min="5886" max="5886" width="1" style="4" customWidth="1"/>
    <col min="5887" max="5887" width="38.1796875" style="4" customWidth="1"/>
    <col min="5888" max="5888" width="12.1796875" style="4" customWidth="1"/>
    <col min="5889" max="5889" width="12.7265625" style="4" customWidth="1"/>
    <col min="5890" max="5890" width="12.453125" style="4" customWidth="1"/>
    <col min="5891" max="5891" width="12" style="4" customWidth="1"/>
    <col min="5892" max="5892" width="14.81640625" style="4" customWidth="1"/>
    <col min="5893" max="5893" width="13.54296875" style="4" customWidth="1"/>
    <col min="5894" max="5894" width="12.1796875" style="4" customWidth="1"/>
    <col min="5895" max="5895" width="11.54296875" style="4" customWidth="1"/>
    <col min="5896" max="5896" width="12" style="4" customWidth="1"/>
    <col min="5897" max="5897" width="12.54296875" style="4" customWidth="1"/>
    <col min="5898" max="5898" width="11.54296875" style="4" customWidth="1"/>
    <col min="5899" max="5899" width="12.453125" style="4" customWidth="1"/>
    <col min="5900" max="5900" width="11.54296875" style="4" customWidth="1"/>
    <col min="5901" max="5901" width="12" style="4" customWidth="1"/>
    <col min="5902" max="5902" width="9" style="4" hidden="1" customWidth="1"/>
    <col min="5903" max="6141" width="9" style="4"/>
    <col min="6142" max="6142" width="1" style="4" customWidth="1"/>
    <col min="6143" max="6143" width="38.1796875" style="4" customWidth="1"/>
    <col min="6144" max="6144" width="12.1796875" style="4" customWidth="1"/>
    <col min="6145" max="6145" width="12.7265625" style="4" customWidth="1"/>
    <col min="6146" max="6146" width="12.453125" style="4" customWidth="1"/>
    <col min="6147" max="6147" width="12" style="4" customWidth="1"/>
    <col min="6148" max="6148" width="14.81640625" style="4" customWidth="1"/>
    <col min="6149" max="6149" width="13.54296875" style="4" customWidth="1"/>
    <col min="6150" max="6150" width="12.1796875" style="4" customWidth="1"/>
    <col min="6151" max="6151" width="11.54296875" style="4" customWidth="1"/>
    <col min="6152" max="6152" width="12" style="4" customWidth="1"/>
    <col min="6153" max="6153" width="12.54296875" style="4" customWidth="1"/>
    <col min="6154" max="6154" width="11.54296875" style="4" customWidth="1"/>
    <col min="6155" max="6155" width="12.453125" style="4" customWidth="1"/>
    <col min="6156" max="6156" width="11.54296875" style="4" customWidth="1"/>
    <col min="6157" max="6157" width="12" style="4" customWidth="1"/>
    <col min="6158" max="6158" width="9" style="4" hidden="1" customWidth="1"/>
    <col min="6159" max="6397" width="9" style="4"/>
    <col min="6398" max="6398" width="1" style="4" customWidth="1"/>
    <col min="6399" max="6399" width="38.1796875" style="4" customWidth="1"/>
    <col min="6400" max="6400" width="12.1796875" style="4" customWidth="1"/>
    <col min="6401" max="6401" width="12.7265625" style="4" customWidth="1"/>
    <col min="6402" max="6402" width="12.453125" style="4" customWidth="1"/>
    <col min="6403" max="6403" width="12" style="4" customWidth="1"/>
    <col min="6404" max="6404" width="14.81640625" style="4" customWidth="1"/>
    <col min="6405" max="6405" width="13.54296875" style="4" customWidth="1"/>
    <col min="6406" max="6406" width="12.1796875" style="4" customWidth="1"/>
    <col min="6407" max="6407" width="11.54296875" style="4" customWidth="1"/>
    <col min="6408" max="6408" width="12" style="4" customWidth="1"/>
    <col min="6409" max="6409" width="12.54296875" style="4" customWidth="1"/>
    <col min="6410" max="6410" width="11.54296875" style="4" customWidth="1"/>
    <col min="6411" max="6411" width="12.453125" style="4" customWidth="1"/>
    <col min="6412" max="6412" width="11.54296875" style="4" customWidth="1"/>
    <col min="6413" max="6413" width="12" style="4" customWidth="1"/>
    <col min="6414" max="6414" width="9" style="4" hidden="1" customWidth="1"/>
    <col min="6415" max="6653" width="9" style="4"/>
    <col min="6654" max="6654" width="1" style="4" customWidth="1"/>
    <col min="6655" max="6655" width="38.1796875" style="4" customWidth="1"/>
    <col min="6656" max="6656" width="12.1796875" style="4" customWidth="1"/>
    <col min="6657" max="6657" width="12.7265625" style="4" customWidth="1"/>
    <col min="6658" max="6658" width="12.453125" style="4" customWidth="1"/>
    <col min="6659" max="6659" width="12" style="4" customWidth="1"/>
    <col min="6660" max="6660" width="14.81640625" style="4" customWidth="1"/>
    <col min="6661" max="6661" width="13.54296875" style="4" customWidth="1"/>
    <col min="6662" max="6662" width="12.1796875" style="4" customWidth="1"/>
    <col min="6663" max="6663" width="11.54296875" style="4" customWidth="1"/>
    <col min="6664" max="6664" width="12" style="4" customWidth="1"/>
    <col min="6665" max="6665" width="12.54296875" style="4" customWidth="1"/>
    <col min="6666" max="6666" width="11.54296875" style="4" customWidth="1"/>
    <col min="6667" max="6667" width="12.453125" style="4" customWidth="1"/>
    <col min="6668" max="6668" width="11.54296875" style="4" customWidth="1"/>
    <col min="6669" max="6669" width="12" style="4" customWidth="1"/>
    <col min="6670" max="6670" width="9" style="4" hidden="1" customWidth="1"/>
    <col min="6671" max="6909" width="9" style="4"/>
    <col min="6910" max="6910" width="1" style="4" customWidth="1"/>
    <col min="6911" max="6911" width="38.1796875" style="4" customWidth="1"/>
    <col min="6912" max="6912" width="12.1796875" style="4" customWidth="1"/>
    <col min="6913" max="6913" width="12.7265625" style="4" customWidth="1"/>
    <col min="6914" max="6914" width="12.453125" style="4" customWidth="1"/>
    <col min="6915" max="6915" width="12" style="4" customWidth="1"/>
    <col min="6916" max="6916" width="14.81640625" style="4" customWidth="1"/>
    <col min="6917" max="6917" width="13.54296875" style="4" customWidth="1"/>
    <col min="6918" max="6918" width="12.1796875" style="4" customWidth="1"/>
    <col min="6919" max="6919" width="11.54296875" style="4" customWidth="1"/>
    <col min="6920" max="6920" width="12" style="4" customWidth="1"/>
    <col min="6921" max="6921" width="12.54296875" style="4" customWidth="1"/>
    <col min="6922" max="6922" width="11.54296875" style="4" customWidth="1"/>
    <col min="6923" max="6923" width="12.453125" style="4" customWidth="1"/>
    <col min="6924" max="6924" width="11.54296875" style="4" customWidth="1"/>
    <col min="6925" max="6925" width="12" style="4" customWidth="1"/>
    <col min="6926" max="6926" width="9" style="4" hidden="1" customWidth="1"/>
    <col min="6927" max="7165" width="9" style="4"/>
    <col min="7166" max="7166" width="1" style="4" customWidth="1"/>
    <col min="7167" max="7167" width="38.1796875" style="4" customWidth="1"/>
    <col min="7168" max="7168" width="12.1796875" style="4" customWidth="1"/>
    <col min="7169" max="7169" width="12.7265625" style="4" customWidth="1"/>
    <col min="7170" max="7170" width="12.453125" style="4" customWidth="1"/>
    <col min="7171" max="7171" width="12" style="4" customWidth="1"/>
    <col min="7172" max="7172" width="14.81640625" style="4" customWidth="1"/>
    <col min="7173" max="7173" width="13.54296875" style="4" customWidth="1"/>
    <col min="7174" max="7174" width="12.1796875" style="4" customWidth="1"/>
    <col min="7175" max="7175" width="11.54296875" style="4" customWidth="1"/>
    <col min="7176" max="7176" width="12" style="4" customWidth="1"/>
    <col min="7177" max="7177" width="12.54296875" style="4" customWidth="1"/>
    <col min="7178" max="7178" width="11.54296875" style="4" customWidth="1"/>
    <col min="7179" max="7179" width="12.453125" style="4" customWidth="1"/>
    <col min="7180" max="7180" width="11.54296875" style="4" customWidth="1"/>
    <col min="7181" max="7181" width="12" style="4" customWidth="1"/>
    <col min="7182" max="7182" width="9" style="4" hidden="1" customWidth="1"/>
    <col min="7183" max="7421" width="9" style="4"/>
    <col min="7422" max="7422" width="1" style="4" customWidth="1"/>
    <col min="7423" max="7423" width="38.1796875" style="4" customWidth="1"/>
    <col min="7424" max="7424" width="12.1796875" style="4" customWidth="1"/>
    <col min="7425" max="7425" width="12.7265625" style="4" customWidth="1"/>
    <col min="7426" max="7426" width="12.453125" style="4" customWidth="1"/>
    <col min="7427" max="7427" width="12" style="4" customWidth="1"/>
    <col min="7428" max="7428" width="14.81640625" style="4" customWidth="1"/>
    <col min="7429" max="7429" width="13.54296875" style="4" customWidth="1"/>
    <col min="7430" max="7430" width="12.1796875" style="4" customWidth="1"/>
    <col min="7431" max="7431" width="11.54296875" style="4" customWidth="1"/>
    <col min="7432" max="7432" width="12" style="4" customWidth="1"/>
    <col min="7433" max="7433" width="12.54296875" style="4" customWidth="1"/>
    <col min="7434" max="7434" width="11.54296875" style="4" customWidth="1"/>
    <col min="7435" max="7435" width="12.453125" style="4" customWidth="1"/>
    <col min="7436" max="7436" width="11.54296875" style="4" customWidth="1"/>
    <col min="7437" max="7437" width="12" style="4" customWidth="1"/>
    <col min="7438" max="7438" width="9" style="4" hidden="1" customWidth="1"/>
    <col min="7439" max="7677" width="9" style="4"/>
    <col min="7678" max="7678" width="1" style="4" customWidth="1"/>
    <col min="7679" max="7679" width="38.1796875" style="4" customWidth="1"/>
    <col min="7680" max="7680" width="12.1796875" style="4" customWidth="1"/>
    <col min="7681" max="7681" width="12.7265625" style="4" customWidth="1"/>
    <col min="7682" max="7682" width="12.453125" style="4" customWidth="1"/>
    <col min="7683" max="7683" width="12" style="4" customWidth="1"/>
    <col min="7684" max="7684" width="14.81640625" style="4" customWidth="1"/>
    <col min="7685" max="7685" width="13.54296875" style="4" customWidth="1"/>
    <col min="7686" max="7686" width="12.1796875" style="4" customWidth="1"/>
    <col min="7687" max="7687" width="11.54296875" style="4" customWidth="1"/>
    <col min="7688" max="7688" width="12" style="4" customWidth="1"/>
    <col min="7689" max="7689" width="12.54296875" style="4" customWidth="1"/>
    <col min="7690" max="7690" width="11.54296875" style="4" customWidth="1"/>
    <col min="7691" max="7691" width="12.453125" style="4" customWidth="1"/>
    <col min="7692" max="7692" width="11.54296875" style="4" customWidth="1"/>
    <col min="7693" max="7693" width="12" style="4" customWidth="1"/>
    <col min="7694" max="7694" width="9" style="4" hidden="1" customWidth="1"/>
    <col min="7695" max="7933" width="9" style="4"/>
    <col min="7934" max="7934" width="1" style="4" customWidth="1"/>
    <col min="7935" max="7935" width="38.1796875" style="4" customWidth="1"/>
    <col min="7936" max="7936" width="12.1796875" style="4" customWidth="1"/>
    <col min="7937" max="7937" width="12.7265625" style="4" customWidth="1"/>
    <col min="7938" max="7938" width="12.453125" style="4" customWidth="1"/>
    <col min="7939" max="7939" width="12" style="4" customWidth="1"/>
    <col min="7940" max="7940" width="14.81640625" style="4" customWidth="1"/>
    <col min="7941" max="7941" width="13.54296875" style="4" customWidth="1"/>
    <col min="7942" max="7942" width="12.1796875" style="4" customWidth="1"/>
    <col min="7943" max="7943" width="11.54296875" style="4" customWidth="1"/>
    <col min="7944" max="7944" width="12" style="4" customWidth="1"/>
    <col min="7945" max="7945" width="12.54296875" style="4" customWidth="1"/>
    <col min="7946" max="7946" width="11.54296875" style="4" customWidth="1"/>
    <col min="7947" max="7947" width="12.453125" style="4" customWidth="1"/>
    <col min="7948" max="7948" width="11.54296875" style="4" customWidth="1"/>
    <col min="7949" max="7949" width="12" style="4" customWidth="1"/>
    <col min="7950" max="7950" width="9" style="4" hidden="1" customWidth="1"/>
    <col min="7951" max="8189" width="9" style="4"/>
    <col min="8190" max="8190" width="1" style="4" customWidth="1"/>
    <col min="8191" max="8191" width="38.1796875" style="4" customWidth="1"/>
    <col min="8192" max="8192" width="12.1796875" style="4" customWidth="1"/>
    <col min="8193" max="8193" width="12.7265625" style="4" customWidth="1"/>
    <col min="8194" max="8194" width="12.453125" style="4" customWidth="1"/>
    <col min="8195" max="8195" width="12" style="4" customWidth="1"/>
    <col min="8196" max="8196" width="14.81640625" style="4" customWidth="1"/>
    <col min="8197" max="8197" width="13.54296875" style="4" customWidth="1"/>
    <col min="8198" max="8198" width="12.1796875" style="4" customWidth="1"/>
    <col min="8199" max="8199" width="11.54296875" style="4" customWidth="1"/>
    <col min="8200" max="8200" width="12" style="4" customWidth="1"/>
    <col min="8201" max="8201" width="12.54296875" style="4" customWidth="1"/>
    <col min="8202" max="8202" width="11.54296875" style="4" customWidth="1"/>
    <col min="8203" max="8203" width="12.453125" style="4" customWidth="1"/>
    <col min="8204" max="8204" width="11.54296875" style="4" customWidth="1"/>
    <col min="8205" max="8205" width="12" style="4" customWidth="1"/>
    <col min="8206" max="8206" width="9" style="4" hidden="1" customWidth="1"/>
    <col min="8207" max="8445" width="9" style="4"/>
    <col min="8446" max="8446" width="1" style="4" customWidth="1"/>
    <col min="8447" max="8447" width="38.1796875" style="4" customWidth="1"/>
    <col min="8448" max="8448" width="12.1796875" style="4" customWidth="1"/>
    <col min="8449" max="8449" width="12.7265625" style="4" customWidth="1"/>
    <col min="8450" max="8450" width="12.453125" style="4" customWidth="1"/>
    <col min="8451" max="8451" width="12" style="4" customWidth="1"/>
    <col min="8452" max="8452" width="14.81640625" style="4" customWidth="1"/>
    <col min="8453" max="8453" width="13.54296875" style="4" customWidth="1"/>
    <col min="8454" max="8454" width="12.1796875" style="4" customWidth="1"/>
    <col min="8455" max="8455" width="11.54296875" style="4" customWidth="1"/>
    <col min="8456" max="8456" width="12" style="4" customWidth="1"/>
    <col min="8457" max="8457" width="12.54296875" style="4" customWidth="1"/>
    <col min="8458" max="8458" width="11.54296875" style="4" customWidth="1"/>
    <col min="8459" max="8459" width="12.453125" style="4" customWidth="1"/>
    <col min="8460" max="8460" width="11.54296875" style="4" customWidth="1"/>
    <col min="8461" max="8461" width="12" style="4" customWidth="1"/>
    <col min="8462" max="8462" width="9" style="4" hidden="1" customWidth="1"/>
    <col min="8463" max="8701" width="9" style="4"/>
    <col min="8702" max="8702" width="1" style="4" customWidth="1"/>
    <col min="8703" max="8703" width="38.1796875" style="4" customWidth="1"/>
    <col min="8704" max="8704" width="12.1796875" style="4" customWidth="1"/>
    <col min="8705" max="8705" width="12.7265625" style="4" customWidth="1"/>
    <col min="8706" max="8706" width="12.453125" style="4" customWidth="1"/>
    <col min="8707" max="8707" width="12" style="4" customWidth="1"/>
    <col min="8708" max="8708" width="14.81640625" style="4" customWidth="1"/>
    <col min="8709" max="8709" width="13.54296875" style="4" customWidth="1"/>
    <col min="8710" max="8710" width="12.1796875" style="4" customWidth="1"/>
    <col min="8711" max="8711" width="11.54296875" style="4" customWidth="1"/>
    <col min="8712" max="8712" width="12" style="4" customWidth="1"/>
    <col min="8713" max="8713" width="12.54296875" style="4" customWidth="1"/>
    <col min="8714" max="8714" width="11.54296875" style="4" customWidth="1"/>
    <col min="8715" max="8715" width="12.453125" style="4" customWidth="1"/>
    <col min="8716" max="8716" width="11.54296875" style="4" customWidth="1"/>
    <col min="8717" max="8717" width="12" style="4" customWidth="1"/>
    <col min="8718" max="8718" width="9" style="4" hidden="1" customWidth="1"/>
    <col min="8719" max="8957" width="9" style="4"/>
    <col min="8958" max="8958" width="1" style="4" customWidth="1"/>
    <col min="8959" max="8959" width="38.1796875" style="4" customWidth="1"/>
    <col min="8960" max="8960" width="12.1796875" style="4" customWidth="1"/>
    <col min="8961" max="8961" width="12.7265625" style="4" customWidth="1"/>
    <col min="8962" max="8962" width="12.453125" style="4" customWidth="1"/>
    <col min="8963" max="8963" width="12" style="4" customWidth="1"/>
    <col min="8964" max="8964" width="14.81640625" style="4" customWidth="1"/>
    <col min="8965" max="8965" width="13.54296875" style="4" customWidth="1"/>
    <col min="8966" max="8966" width="12.1796875" style="4" customWidth="1"/>
    <col min="8967" max="8967" width="11.54296875" style="4" customWidth="1"/>
    <col min="8968" max="8968" width="12" style="4" customWidth="1"/>
    <col min="8969" max="8969" width="12.54296875" style="4" customWidth="1"/>
    <col min="8970" max="8970" width="11.54296875" style="4" customWidth="1"/>
    <col min="8971" max="8971" width="12.453125" style="4" customWidth="1"/>
    <col min="8972" max="8972" width="11.54296875" style="4" customWidth="1"/>
    <col min="8973" max="8973" width="12" style="4" customWidth="1"/>
    <col min="8974" max="8974" width="9" style="4" hidden="1" customWidth="1"/>
    <col min="8975" max="9213" width="9" style="4"/>
    <col min="9214" max="9214" width="1" style="4" customWidth="1"/>
    <col min="9215" max="9215" width="38.1796875" style="4" customWidth="1"/>
    <col min="9216" max="9216" width="12.1796875" style="4" customWidth="1"/>
    <col min="9217" max="9217" width="12.7265625" style="4" customWidth="1"/>
    <col min="9218" max="9218" width="12.453125" style="4" customWidth="1"/>
    <col min="9219" max="9219" width="12" style="4" customWidth="1"/>
    <col min="9220" max="9220" width="14.81640625" style="4" customWidth="1"/>
    <col min="9221" max="9221" width="13.54296875" style="4" customWidth="1"/>
    <col min="9222" max="9222" width="12.1796875" style="4" customWidth="1"/>
    <col min="9223" max="9223" width="11.54296875" style="4" customWidth="1"/>
    <col min="9224" max="9224" width="12" style="4" customWidth="1"/>
    <col min="9225" max="9225" width="12.54296875" style="4" customWidth="1"/>
    <col min="9226" max="9226" width="11.54296875" style="4" customWidth="1"/>
    <col min="9227" max="9227" width="12.453125" style="4" customWidth="1"/>
    <col min="9228" max="9228" width="11.54296875" style="4" customWidth="1"/>
    <col min="9229" max="9229" width="12" style="4" customWidth="1"/>
    <col min="9230" max="9230" width="9" style="4" hidden="1" customWidth="1"/>
    <col min="9231" max="9469" width="9" style="4"/>
    <col min="9470" max="9470" width="1" style="4" customWidth="1"/>
    <col min="9471" max="9471" width="38.1796875" style="4" customWidth="1"/>
    <col min="9472" max="9472" width="12.1796875" style="4" customWidth="1"/>
    <col min="9473" max="9473" width="12.7265625" style="4" customWidth="1"/>
    <col min="9474" max="9474" width="12.453125" style="4" customWidth="1"/>
    <col min="9475" max="9475" width="12" style="4" customWidth="1"/>
    <col min="9476" max="9476" width="14.81640625" style="4" customWidth="1"/>
    <col min="9477" max="9477" width="13.54296875" style="4" customWidth="1"/>
    <col min="9478" max="9478" width="12.1796875" style="4" customWidth="1"/>
    <col min="9479" max="9479" width="11.54296875" style="4" customWidth="1"/>
    <col min="9480" max="9480" width="12" style="4" customWidth="1"/>
    <col min="9481" max="9481" width="12.54296875" style="4" customWidth="1"/>
    <col min="9482" max="9482" width="11.54296875" style="4" customWidth="1"/>
    <col min="9483" max="9483" width="12.453125" style="4" customWidth="1"/>
    <col min="9484" max="9484" width="11.54296875" style="4" customWidth="1"/>
    <col min="9485" max="9485" width="12" style="4" customWidth="1"/>
    <col min="9486" max="9486" width="9" style="4" hidden="1" customWidth="1"/>
    <col min="9487" max="9725" width="9" style="4"/>
    <col min="9726" max="9726" width="1" style="4" customWidth="1"/>
    <col min="9727" max="9727" width="38.1796875" style="4" customWidth="1"/>
    <col min="9728" max="9728" width="12.1796875" style="4" customWidth="1"/>
    <col min="9729" max="9729" width="12.7265625" style="4" customWidth="1"/>
    <col min="9730" max="9730" width="12.453125" style="4" customWidth="1"/>
    <col min="9731" max="9731" width="12" style="4" customWidth="1"/>
    <col min="9732" max="9732" width="14.81640625" style="4" customWidth="1"/>
    <col min="9733" max="9733" width="13.54296875" style="4" customWidth="1"/>
    <col min="9734" max="9734" width="12.1796875" style="4" customWidth="1"/>
    <col min="9735" max="9735" width="11.54296875" style="4" customWidth="1"/>
    <col min="9736" max="9736" width="12" style="4" customWidth="1"/>
    <col min="9737" max="9737" width="12.54296875" style="4" customWidth="1"/>
    <col min="9738" max="9738" width="11.54296875" style="4" customWidth="1"/>
    <col min="9739" max="9739" width="12.453125" style="4" customWidth="1"/>
    <col min="9740" max="9740" width="11.54296875" style="4" customWidth="1"/>
    <col min="9741" max="9741" width="12" style="4" customWidth="1"/>
    <col min="9742" max="9742" width="9" style="4" hidden="1" customWidth="1"/>
    <col min="9743" max="9981" width="9" style="4"/>
    <col min="9982" max="9982" width="1" style="4" customWidth="1"/>
    <col min="9983" max="9983" width="38.1796875" style="4" customWidth="1"/>
    <col min="9984" max="9984" width="12.1796875" style="4" customWidth="1"/>
    <col min="9985" max="9985" width="12.7265625" style="4" customWidth="1"/>
    <col min="9986" max="9986" width="12.453125" style="4" customWidth="1"/>
    <col min="9987" max="9987" width="12" style="4" customWidth="1"/>
    <col min="9988" max="9988" width="14.81640625" style="4" customWidth="1"/>
    <col min="9989" max="9989" width="13.54296875" style="4" customWidth="1"/>
    <col min="9990" max="9990" width="12.1796875" style="4" customWidth="1"/>
    <col min="9991" max="9991" width="11.54296875" style="4" customWidth="1"/>
    <col min="9992" max="9992" width="12" style="4" customWidth="1"/>
    <col min="9993" max="9993" width="12.54296875" style="4" customWidth="1"/>
    <col min="9994" max="9994" width="11.54296875" style="4" customWidth="1"/>
    <col min="9995" max="9995" width="12.453125" style="4" customWidth="1"/>
    <col min="9996" max="9996" width="11.54296875" style="4" customWidth="1"/>
    <col min="9997" max="9997" width="12" style="4" customWidth="1"/>
    <col min="9998" max="9998" width="9" style="4" hidden="1" customWidth="1"/>
    <col min="9999" max="10237" width="9" style="4"/>
    <col min="10238" max="10238" width="1" style="4" customWidth="1"/>
    <col min="10239" max="10239" width="38.1796875" style="4" customWidth="1"/>
    <col min="10240" max="10240" width="12.1796875" style="4" customWidth="1"/>
    <col min="10241" max="10241" width="12.7265625" style="4" customWidth="1"/>
    <col min="10242" max="10242" width="12.453125" style="4" customWidth="1"/>
    <col min="10243" max="10243" width="12" style="4" customWidth="1"/>
    <col min="10244" max="10244" width="14.81640625" style="4" customWidth="1"/>
    <col min="10245" max="10245" width="13.54296875" style="4" customWidth="1"/>
    <col min="10246" max="10246" width="12.1796875" style="4" customWidth="1"/>
    <col min="10247" max="10247" width="11.54296875" style="4" customWidth="1"/>
    <col min="10248" max="10248" width="12" style="4" customWidth="1"/>
    <col min="10249" max="10249" width="12.54296875" style="4" customWidth="1"/>
    <col min="10250" max="10250" width="11.54296875" style="4" customWidth="1"/>
    <col min="10251" max="10251" width="12.453125" style="4" customWidth="1"/>
    <col min="10252" max="10252" width="11.54296875" style="4" customWidth="1"/>
    <col min="10253" max="10253" width="12" style="4" customWidth="1"/>
    <col min="10254" max="10254" width="9" style="4" hidden="1" customWidth="1"/>
    <col min="10255" max="10493" width="9" style="4"/>
    <col min="10494" max="10494" width="1" style="4" customWidth="1"/>
    <col min="10495" max="10495" width="38.1796875" style="4" customWidth="1"/>
    <col min="10496" max="10496" width="12.1796875" style="4" customWidth="1"/>
    <col min="10497" max="10497" width="12.7265625" style="4" customWidth="1"/>
    <col min="10498" max="10498" width="12.453125" style="4" customWidth="1"/>
    <col min="10499" max="10499" width="12" style="4" customWidth="1"/>
    <col min="10500" max="10500" width="14.81640625" style="4" customWidth="1"/>
    <col min="10501" max="10501" width="13.54296875" style="4" customWidth="1"/>
    <col min="10502" max="10502" width="12.1796875" style="4" customWidth="1"/>
    <col min="10503" max="10503" width="11.54296875" style="4" customWidth="1"/>
    <col min="10504" max="10504" width="12" style="4" customWidth="1"/>
    <col min="10505" max="10505" width="12.54296875" style="4" customWidth="1"/>
    <col min="10506" max="10506" width="11.54296875" style="4" customWidth="1"/>
    <col min="10507" max="10507" width="12.453125" style="4" customWidth="1"/>
    <col min="10508" max="10508" width="11.54296875" style="4" customWidth="1"/>
    <col min="10509" max="10509" width="12" style="4" customWidth="1"/>
    <col min="10510" max="10510" width="9" style="4" hidden="1" customWidth="1"/>
    <col min="10511" max="10749" width="9" style="4"/>
    <col min="10750" max="10750" width="1" style="4" customWidth="1"/>
    <col min="10751" max="10751" width="38.1796875" style="4" customWidth="1"/>
    <col min="10752" max="10752" width="12.1796875" style="4" customWidth="1"/>
    <col min="10753" max="10753" width="12.7265625" style="4" customWidth="1"/>
    <col min="10754" max="10754" width="12.453125" style="4" customWidth="1"/>
    <col min="10755" max="10755" width="12" style="4" customWidth="1"/>
    <col min="10756" max="10756" width="14.81640625" style="4" customWidth="1"/>
    <col min="10757" max="10757" width="13.54296875" style="4" customWidth="1"/>
    <col min="10758" max="10758" width="12.1796875" style="4" customWidth="1"/>
    <col min="10759" max="10759" width="11.54296875" style="4" customWidth="1"/>
    <col min="10760" max="10760" width="12" style="4" customWidth="1"/>
    <col min="10761" max="10761" width="12.54296875" style="4" customWidth="1"/>
    <col min="10762" max="10762" width="11.54296875" style="4" customWidth="1"/>
    <col min="10763" max="10763" width="12.453125" style="4" customWidth="1"/>
    <col min="10764" max="10764" width="11.54296875" style="4" customWidth="1"/>
    <col min="10765" max="10765" width="12" style="4" customWidth="1"/>
    <col min="10766" max="10766" width="9" style="4" hidden="1" customWidth="1"/>
    <col min="10767" max="11005" width="9" style="4"/>
    <col min="11006" max="11006" width="1" style="4" customWidth="1"/>
    <col min="11007" max="11007" width="38.1796875" style="4" customWidth="1"/>
    <col min="11008" max="11008" width="12.1796875" style="4" customWidth="1"/>
    <col min="11009" max="11009" width="12.7265625" style="4" customWidth="1"/>
    <col min="11010" max="11010" width="12.453125" style="4" customWidth="1"/>
    <col min="11011" max="11011" width="12" style="4" customWidth="1"/>
    <col min="11012" max="11012" width="14.81640625" style="4" customWidth="1"/>
    <col min="11013" max="11013" width="13.54296875" style="4" customWidth="1"/>
    <col min="11014" max="11014" width="12.1796875" style="4" customWidth="1"/>
    <col min="11015" max="11015" width="11.54296875" style="4" customWidth="1"/>
    <col min="11016" max="11016" width="12" style="4" customWidth="1"/>
    <col min="11017" max="11017" width="12.54296875" style="4" customWidth="1"/>
    <col min="11018" max="11018" width="11.54296875" style="4" customWidth="1"/>
    <col min="11019" max="11019" width="12.453125" style="4" customWidth="1"/>
    <col min="11020" max="11020" width="11.54296875" style="4" customWidth="1"/>
    <col min="11021" max="11021" width="12" style="4" customWidth="1"/>
    <col min="11022" max="11022" width="9" style="4" hidden="1" customWidth="1"/>
    <col min="11023" max="11261" width="9" style="4"/>
    <col min="11262" max="11262" width="1" style="4" customWidth="1"/>
    <col min="11263" max="11263" width="38.1796875" style="4" customWidth="1"/>
    <col min="11264" max="11264" width="12.1796875" style="4" customWidth="1"/>
    <col min="11265" max="11265" width="12.7265625" style="4" customWidth="1"/>
    <col min="11266" max="11266" width="12.453125" style="4" customWidth="1"/>
    <col min="11267" max="11267" width="12" style="4" customWidth="1"/>
    <col min="11268" max="11268" width="14.81640625" style="4" customWidth="1"/>
    <col min="11269" max="11269" width="13.54296875" style="4" customWidth="1"/>
    <col min="11270" max="11270" width="12.1796875" style="4" customWidth="1"/>
    <col min="11271" max="11271" width="11.54296875" style="4" customWidth="1"/>
    <col min="11272" max="11272" width="12" style="4" customWidth="1"/>
    <col min="11273" max="11273" width="12.54296875" style="4" customWidth="1"/>
    <col min="11274" max="11274" width="11.54296875" style="4" customWidth="1"/>
    <col min="11275" max="11275" width="12.453125" style="4" customWidth="1"/>
    <col min="11276" max="11276" width="11.54296875" style="4" customWidth="1"/>
    <col min="11277" max="11277" width="12" style="4" customWidth="1"/>
    <col min="11278" max="11278" width="9" style="4" hidden="1" customWidth="1"/>
    <col min="11279" max="11517" width="9" style="4"/>
    <col min="11518" max="11518" width="1" style="4" customWidth="1"/>
    <col min="11519" max="11519" width="38.1796875" style="4" customWidth="1"/>
    <col min="11520" max="11520" width="12.1796875" style="4" customWidth="1"/>
    <col min="11521" max="11521" width="12.7265625" style="4" customWidth="1"/>
    <col min="11522" max="11522" width="12.453125" style="4" customWidth="1"/>
    <col min="11523" max="11523" width="12" style="4" customWidth="1"/>
    <col min="11524" max="11524" width="14.81640625" style="4" customWidth="1"/>
    <col min="11525" max="11525" width="13.54296875" style="4" customWidth="1"/>
    <col min="11526" max="11526" width="12.1796875" style="4" customWidth="1"/>
    <col min="11527" max="11527" width="11.54296875" style="4" customWidth="1"/>
    <col min="11528" max="11528" width="12" style="4" customWidth="1"/>
    <col min="11529" max="11529" width="12.54296875" style="4" customWidth="1"/>
    <col min="11530" max="11530" width="11.54296875" style="4" customWidth="1"/>
    <col min="11531" max="11531" width="12.453125" style="4" customWidth="1"/>
    <col min="11532" max="11532" width="11.54296875" style="4" customWidth="1"/>
    <col min="11533" max="11533" width="12" style="4" customWidth="1"/>
    <col min="11534" max="11534" width="9" style="4" hidden="1" customWidth="1"/>
    <col min="11535" max="11773" width="9" style="4"/>
    <col min="11774" max="11774" width="1" style="4" customWidth="1"/>
    <col min="11775" max="11775" width="38.1796875" style="4" customWidth="1"/>
    <col min="11776" max="11776" width="12.1796875" style="4" customWidth="1"/>
    <col min="11777" max="11777" width="12.7265625" style="4" customWidth="1"/>
    <col min="11778" max="11778" width="12.453125" style="4" customWidth="1"/>
    <col min="11779" max="11779" width="12" style="4" customWidth="1"/>
    <col min="11780" max="11780" width="14.81640625" style="4" customWidth="1"/>
    <col min="11781" max="11781" width="13.54296875" style="4" customWidth="1"/>
    <col min="11782" max="11782" width="12.1796875" style="4" customWidth="1"/>
    <col min="11783" max="11783" width="11.54296875" style="4" customWidth="1"/>
    <col min="11784" max="11784" width="12" style="4" customWidth="1"/>
    <col min="11785" max="11785" width="12.54296875" style="4" customWidth="1"/>
    <col min="11786" max="11786" width="11.54296875" style="4" customWidth="1"/>
    <col min="11787" max="11787" width="12.453125" style="4" customWidth="1"/>
    <col min="11788" max="11788" width="11.54296875" style="4" customWidth="1"/>
    <col min="11789" max="11789" width="12" style="4" customWidth="1"/>
    <col min="11790" max="11790" width="9" style="4" hidden="1" customWidth="1"/>
    <col min="11791" max="12029" width="9" style="4"/>
    <col min="12030" max="12030" width="1" style="4" customWidth="1"/>
    <col min="12031" max="12031" width="38.1796875" style="4" customWidth="1"/>
    <col min="12032" max="12032" width="12.1796875" style="4" customWidth="1"/>
    <col min="12033" max="12033" width="12.7265625" style="4" customWidth="1"/>
    <col min="12034" max="12034" width="12.453125" style="4" customWidth="1"/>
    <col min="12035" max="12035" width="12" style="4" customWidth="1"/>
    <col min="12036" max="12036" width="14.81640625" style="4" customWidth="1"/>
    <col min="12037" max="12037" width="13.54296875" style="4" customWidth="1"/>
    <col min="12038" max="12038" width="12.1796875" style="4" customWidth="1"/>
    <col min="12039" max="12039" width="11.54296875" style="4" customWidth="1"/>
    <col min="12040" max="12040" width="12" style="4" customWidth="1"/>
    <col min="12041" max="12041" width="12.54296875" style="4" customWidth="1"/>
    <col min="12042" max="12042" width="11.54296875" style="4" customWidth="1"/>
    <col min="12043" max="12043" width="12.453125" style="4" customWidth="1"/>
    <col min="12044" max="12044" width="11.54296875" style="4" customWidth="1"/>
    <col min="12045" max="12045" width="12" style="4" customWidth="1"/>
    <col min="12046" max="12046" width="9" style="4" hidden="1" customWidth="1"/>
    <col min="12047" max="12285" width="9" style="4"/>
    <col min="12286" max="12286" width="1" style="4" customWidth="1"/>
    <col min="12287" max="12287" width="38.1796875" style="4" customWidth="1"/>
    <col min="12288" max="12288" width="12.1796875" style="4" customWidth="1"/>
    <col min="12289" max="12289" width="12.7265625" style="4" customWidth="1"/>
    <col min="12290" max="12290" width="12.453125" style="4" customWidth="1"/>
    <col min="12291" max="12291" width="12" style="4" customWidth="1"/>
    <col min="12292" max="12292" width="14.81640625" style="4" customWidth="1"/>
    <col min="12293" max="12293" width="13.54296875" style="4" customWidth="1"/>
    <col min="12294" max="12294" width="12.1796875" style="4" customWidth="1"/>
    <col min="12295" max="12295" width="11.54296875" style="4" customWidth="1"/>
    <col min="12296" max="12296" width="12" style="4" customWidth="1"/>
    <col min="12297" max="12297" width="12.54296875" style="4" customWidth="1"/>
    <col min="12298" max="12298" width="11.54296875" style="4" customWidth="1"/>
    <col min="12299" max="12299" width="12.453125" style="4" customWidth="1"/>
    <col min="12300" max="12300" width="11.54296875" style="4" customWidth="1"/>
    <col min="12301" max="12301" width="12" style="4" customWidth="1"/>
    <col min="12302" max="12302" width="9" style="4" hidden="1" customWidth="1"/>
    <col min="12303" max="12541" width="9" style="4"/>
    <col min="12542" max="12542" width="1" style="4" customWidth="1"/>
    <col min="12543" max="12543" width="38.1796875" style="4" customWidth="1"/>
    <col min="12544" max="12544" width="12.1796875" style="4" customWidth="1"/>
    <col min="12545" max="12545" width="12.7265625" style="4" customWidth="1"/>
    <col min="12546" max="12546" width="12.453125" style="4" customWidth="1"/>
    <col min="12547" max="12547" width="12" style="4" customWidth="1"/>
    <col min="12548" max="12548" width="14.81640625" style="4" customWidth="1"/>
    <col min="12549" max="12549" width="13.54296875" style="4" customWidth="1"/>
    <col min="12550" max="12550" width="12.1796875" style="4" customWidth="1"/>
    <col min="12551" max="12551" width="11.54296875" style="4" customWidth="1"/>
    <col min="12552" max="12552" width="12" style="4" customWidth="1"/>
    <col min="12553" max="12553" width="12.54296875" style="4" customWidth="1"/>
    <col min="12554" max="12554" width="11.54296875" style="4" customWidth="1"/>
    <col min="12555" max="12555" width="12.453125" style="4" customWidth="1"/>
    <col min="12556" max="12556" width="11.54296875" style="4" customWidth="1"/>
    <col min="12557" max="12557" width="12" style="4" customWidth="1"/>
    <col min="12558" max="12558" width="9" style="4" hidden="1" customWidth="1"/>
    <col min="12559" max="12797" width="9" style="4"/>
    <col min="12798" max="12798" width="1" style="4" customWidth="1"/>
    <col min="12799" max="12799" width="38.1796875" style="4" customWidth="1"/>
    <col min="12800" max="12800" width="12.1796875" style="4" customWidth="1"/>
    <col min="12801" max="12801" width="12.7265625" style="4" customWidth="1"/>
    <col min="12802" max="12802" width="12.453125" style="4" customWidth="1"/>
    <col min="12803" max="12803" width="12" style="4" customWidth="1"/>
    <col min="12804" max="12804" width="14.81640625" style="4" customWidth="1"/>
    <col min="12805" max="12805" width="13.54296875" style="4" customWidth="1"/>
    <col min="12806" max="12806" width="12.1796875" style="4" customWidth="1"/>
    <col min="12807" max="12807" width="11.54296875" style="4" customWidth="1"/>
    <col min="12808" max="12808" width="12" style="4" customWidth="1"/>
    <col min="12809" max="12809" width="12.54296875" style="4" customWidth="1"/>
    <col min="12810" max="12810" width="11.54296875" style="4" customWidth="1"/>
    <col min="12811" max="12811" width="12.453125" style="4" customWidth="1"/>
    <col min="12812" max="12812" width="11.54296875" style="4" customWidth="1"/>
    <col min="12813" max="12813" width="12" style="4" customWidth="1"/>
    <col min="12814" max="12814" width="9" style="4" hidden="1" customWidth="1"/>
    <col min="12815" max="13053" width="9" style="4"/>
    <col min="13054" max="13054" width="1" style="4" customWidth="1"/>
    <col min="13055" max="13055" width="38.1796875" style="4" customWidth="1"/>
    <col min="13056" max="13056" width="12.1796875" style="4" customWidth="1"/>
    <col min="13057" max="13057" width="12.7265625" style="4" customWidth="1"/>
    <col min="13058" max="13058" width="12.453125" style="4" customWidth="1"/>
    <col min="13059" max="13059" width="12" style="4" customWidth="1"/>
    <col min="13060" max="13060" width="14.81640625" style="4" customWidth="1"/>
    <col min="13061" max="13061" width="13.54296875" style="4" customWidth="1"/>
    <col min="13062" max="13062" width="12.1796875" style="4" customWidth="1"/>
    <col min="13063" max="13063" width="11.54296875" style="4" customWidth="1"/>
    <col min="13064" max="13064" width="12" style="4" customWidth="1"/>
    <col min="13065" max="13065" width="12.54296875" style="4" customWidth="1"/>
    <col min="13066" max="13066" width="11.54296875" style="4" customWidth="1"/>
    <col min="13067" max="13067" width="12.453125" style="4" customWidth="1"/>
    <col min="13068" max="13068" width="11.54296875" style="4" customWidth="1"/>
    <col min="13069" max="13069" width="12" style="4" customWidth="1"/>
    <col min="13070" max="13070" width="9" style="4" hidden="1" customWidth="1"/>
    <col min="13071" max="13309" width="9" style="4"/>
    <col min="13310" max="13310" width="1" style="4" customWidth="1"/>
    <col min="13311" max="13311" width="38.1796875" style="4" customWidth="1"/>
    <col min="13312" max="13312" width="12.1796875" style="4" customWidth="1"/>
    <col min="13313" max="13313" width="12.7265625" style="4" customWidth="1"/>
    <col min="13314" max="13314" width="12.453125" style="4" customWidth="1"/>
    <col min="13315" max="13315" width="12" style="4" customWidth="1"/>
    <col min="13316" max="13316" width="14.81640625" style="4" customWidth="1"/>
    <col min="13317" max="13317" width="13.54296875" style="4" customWidth="1"/>
    <col min="13318" max="13318" width="12.1796875" style="4" customWidth="1"/>
    <col min="13319" max="13319" width="11.54296875" style="4" customWidth="1"/>
    <col min="13320" max="13320" width="12" style="4" customWidth="1"/>
    <col min="13321" max="13321" width="12.54296875" style="4" customWidth="1"/>
    <col min="13322" max="13322" width="11.54296875" style="4" customWidth="1"/>
    <col min="13323" max="13323" width="12.453125" style="4" customWidth="1"/>
    <col min="13324" max="13324" width="11.54296875" style="4" customWidth="1"/>
    <col min="13325" max="13325" width="12" style="4" customWidth="1"/>
    <col min="13326" max="13326" width="9" style="4" hidden="1" customWidth="1"/>
    <col min="13327" max="13565" width="9" style="4"/>
    <col min="13566" max="13566" width="1" style="4" customWidth="1"/>
    <col min="13567" max="13567" width="38.1796875" style="4" customWidth="1"/>
    <col min="13568" max="13568" width="12.1796875" style="4" customWidth="1"/>
    <col min="13569" max="13569" width="12.7265625" style="4" customWidth="1"/>
    <col min="13570" max="13570" width="12.453125" style="4" customWidth="1"/>
    <col min="13571" max="13571" width="12" style="4" customWidth="1"/>
    <col min="13572" max="13572" width="14.81640625" style="4" customWidth="1"/>
    <col min="13573" max="13573" width="13.54296875" style="4" customWidth="1"/>
    <col min="13574" max="13574" width="12.1796875" style="4" customWidth="1"/>
    <col min="13575" max="13575" width="11.54296875" style="4" customWidth="1"/>
    <col min="13576" max="13576" width="12" style="4" customWidth="1"/>
    <col min="13577" max="13577" width="12.54296875" style="4" customWidth="1"/>
    <col min="13578" max="13578" width="11.54296875" style="4" customWidth="1"/>
    <col min="13579" max="13579" width="12.453125" style="4" customWidth="1"/>
    <col min="13580" max="13580" width="11.54296875" style="4" customWidth="1"/>
    <col min="13581" max="13581" width="12" style="4" customWidth="1"/>
    <col min="13582" max="13582" width="9" style="4" hidden="1" customWidth="1"/>
    <col min="13583" max="13821" width="9" style="4"/>
    <col min="13822" max="13822" width="1" style="4" customWidth="1"/>
    <col min="13823" max="13823" width="38.1796875" style="4" customWidth="1"/>
    <col min="13824" max="13824" width="12.1796875" style="4" customWidth="1"/>
    <col min="13825" max="13825" width="12.7265625" style="4" customWidth="1"/>
    <col min="13826" max="13826" width="12.453125" style="4" customWidth="1"/>
    <col min="13827" max="13827" width="12" style="4" customWidth="1"/>
    <col min="13828" max="13828" width="14.81640625" style="4" customWidth="1"/>
    <col min="13829" max="13829" width="13.54296875" style="4" customWidth="1"/>
    <col min="13830" max="13830" width="12.1796875" style="4" customWidth="1"/>
    <col min="13831" max="13831" width="11.54296875" style="4" customWidth="1"/>
    <col min="13832" max="13832" width="12" style="4" customWidth="1"/>
    <col min="13833" max="13833" width="12.54296875" style="4" customWidth="1"/>
    <col min="13834" max="13834" width="11.54296875" style="4" customWidth="1"/>
    <col min="13835" max="13835" width="12.453125" style="4" customWidth="1"/>
    <col min="13836" max="13836" width="11.54296875" style="4" customWidth="1"/>
    <col min="13837" max="13837" width="12" style="4" customWidth="1"/>
    <col min="13838" max="13838" width="9" style="4" hidden="1" customWidth="1"/>
    <col min="13839" max="14077" width="9" style="4"/>
    <col min="14078" max="14078" width="1" style="4" customWidth="1"/>
    <col min="14079" max="14079" width="38.1796875" style="4" customWidth="1"/>
    <col min="14080" max="14080" width="12.1796875" style="4" customWidth="1"/>
    <col min="14081" max="14081" width="12.7265625" style="4" customWidth="1"/>
    <col min="14082" max="14082" width="12.453125" style="4" customWidth="1"/>
    <col min="14083" max="14083" width="12" style="4" customWidth="1"/>
    <col min="14084" max="14084" width="14.81640625" style="4" customWidth="1"/>
    <col min="14085" max="14085" width="13.54296875" style="4" customWidth="1"/>
    <col min="14086" max="14086" width="12.1796875" style="4" customWidth="1"/>
    <col min="14087" max="14087" width="11.54296875" style="4" customWidth="1"/>
    <col min="14088" max="14088" width="12" style="4" customWidth="1"/>
    <col min="14089" max="14089" width="12.54296875" style="4" customWidth="1"/>
    <col min="14090" max="14090" width="11.54296875" style="4" customWidth="1"/>
    <col min="14091" max="14091" width="12.453125" style="4" customWidth="1"/>
    <col min="14092" max="14092" width="11.54296875" style="4" customWidth="1"/>
    <col min="14093" max="14093" width="12" style="4" customWidth="1"/>
    <col min="14094" max="14094" width="9" style="4" hidden="1" customWidth="1"/>
    <col min="14095" max="14333" width="9" style="4"/>
    <col min="14334" max="14334" width="1" style="4" customWidth="1"/>
    <col min="14335" max="14335" width="38.1796875" style="4" customWidth="1"/>
    <col min="14336" max="14336" width="12.1796875" style="4" customWidth="1"/>
    <col min="14337" max="14337" width="12.7265625" style="4" customWidth="1"/>
    <col min="14338" max="14338" width="12.453125" style="4" customWidth="1"/>
    <col min="14339" max="14339" width="12" style="4" customWidth="1"/>
    <col min="14340" max="14340" width="14.81640625" style="4" customWidth="1"/>
    <col min="14341" max="14341" width="13.54296875" style="4" customWidth="1"/>
    <col min="14342" max="14342" width="12.1796875" style="4" customWidth="1"/>
    <col min="14343" max="14343" width="11.54296875" style="4" customWidth="1"/>
    <col min="14344" max="14344" width="12" style="4" customWidth="1"/>
    <col min="14345" max="14345" width="12.54296875" style="4" customWidth="1"/>
    <col min="14346" max="14346" width="11.54296875" style="4" customWidth="1"/>
    <col min="14347" max="14347" width="12.453125" style="4" customWidth="1"/>
    <col min="14348" max="14348" width="11.54296875" style="4" customWidth="1"/>
    <col min="14349" max="14349" width="12" style="4" customWidth="1"/>
    <col min="14350" max="14350" width="9" style="4" hidden="1" customWidth="1"/>
    <col min="14351" max="14589" width="9" style="4"/>
    <col min="14590" max="14590" width="1" style="4" customWidth="1"/>
    <col min="14591" max="14591" width="38.1796875" style="4" customWidth="1"/>
    <col min="14592" max="14592" width="12.1796875" style="4" customWidth="1"/>
    <col min="14593" max="14593" width="12.7265625" style="4" customWidth="1"/>
    <col min="14594" max="14594" width="12.453125" style="4" customWidth="1"/>
    <col min="14595" max="14595" width="12" style="4" customWidth="1"/>
    <col min="14596" max="14596" width="14.81640625" style="4" customWidth="1"/>
    <col min="14597" max="14597" width="13.54296875" style="4" customWidth="1"/>
    <col min="14598" max="14598" width="12.1796875" style="4" customWidth="1"/>
    <col min="14599" max="14599" width="11.54296875" style="4" customWidth="1"/>
    <col min="14600" max="14600" width="12" style="4" customWidth="1"/>
    <col min="14601" max="14601" width="12.54296875" style="4" customWidth="1"/>
    <col min="14602" max="14602" width="11.54296875" style="4" customWidth="1"/>
    <col min="14603" max="14603" width="12.453125" style="4" customWidth="1"/>
    <col min="14604" max="14604" width="11.54296875" style="4" customWidth="1"/>
    <col min="14605" max="14605" width="12" style="4" customWidth="1"/>
    <col min="14606" max="14606" width="9" style="4" hidden="1" customWidth="1"/>
    <col min="14607" max="14845" width="9" style="4"/>
    <col min="14846" max="14846" width="1" style="4" customWidth="1"/>
    <col min="14847" max="14847" width="38.1796875" style="4" customWidth="1"/>
    <col min="14848" max="14848" width="12.1796875" style="4" customWidth="1"/>
    <col min="14849" max="14849" width="12.7265625" style="4" customWidth="1"/>
    <col min="14850" max="14850" width="12.453125" style="4" customWidth="1"/>
    <col min="14851" max="14851" width="12" style="4" customWidth="1"/>
    <col min="14852" max="14852" width="14.81640625" style="4" customWidth="1"/>
    <col min="14853" max="14853" width="13.54296875" style="4" customWidth="1"/>
    <col min="14854" max="14854" width="12.1796875" style="4" customWidth="1"/>
    <col min="14855" max="14855" width="11.54296875" style="4" customWidth="1"/>
    <col min="14856" max="14856" width="12" style="4" customWidth="1"/>
    <col min="14857" max="14857" width="12.54296875" style="4" customWidth="1"/>
    <col min="14858" max="14858" width="11.54296875" style="4" customWidth="1"/>
    <col min="14859" max="14859" width="12.453125" style="4" customWidth="1"/>
    <col min="14860" max="14860" width="11.54296875" style="4" customWidth="1"/>
    <col min="14861" max="14861" width="12" style="4" customWidth="1"/>
    <col min="14862" max="14862" width="9" style="4" hidden="1" customWidth="1"/>
    <col min="14863" max="15101" width="9" style="4"/>
    <col min="15102" max="15102" width="1" style="4" customWidth="1"/>
    <col min="15103" max="15103" width="38.1796875" style="4" customWidth="1"/>
    <col min="15104" max="15104" width="12.1796875" style="4" customWidth="1"/>
    <col min="15105" max="15105" width="12.7265625" style="4" customWidth="1"/>
    <col min="15106" max="15106" width="12.453125" style="4" customWidth="1"/>
    <col min="15107" max="15107" width="12" style="4" customWidth="1"/>
    <col min="15108" max="15108" width="14.81640625" style="4" customWidth="1"/>
    <col min="15109" max="15109" width="13.54296875" style="4" customWidth="1"/>
    <col min="15110" max="15110" width="12.1796875" style="4" customWidth="1"/>
    <col min="15111" max="15111" width="11.54296875" style="4" customWidth="1"/>
    <col min="15112" max="15112" width="12" style="4" customWidth="1"/>
    <col min="15113" max="15113" width="12.54296875" style="4" customWidth="1"/>
    <col min="15114" max="15114" width="11.54296875" style="4" customWidth="1"/>
    <col min="15115" max="15115" width="12.453125" style="4" customWidth="1"/>
    <col min="15116" max="15116" width="11.54296875" style="4" customWidth="1"/>
    <col min="15117" max="15117" width="12" style="4" customWidth="1"/>
    <col min="15118" max="15118" width="9" style="4" hidden="1" customWidth="1"/>
    <col min="15119" max="15357" width="9" style="4"/>
    <col min="15358" max="15358" width="1" style="4" customWidth="1"/>
    <col min="15359" max="15359" width="38.1796875" style="4" customWidth="1"/>
    <col min="15360" max="15360" width="12.1796875" style="4" customWidth="1"/>
    <col min="15361" max="15361" width="12.7265625" style="4" customWidth="1"/>
    <col min="15362" max="15362" width="12.453125" style="4" customWidth="1"/>
    <col min="15363" max="15363" width="12" style="4" customWidth="1"/>
    <col min="15364" max="15364" width="14.81640625" style="4" customWidth="1"/>
    <col min="15365" max="15365" width="13.54296875" style="4" customWidth="1"/>
    <col min="15366" max="15366" width="12.1796875" style="4" customWidth="1"/>
    <col min="15367" max="15367" width="11.54296875" style="4" customWidth="1"/>
    <col min="15368" max="15368" width="12" style="4" customWidth="1"/>
    <col min="15369" max="15369" width="12.54296875" style="4" customWidth="1"/>
    <col min="15370" max="15370" width="11.54296875" style="4" customWidth="1"/>
    <col min="15371" max="15371" width="12.453125" style="4" customWidth="1"/>
    <col min="15372" max="15372" width="11.54296875" style="4" customWidth="1"/>
    <col min="15373" max="15373" width="12" style="4" customWidth="1"/>
    <col min="15374" max="15374" width="9" style="4" hidden="1" customWidth="1"/>
    <col min="15375" max="15613" width="9" style="4"/>
    <col min="15614" max="15614" width="1" style="4" customWidth="1"/>
    <col min="15615" max="15615" width="38.1796875" style="4" customWidth="1"/>
    <col min="15616" max="15616" width="12.1796875" style="4" customWidth="1"/>
    <col min="15617" max="15617" width="12.7265625" style="4" customWidth="1"/>
    <col min="15618" max="15618" width="12.453125" style="4" customWidth="1"/>
    <col min="15619" max="15619" width="12" style="4" customWidth="1"/>
    <col min="15620" max="15620" width="14.81640625" style="4" customWidth="1"/>
    <col min="15621" max="15621" width="13.54296875" style="4" customWidth="1"/>
    <col min="15622" max="15622" width="12.1796875" style="4" customWidth="1"/>
    <col min="15623" max="15623" width="11.54296875" style="4" customWidth="1"/>
    <col min="15624" max="15624" width="12" style="4" customWidth="1"/>
    <col min="15625" max="15625" width="12.54296875" style="4" customWidth="1"/>
    <col min="15626" max="15626" width="11.54296875" style="4" customWidth="1"/>
    <col min="15627" max="15627" width="12.453125" style="4" customWidth="1"/>
    <col min="15628" max="15628" width="11.54296875" style="4" customWidth="1"/>
    <col min="15629" max="15629" width="12" style="4" customWidth="1"/>
    <col min="15630" max="15630" width="9" style="4" hidden="1" customWidth="1"/>
    <col min="15631" max="15869" width="9" style="4"/>
    <col min="15870" max="15870" width="1" style="4" customWidth="1"/>
    <col min="15871" max="15871" width="38.1796875" style="4" customWidth="1"/>
    <col min="15872" max="15872" width="12.1796875" style="4" customWidth="1"/>
    <col min="15873" max="15873" width="12.7265625" style="4" customWidth="1"/>
    <col min="15874" max="15874" width="12.453125" style="4" customWidth="1"/>
    <col min="15875" max="15875" width="12" style="4" customWidth="1"/>
    <col min="15876" max="15876" width="14.81640625" style="4" customWidth="1"/>
    <col min="15877" max="15877" width="13.54296875" style="4" customWidth="1"/>
    <col min="15878" max="15878" width="12.1796875" style="4" customWidth="1"/>
    <col min="15879" max="15879" width="11.54296875" style="4" customWidth="1"/>
    <col min="15880" max="15880" width="12" style="4" customWidth="1"/>
    <col min="15881" max="15881" width="12.54296875" style="4" customWidth="1"/>
    <col min="15882" max="15882" width="11.54296875" style="4" customWidth="1"/>
    <col min="15883" max="15883" width="12.453125" style="4" customWidth="1"/>
    <col min="15884" max="15884" width="11.54296875" style="4" customWidth="1"/>
    <col min="15885" max="15885" width="12" style="4" customWidth="1"/>
    <col min="15886" max="15886" width="9" style="4" hidden="1" customWidth="1"/>
    <col min="15887" max="16125" width="9" style="4"/>
    <col min="16126" max="16126" width="1" style="4" customWidth="1"/>
    <col min="16127" max="16127" width="38.1796875" style="4" customWidth="1"/>
    <col min="16128" max="16128" width="12.1796875" style="4" customWidth="1"/>
    <col min="16129" max="16129" width="12.7265625" style="4" customWidth="1"/>
    <col min="16130" max="16130" width="12.453125" style="4" customWidth="1"/>
    <col min="16131" max="16131" width="12" style="4" customWidth="1"/>
    <col min="16132" max="16132" width="14.81640625" style="4" customWidth="1"/>
    <col min="16133" max="16133" width="13.54296875" style="4" customWidth="1"/>
    <col min="16134" max="16134" width="12.1796875" style="4" customWidth="1"/>
    <col min="16135" max="16135" width="11.54296875" style="4" customWidth="1"/>
    <col min="16136" max="16136" width="12" style="4" customWidth="1"/>
    <col min="16137" max="16137" width="12.54296875" style="4" customWidth="1"/>
    <col min="16138" max="16138" width="11.54296875" style="4" customWidth="1"/>
    <col min="16139" max="16139" width="12.453125" style="4" customWidth="1"/>
    <col min="16140" max="16140" width="11.54296875" style="4" customWidth="1"/>
    <col min="16141" max="16141" width="12" style="4" customWidth="1"/>
    <col min="16142" max="16142" width="9" style="4" hidden="1" customWidth="1"/>
    <col min="16143" max="16384" width="9" style="4"/>
  </cols>
  <sheetData>
    <row r="1" spans="1:16" ht="27.75" customHeight="1" thickBot="1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16" ht="36" customHeight="1" x14ac:dyDescent="0.35">
      <c r="A2" s="5"/>
      <c r="B2" s="6" t="s">
        <v>1</v>
      </c>
      <c r="C2" s="7"/>
      <c r="D2" s="8" t="s">
        <v>2</v>
      </c>
      <c r="E2" s="7"/>
      <c r="F2" s="8" t="s">
        <v>3</v>
      </c>
      <c r="G2" s="7"/>
      <c r="H2" s="8" t="s">
        <v>4</v>
      </c>
      <c r="I2" s="6"/>
      <c r="J2" s="9"/>
      <c r="K2" s="7"/>
      <c r="L2" s="8" t="s">
        <v>5</v>
      </c>
      <c r="M2" s="7"/>
      <c r="N2" s="8" t="s">
        <v>6</v>
      </c>
      <c r="O2" s="7"/>
    </row>
    <row r="3" spans="1:16" s="15" customFormat="1" ht="43.5" x14ac:dyDescent="0.35">
      <c r="A3" s="10"/>
      <c r="B3" s="11" t="s">
        <v>7</v>
      </c>
      <c r="C3" s="12" t="s">
        <v>8</v>
      </c>
      <c r="D3" s="11" t="s">
        <v>7</v>
      </c>
      <c r="E3" s="12" t="s">
        <v>8</v>
      </c>
      <c r="F3" s="13" t="s">
        <v>9</v>
      </c>
      <c r="G3" s="12" t="s">
        <v>8</v>
      </c>
      <c r="H3" s="14" t="s">
        <v>10</v>
      </c>
      <c r="I3" s="14" t="s">
        <v>11</v>
      </c>
      <c r="J3" s="14" t="s">
        <v>12</v>
      </c>
      <c r="K3" s="12" t="s">
        <v>8</v>
      </c>
      <c r="L3" s="11" t="s">
        <v>13</v>
      </c>
      <c r="M3" s="12" t="s">
        <v>8</v>
      </c>
      <c r="N3" s="11" t="s">
        <v>14</v>
      </c>
      <c r="O3" s="12" t="s">
        <v>8</v>
      </c>
    </row>
    <row r="4" spans="1:16" s="22" customFormat="1" ht="23.15" customHeight="1" x14ac:dyDescent="0.35">
      <c r="A4" s="16" t="s">
        <v>15</v>
      </c>
      <c r="B4" s="17"/>
      <c r="C4" s="18"/>
      <c r="D4" s="17"/>
      <c r="E4" s="18"/>
      <c r="F4" s="19"/>
      <c r="G4" s="18"/>
      <c r="H4" s="19"/>
      <c r="I4" s="20"/>
      <c r="J4" s="18"/>
      <c r="K4" s="18"/>
      <c r="L4" s="17"/>
      <c r="M4" s="18"/>
      <c r="N4" s="17"/>
      <c r="O4" s="18"/>
      <c r="P4" s="21"/>
    </row>
    <row r="5" spans="1:16" s="22" customFormat="1" ht="23.15" customHeight="1" x14ac:dyDescent="0.35">
      <c r="A5" s="16" t="s">
        <v>16</v>
      </c>
      <c r="B5" s="17"/>
      <c r="C5" s="18"/>
      <c r="D5" s="17"/>
      <c r="E5" s="18"/>
      <c r="F5" s="19"/>
      <c r="G5" s="18"/>
      <c r="H5" s="19"/>
      <c r="I5" s="20"/>
      <c r="J5" s="18"/>
      <c r="K5" s="18"/>
      <c r="L5" s="17"/>
      <c r="M5" s="18"/>
      <c r="N5" s="17"/>
      <c r="O5" s="18"/>
      <c r="P5" s="21"/>
    </row>
    <row r="6" spans="1:16" s="22" customFormat="1" ht="23.15" customHeight="1" x14ac:dyDescent="0.35">
      <c r="A6" s="16" t="s">
        <v>17</v>
      </c>
      <c r="B6" s="17"/>
      <c r="C6" s="18"/>
      <c r="D6" s="17"/>
      <c r="E6" s="18"/>
      <c r="F6" s="19"/>
      <c r="G6" s="18"/>
      <c r="H6" s="19"/>
      <c r="I6" s="20"/>
      <c r="J6" s="18"/>
      <c r="K6" s="18"/>
      <c r="L6" s="17"/>
      <c r="M6" s="18"/>
      <c r="N6" s="17"/>
      <c r="O6" s="18"/>
      <c r="P6" s="21"/>
    </row>
    <row r="7" spans="1:16" s="22" customFormat="1" ht="23.15" customHeight="1" x14ac:dyDescent="0.35">
      <c r="A7" s="16" t="s">
        <v>18</v>
      </c>
      <c r="B7" s="17">
        <v>12.5</v>
      </c>
      <c r="C7" s="18">
        <f t="shared" ref="C7:C31" si="0">B7/230</f>
        <v>5.434782608695652E-2</v>
      </c>
      <c r="D7" s="17">
        <v>13</v>
      </c>
      <c r="E7" s="18">
        <f t="shared" ref="E7:E31" si="1">D7/230</f>
        <v>5.6521739130434782E-2</v>
      </c>
      <c r="F7" s="19">
        <f t="shared" ref="F7:F31" si="2">+D7-J7</f>
        <v>10.7</v>
      </c>
      <c r="G7" s="18">
        <f t="shared" ref="G7:G31" si="3">F7/230</f>
        <v>4.652173913043478E-2</v>
      </c>
      <c r="H7" s="19">
        <v>0.3</v>
      </c>
      <c r="I7" s="20">
        <v>2</v>
      </c>
      <c r="J7" s="18">
        <f t="shared" ref="J7:J31" si="4">I7+H7</f>
        <v>2.2999999999999998</v>
      </c>
      <c r="K7" s="18">
        <f t="shared" ref="K7:K31" si="5">J7/230</f>
        <v>9.9999999999999985E-3</v>
      </c>
      <c r="L7" s="17">
        <v>0.3</v>
      </c>
      <c r="M7" s="18">
        <f t="shared" ref="M7:M31" si="6">L7/230</f>
        <v>1.3043478260869564E-3</v>
      </c>
      <c r="N7" s="17">
        <v>2</v>
      </c>
      <c r="O7" s="18">
        <f t="shared" ref="O7:O31" si="7">N7/230</f>
        <v>8.6956521739130436E-3</v>
      </c>
      <c r="P7" s="21"/>
    </row>
    <row r="8" spans="1:16" s="22" customFormat="1" ht="23.15" customHeight="1" x14ac:dyDescent="0.35">
      <c r="A8" s="16" t="s">
        <v>19</v>
      </c>
      <c r="B8" s="17">
        <v>12.5</v>
      </c>
      <c r="C8" s="18">
        <f t="shared" si="0"/>
        <v>5.434782608695652E-2</v>
      </c>
      <c r="D8" s="17">
        <v>9.5</v>
      </c>
      <c r="E8" s="18">
        <f t="shared" si="1"/>
        <v>4.1304347826086954E-2</v>
      </c>
      <c r="F8" s="19">
        <f t="shared" si="2"/>
        <v>9.5</v>
      </c>
      <c r="G8" s="18">
        <f t="shared" si="3"/>
        <v>4.1304347826086954E-2</v>
      </c>
      <c r="H8" s="19"/>
      <c r="I8" s="20"/>
      <c r="J8" s="18">
        <f t="shared" si="4"/>
        <v>0</v>
      </c>
      <c r="K8" s="18">
        <f t="shared" si="5"/>
        <v>0</v>
      </c>
      <c r="L8" s="17"/>
      <c r="M8" s="18">
        <f t="shared" si="6"/>
        <v>0</v>
      </c>
      <c r="N8" s="17"/>
      <c r="O8" s="18">
        <f t="shared" si="7"/>
        <v>0</v>
      </c>
      <c r="P8" s="21"/>
    </row>
    <row r="9" spans="1:16" s="22" customFormat="1" ht="23.15" customHeight="1" x14ac:dyDescent="0.35">
      <c r="A9" s="16" t="s">
        <v>20</v>
      </c>
      <c r="B9" s="17">
        <v>12.5</v>
      </c>
      <c r="C9" s="18">
        <f t="shared" si="0"/>
        <v>5.434782608695652E-2</v>
      </c>
      <c r="D9" s="17">
        <v>14</v>
      </c>
      <c r="E9" s="18">
        <f t="shared" si="1"/>
        <v>6.0869565217391307E-2</v>
      </c>
      <c r="F9" s="19">
        <f t="shared" si="2"/>
        <v>5.6</v>
      </c>
      <c r="G9" s="18">
        <f t="shared" si="3"/>
        <v>2.4347826086956521E-2</v>
      </c>
      <c r="H9" s="19">
        <v>0.4</v>
      </c>
      <c r="I9" s="20">
        <v>8</v>
      </c>
      <c r="J9" s="18">
        <f t="shared" si="4"/>
        <v>8.4</v>
      </c>
      <c r="K9" s="18">
        <f t="shared" si="5"/>
        <v>3.6521739130434785E-2</v>
      </c>
      <c r="L9" s="17">
        <v>0.4</v>
      </c>
      <c r="M9" s="18">
        <f t="shared" si="6"/>
        <v>1.7391304347826088E-3</v>
      </c>
      <c r="N9" s="17">
        <v>8</v>
      </c>
      <c r="O9" s="18">
        <f t="shared" si="7"/>
        <v>3.4782608695652174E-2</v>
      </c>
      <c r="P9" s="21"/>
    </row>
    <row r="10" spans="1:16" s="22" customFormat="1" ht="23.15" customHeight="1" x14ac:dyDescent="0.35">
      <c r="A10" s="16" t="s">
        <v>21</v>
      </c>
      <c r="B10" s="17">
        <v>10</v>
      </c>
      <c r="C10" s="18">
        <f t="shared" si="0"/>
        <v>4.3478260869565216E-2</v>
      </c>
      <c r="D10" s="17">
        <v>10</v>
      </c>
      <c r="E10" s="18">
        <f t="shared" si="1"/>
        <v>4.3478260869565216E-2</v>
      </c>
      <c r="F10" s="19">
        <f t="shared" si="2"/>
        <v>7.2</v>
      </c>
      <c r="G10" s="18">
        <f t="shared" si="3"/>
        <v>3.1304347826086959E-2</v>
      </c>
      <c r="H10" s="19">
        <v>0.8</v>
      </c>
      <c r="I10" s="20">
        <v>2</v>
      </c>
      <c r="J10" s="18">
        <f t="shared" si="4"/>
        <v>2.8</v>
      </c>
      <c r="K10" s="18">
        <f t="shared" si="5"/>
        <v>1.2173913043478261E-2</v>
      </c>
      <c r="L10" s="17">
        <v>2.8</v>
      </c>
      <c r="M10" s="18">
        <f t="shared" si="6"/>
        <v>1.2173913043478261E-2</v>
      </c>
      <c r="N10" s="17"/>
      <c r="O10" s="18">
        <f t="shared" si="7"/>
        <v>0</v>
      </c>
      <c r="P10" s="21"/>
    </row>
    <row r="11" spans="1:16" s="22" customFormat="1" ht="23.15" customHeight="1" x14ac:dyDescent="0.35">
      <c r="A11" s="16" t="s">
        <v>22</v>
      </c>
      <c r="B11" s="17">
        <v>10</v>
      </c>
      <c r="C11" s="18">
        <f t="shared" si="0"/>
        <v>4.3478260869565216E-2</v>
      </c>
      <c r="D11" s="17">
        <v>7</v>
      </c>
      <c r="E11" s="18">
        <f t="shared" si="1"/>
        <v>3.0434782608695653E-2</v>
      </c>
      <c r="F11" s="19">
        <f t="shared" si="2"/>
        <v>6.4</v>
      </c>
      <c r="G11" s="18">
        <f t="shared" si="3"/>
        <v>2.782608695652174E-2</v>
      </c>
      <c r="H11" s="19">
        <v>0.6</v>
      </c>
      <c r="I11" s="20"/>
      <c r="J11" s="18">
        <f t="shared" si="4"/>
        <v>0.6</v>
      </c>
      <c r="K11" s="18">
        <f t="shared" si="5"/>
        <v>2.6086956521739128E-3</v>
      </c>
      <c r="L11" s="17">
        <v>0.6</v>
      </c>
      <c r="M11" s="18">
        <f t="shared" si="6"/>
        <v>2.6086956521739128E-3</v>
      </c>
      <c r="N11" s="17"/>
      <c r="O11" s="18">
        <f t="shared" si="7"/>
        <v>0</v>
      </c>
      <c r="P11" s="21"/>
    </row>
    <row r="12" spans="1:16" s="22" customFormat="1" ht="23.15" customHeight="1" x14ac:dyDescent="0.35">
      <c r="A12" s="16" t="s">
        <v>23</v>
      </c>
      <c r="B12" s="17">
        <v>12</v>
      </c>
      <c r="C12" s="18">
        <f t="shared" si="0"/>
        <v>5.2173913043478258E-2</v>
      </c>
      <c r="D12" s="17">
        <v>13</v>
      </c>
      <c r="E12" s="18">
        <f t="shared" si="1"/>
        <v>5.6521739130434782E-2</v>
      </c>
      <c r="F12" s="19">
        <f t="shared" si="2"/>
        <v>12.8</v>
      </c>
      <c r="G12" s="18">
        <f t="shared" si="3"/>
        <v>5.565217391304348E-2</v>
      </c>
      <c r="H12" s="19">
        <v>0.2</v>
      </c>
      <c r="I12" s="20"/>
      <c r="J12" s="18">
        <f t="shared" si="4"/>
        <v>0.2</v>
      </c>
      <c r="K12" s="18">
        <f t="shared" si="5"/>
        <v>8.6956521739130438E-4</v>
      </c>
      <c r="L12" s="17">
        <v>0.2</v>
      </c>
      <c r="M12" s="18">
        <f t="shared" si="6"/>
        <v>8.6956521739130438E-4</v>
      </c>
      <c r="N12" s="17"/>
      <c r="O12" s="18">
        <f t="shared" si="7"/>
        <v>0</v>
      </c>
      <c r="P12" s="21"/>
    </row>
    <row r="13" spans="1:16" s="22" customFormat="1" ht="23.15" customHeight="1" x14ac:dyDescent="0.35">
      <c r="A13" s="16" t="s">
        <v>24</v>
      </c>
      <c r="B13" s="17">
        <v>5</v>
      </c>
      <c r="C13" s="18">
        <f t="shared" si="0"/>
        <v>2.1739130434782608E-2</v>
      </c>
      <c r="D13" s="17">
        <v>6</v>
      </c>
      <c r="E13" s="18">
        <f t="shared" si="1"/>
        <v>2.6086956521739129E-2</v>
      </c>
      <c r="F13" s="19">
        <f t="shared" si="2"/>
        <v>5.7</v>
      </c>
      <c r="G13" s="18">
        <f t="shared" si="3"/>
        <v>2.4782608695652176E-2</v>
      </c>
      <c r="H13" s="19">
        <v>0.3</v>
      </c>
      <c r="I13" s="20"/>
      <c r="J13" s="18">
        <f t="shared" si="4"/>
        <v>0.3</v>
      </c>
      <c r="K13" s="18">
        <f t="shared" si="5"/>
        <v>1.3043478260869564E-3</v>
      </c>
      <c r="L13" s="17">
        <v>0.3</v>
      </c>
      <c r="M13" s="18">
        <f t="shared" si="6"/>
        <v>1.3043478260869564E-3</v>
      </c>
      <c r="N13" s="17"/>
      <c r="O13" s="18">
        <f t="shared" si="7"/>
        <v>0</v>
      </c>
      <c r="P13" s="21"/>
    </row>
    <row r="14" spans="1:16" s="22" customFormat="1" ht="23.15" customHeight="1" x14ac:dyDescent="0.35">
      <c r="A14" s="16" t="s">
        <v>25</v>
      </c>
      <c r="B14" s="17">
        <v>15</v>
      </c>
      <c r="C14" s="18">
        <f t="shared" si="0"/>
        <v>6.5217391304347824E-2</v>
      </c>
      <c r="D14" s="17">
        <v>18</v>
      </c>
      <c r="E14" s="18">
        <f t="shared" si="1"/>
        <v>7.8260869565217397E-2</v>
      </c>
      <c r="F14" s="19">
        <f t="shared" si="2"/>
        <v>18</v>
      </c>
      <c r="G14" s="18">
        <f t="shared" si="3"/>
        <v>7.8260869565217397E-2</v>
      </c>
      <c r="H14" s="19"/>
      <c r="I14" s="20"/>
      <c r="J14" s="18">
        <f t="shared" si="4"/>
        <v>0</v>
      </c>
      <c r="K14" s="18">
        <f t="shared" si="5"/>
        <v>0</v>
      </c>
      <c r="L14" s="17"/>
      <c r="M14" s="18">
        <f t="shared" si="6"/>
        <v>0</v>
      </c>
      <c r="N14" s="17"/>
      <c r="O14" s="18">
        <f t="shared" si="7"/>
        <v>0</v>
      </c>
      <c r="P14" s="21"/>
    </row>
    <row r="15" spans="1:16" s="22" customFormat="1" ht="23.15" customHeight="1" x14ac:dyDescent="0.35">
      <c r="A15" s="16" t="s">
        <v>26</v>
      </c>
      <c r="B15" s="17">
        <v>10</v>
      </c>
      <c r="C15" s="18">
        <f t="shared" si="0"/>
        <v>4.3478260869565216E-2</v>
      </c>
      <c r="D15" s="17">
        <v>9</v>
      </c>
      <c r="E15" s="18">
        <f t="shared" si="1"/>
        <v>3.9130434782608699E-2</v>
      </c>
      <c r="F15" s="19">
        <f t="shared" si="2"/>
        <v>9</v>
      </c>
      <c r="G15" s="18">
        <f t="shared" si="3"/>
        <v>3.9130434782608699E-2</v>
      </c>
      <c r="H15" s="19"/>
      <c r="I15" s="20"/>
      <c r="J15" s="18">
        <f t="shared" si="4"/>
        <v>0</v>
      </c>
      <c r="K15" s="18">
        <f t="shared" si="5"/>
        <v>0</v>
      </c>
      <c r="L15" s="17"/>
      <c r="M15" s="18">
        <f t="shared" si="6"/>
        <v>0</v>
      </c>
      <c r="N15" s="17"/>
      <c r="O15" s="18">
        <f t="shared" si="7"/>
        <v>0</v>
      </c>
      <c r="P15" s="21"/>
    </row>
    <row r="16" spans="1:16" s="22" customFormat="1" ht="23.15" customHeight="1" x14ac:dyDescent="0.35">
      <c r="A16" s="16" t="s">
        <v>27</v>
      </c>
      <c r="B16" s="17">
        <v>9</v>
      </c>
      <c r="C16" s="18">
        <f t="shared" si="0"/>
        <v>3.9130434782608699E-2</v>
      </c>
      <c r="D16" s="17">
        <v>10</v>
      </c>
      <c r="E16" s="18">
        <f t="shared" si="1"/>
        <v>4.3478260869565216E-2</v>
      </c>
      <c r="F16" s="19">
        <f t="shared" si="2"/>
        <v>8.6</v>
      </c>
      <c r="G16" s="18">
        <f t="shared" si="3"/>
        <v>3.7391304347826088E-2</v>
      </c>
      <c r="H16" s="19">
        <v>0.6</v>
      </c>
      <c r="I16" s="20">
        <v>0.8</v>
      </c>
      <c r="J16" s="18">
        <f t="shared" si="4"/>
        <v>1.4</v>
      </c>
      <c r="K16" s="18">
        <f t="shared" si="5"/>
        <v>6.0869565217391303E-3</v>
      </c>
      <c r="L16" s="17">
        <v>1.4</v>
      </c>
      <c r="M16" s="18">
        <f t="shared" si="6"/>
        <v>6.0869565217391303E-3</v>
      </c>
      <c r="N16" s="17"/>
      <c r="O16" s="18">
        <f t="shared" si="7"/>
        <v>0</v>
      </c>
      <c r="P16" s="21"/>
    </row>
    <row r="17" spans="1:16" s="22" customFormat="1" ht="23.15" customHeight="1" x14ac:dyDescent="0.35">
      <c r="A17" s="16" t="s">
        <v>28</v>
      </c>
      <c r="B17" s="17">
        <v>7.5</v>
      </c>
      <c r="C17" s="18">
        <f t="shared" si="0"/>
        <v>3.2608695652173912E-2</v>
      </c>
      <c r="D17" s="17">
        <v>6.5</v>
      </c>
      <c r="E17" s="18">
        <f t="shared" si="1"/>
        <v>2.8260869565217391E-2</v>
      </c>
      <c r="F17" s="19">
        <f t="shared" si="2"/>
        <v>6.2</v>
      </c>
      <c r="G17" s="18">
        <f t="shared" si="3"/>
        <v>2.6956521739130435E-2</v>
      </c>
      <c r="H17" s="19">
        <v>0.3</v>
      </c>
      <c r="I17" s="20"/>
      <c r="J17" s="18">
        <f t="shared" si="4"/>
        <v>0.3</v>
      </c>
      <c r="K17" s="18">
        <f t="shared" si="5"/>
        <v>1.3043478260869564E-3</v>
      </c>
      <c r="L17" s="17">
        <v>0.3</v>
      </c>
      <c r="M17" s="18">
        <f t="shared" si="6"/>
        <v>1.3043478260869564E-3</v>
      </c>
      <c r="N17" s="17"/>
      <c r="O17" s="18">
        <f t="shared" si="7"/>
        <v>0</v>
      </c>
      <c r="P17" s="21"/>
    </row>
    <row r="18" spans="1:16" s="22" customFormat="1" ht="23.15" customHeight="1" x14ac:dyDescent="0.35">
      <c r="A18" s="16" t="s">
        <v>29</v>
      </c>
      <c r="B18" s="17">
        <v>6</v>
      </c>
      <c r="C18" s="18">
        <f t="shared" si="0"/>
        <v>2.6086956521739129E-2</v>
      </c>
      <c r="D18" s="17">
        <v>6</v>
      </c>
      <c r="E18" s="18">
        <f t="shared" si="1"/>
        <v>2.6086956521739129E-2</v>
      </c>
      <c r="F18" s="19">
        <f t="shared" si="2"/>
        <v>3.4</v>
      </c>
      <c r="G18" s="18">
        <f t="shared" si="3"/>
        <v>1.4782608695652174E-2</v>
      </c>
      <c r="H18" s="19">
        <v>0.6</v>
      </c>
      <c r="I18" s="20">
        <v>2</v>
      </c>
      <c r="J18" s="18">
        <f t="shared" si="4"/>
        <v>2.6</v>
      </c>
      <c r="K18" s="18">
        <f t="shared" si="5"/>
        <v>1.1304347826086957E-2</v>
      </c>
      <c r="L18" s="17">
        <v>2.6</v>
      </c>
      <c r="M18" s="18">
        <f t="shared" si="6"/>
        <v>1.1304347826086957E-2</v>
      </c>
      <c r="N18" s="17"/>
      <c r="O18" s="18">
        <f t="shared" si="7"/>
        <v>0</v>
      </c>
      <c r="P18" s="21"/>
    </row>
    <row r="19" spans="1:16" s="22" customFormat="1" ht="23.15" customHeight="1" x14ac:dyDescent="0.35">
      <c r="A19" s="16" t="s">
        <v>30</v>
      </c>
      <c r="B19" s="17">
        <v>6</v>
      </c>
      <c r="C19" s="18">
        <f t="shared" si="0"/>
        <v>2.6086956521739129E-2</v>
      </c>
      <c r="D19" s="17">
        <v>7</v>
      </c>
      <c r="E19" s="18">
        <f t="shared" si="1"/>
        <v>3.0434782608695653E-2</v>
      </c>
      <c r="F19" s="19">
        <f t="shared" si="2"/>
        <v>6.6</v>
      </c>
      <c r="G19" s="18">
        <f t="shared" si="3"/>
        <v>2.8695652173913042E-2</v>
      </c>
      <c r="H19" s="19">
        <v>0.4</v>
      </c>
      <c r="I19" s="20"/>
      <c r="J19" s="18">
        <f t="shared" si="4"/>
        <v>0.4</v>
      </c>
      <c r="K19" s="18">
        <f t="shared" si="5"/>
        <v>1.7391304347826088E-3</v>
      </c>
      <c r="L19" s="17">
        <v>0.4</v>
      </c>
      <c r="M19" s="18">
        <f t="shared" si="6"/>
        <v>1.7391304347826088E-3</v>
      </c>
      <c r="N19" s="17"/>
      <c r="O19" s="18">
        <f t="shared" si="7"/>
        <v>0</v>
      </c>
      <c r="P19" s="21"/>
    </row>
    <row r="20" spans="1:16" s="22" customFormat="1" ht="23.15" customHeight="1" x14ac:dyDescent="0.35">
      <c r="A20" s="16" t="s">
        <v>31</v>
      </c>
      <c r="B20" s="17">
        <v>4</v>
      </c>
      <c r="C20" s="18">
        <f t="shared" si="0"/>
        <v>1.7391304347826087E-2</v>
      </c>
      <c r="D20" s="17">
        <v>3</v>
      </c>
      <c r="E20" s="18">
        <f t="shared" si="1"/>
        <v>1.3043478260869565E-2</v>
      </c>
      <c r="F20" s="19">
        <f t="shared" si="2"/>
        <v>2.5</v>
      </c>
      <c r="G20" s="18">
        <f t="shared" si="3"/>
        <v>1.0869565217391304E-2</v>
      </c>
      <c r="H20" s="19">
        <v>0.5</v>
      </c>
      <c r="I20" s="20"/>
      <c r="J20" s="18">
        <f t="shared" si="4"/>
        <v>0.5</v>
      </c>
      <c r="K20" s="18">
        <f t="shared" si="5"/>
        <v>2.1739130434782609E-3</v>
      </c>
      <c r="L20" s="17">
        <v>0.5</v>
      </c>
      <c r="M20" s="18">
        <f t="shared" si="6"/>
        <v>2.1739130434782609E-3</v>
      </c>
      <c r="N20" s="17"/>
      <c r="O20" s="18">
        <f t="shared" si="7"/>
        <v>0</v>
      </c>
      <c r="P20" s="21"/>
    </row>
    <row r="21" spans="1:16" s="22" customFormat="1" ht="23.15" customHeight="1" x14ac:dyDescent="0.35">
      <c r="A21" s="16" t="s">
        <v>32</v>
      </c>
      <c r="B21" s="17">
        <v>7.5</v>
      </c>
      <c r="C21" s="18">
        <f t="shared" si="0"/>
        <v>3.2608695652173912E-2</v>
      </c>
      <c r="D21" s="17">
        <v>7</v>
      </c>
      <c r="E21" s="18">
        <f t="shared" si="1"/>
        <v>3.0434782608695653E-2</v>
      </c>
      <c r="F21" s="19">
        <f t="shared" si="2"/>
        <v>5.0999999999999996</v>
      </c>
      <c r="G21" s="18">
        <f t="shared" si="3"/>
        <v>2.2173913043478259E-2</v>
      </c>
      <c r="H21" s="19">
        <v>0.4</v>
      </c>
      <c r="I21" s="20">
        <v>1.5</v>
      </c>
      <c r="J21" s="18">
        <f t="shared" si="4"/>
        <v>1.9</v>
      </c>
      <c r="K21" s="18">
        <f t="shared" si="5"/>
        <v>8.2608695652173908E-3</v>
      </c>
      <c r="L21" s="17">
        <v>1.9</v>
      </c>
      <c r="M21" s="18">
        <f t="shared" si="6"/>
        <v>8.2608695652173908E-3</v>
      </c>
      <c r="N21" s="17"/>
      <c r="O21" s="18">
        <f t="shared" si="7"/>
        <v>0</v>
      </c>
      <c r="P21" s="21"/>
    </row>
    <row r="22" spans="1:16" s="22" customFormat="1" ht="23.15" customHeight="1" x14ac:dyDescent="0.35">
      <c r="A22" s="16" t="s">
        <v>33</v>
      </c>
      <c r="B22" s="17">
        <v>15</v>
      </c>
      <c r="C22" s="18">
        <f t="shared" si="0"/>
        <v>6.5217391304347824E-2</v>
      </c>
      <c r="D22" s="17">
        <v>15</v>
      </c>
      <c r="E22" s="18">
        <f t="shared" si="1"/>
        <v>6.5217391304347824E-2</v>
      </c>
      <c r="F22" s="19">
        <f t="shared" si="2"/>
        <v>13</v>
      </c>
      <c r="G22" s="18">
        <f t="shared" si="3"/>
        <v>5.6521739130434782E-2</v>
      </c>
      <c r="H22" s="19">
        <v>2</v>
      </c>
      <c r="I22" s="20"/>
      <c r="J22" s="18">
        <f t="shared" si="4"/>
        <v>2</v>
      </c>
      <c r="K22" s="18">
        <f t="shared" si="5"/>
        <v>8.6956521739130436E-3</v>
      </c>
      <c r="L22" s="17">
        <v>2</v>
      </c>
      <c r="M22" s="18">
        <f t="shared" si="6"/>
        <v>8.6956521739130436E-3</v>
      </c>
      <c r="N22" s="17"/>
      <c r="O22" s="18">
        <f t="shared" si="7"/>
        <v>0</v>
      </c>
      <c r="P22" s="21"/>
    </row>
    <row r="23" spans="1:16" s="22" customFormat="1" ht="23.15" customHeight="1" x14ac:dyDescent="0.35">
      <c r="A23" s="16" t="s">
        <v>34</v>
      </c>
      <c r="B23" s="17">
        <v>18</v>
      </c>
      <c r="C23" s="18">
        <f t="shared" si="0"/>
        <v>7.8260869565217397E-2</v>
      </c>
      <c r="D23" s="17">
        <v>18</v>
      </c>
      <c r="E23" s="18">
        <f t="shared" si="1"/>
        <v>7.8260869565217397E-2</v>
      </c>
      <c r="F23" s="19">
        <f t="shared" si="2"/>
        <v>16</v>
      </c>
      <c r="G23" s="18">
        <f t="shared" si="3"/>
        <v>6.9565217391304349E-2</v>
      </c>
      <c r="H23" s="19">
        <v>0.5</v>
      </c>
      <c r="I23" s="20">
        <v>1.5</v>
      </c>
      <c r="J23" s="18">
        <f t="shared" si="4"/>
        <v>2</v>
      </c>
      <c r="K23" s="18">
        <f t="shared" si="5"/>
        <v>8.6956521739130436E-3</v>
      </c>
      <c r="L23" s="17">
        <v>2</v>
      </c>
      <c r="M23" s="18">
        <f t="shared" si="6"/>
        <v>8.6956521739130436E-3</v>
      </c>
      <c r="N23" s="17"/>
      <c r="O23" s="18">
        <f t="shared" si="7"/>
        <v>0</v>
      </c>
      <c r="P23" s="21"/>
    </row>
    <row r="24" spans="1:16" s="22" customFormat="1" ht="23.15" customHeight="1" x14ac:dyDescent="0.35">
      <c r="A24" s="16" t="s">
        <v>35</v>
      </c>
      <c r="B24" s="17">
        <v>7.5</v>
      </c>
      <c r="C24" s="18">
        <f t="shared" si="0"/>
        <v>3.2608695652173912E-2</v>
      </c>
      <c r="D24" s="17">
        <v>7</v>
      </c>
      <c r="E24" s="18">
        <f t="shared" si="1"/>
        <v>3.0434782608695653E-2</v>
      </c>
      <c r="F24" s="19">
        <f t="shared" si="2"/>
        <v>6.7</v>
      </c>
      <c r="G24" s="18">
        <f t="shared" si="3"/>
        <v>2.9130434782608697E-2</v>
      </c>
      <c r="H24" s="19">
        <v>0.3</v>
      </c>
      <c r="I24" s="20"/>
      <c r="J24" s="18">
        <f t="shared" si="4"/>
        <v>0.3</v>
      </c>
      <c r="K24" s="18">
        <f t="shared" si="5"/>
        <v>1.3043478260869564E-3</v>
      </c>
      <c r="L24" s="17">
        <v>0.3</v>
      </c>
      <c r="M24" s="18">
        <f t="shared" si="6"/>
        <v>1.3043478260869564E-3</v>
      </c>
      <c r="N24" s="17"/>
      <c r="O24" s="18">
        <f t="shared" si="7"/>
        <v>0</v>
      </c>
      <c r="P24" s="21"/>
    </row>
    <row r="25" spans="1:16" s="22" customFormat="1" ht="23.15" customHeight="1" x14ac:dyDescent="0.35">
      <c r="A25" s="16" t="s">
        <v>36</v>
      </c>
      <c r="B25" s="17">
        <v>12.5</v>
      </c>
      <c r="C25" s="18">
        <f t="shared" si="0"/>
        <v>5.434782608695652E-2</v>
      </c>
      <c r="D25" s="17">
        <v>15</v>
      </c>
      <c r="E25" s="18">
        <f t="shared" si="1"/>
        <v>6.5217391304347824E-2</v>
      </c>
      <c r="F25" s="19">
        <f t="shared" si="2"/>
        <v>15</v>
      </c>
      <c r="G25" s="18">
        <f t="shared" si="3"/>
        <v>6.5217391304347824E-2</v>
      </c>
      <c r="H25" s="19"/>
      <c r="I25" s="20"/>
      <c r="J25" s="18">
        <f t="shared" si="4"/>
        <v>0</v>
      </c>
      <c r="K25" s="18">
        <f t="shared" si="5"/>
        <v>0</v>
      </c>
      <c r="L25" s="17"/>
      <c r="M25" s="18">
        <f t="shared" si="6"/>
        <v>0</v>
      </c>
      <c r="N25" s="17"/>
      <c r="O25" s="18">
        <f t="shared" si="7"/>
        <v>0</v>
      </c>
      <c r="P25" s="21"/>
    </row>
    <row r="26" spans="1:16" s="22" customFormat="1" ht="23.15" customHeight="1" x14ac:dyDescent="0.35">
      <c r="A26" s="16" t="s">
        <v>37</v>
      </c>
      <c r="B26" s="17">
        <v>6</v>
      </c>
      <c r="C26" s="18">
        <f t="shared" si="0"/>
        <v>2.6086956521739129E-2</v>
      </c>
      <c r="D26" s="17">
        <v>6</v>
      </c>
      <c r="E26" s="18">
        <f t="shared" si="1"/>
        <v>2.6086956521739129E-2</v>
      </c>
      <c r="F26" s="19">
        <f t="shared" si="2"/>
        <v>6</v>
      </c>
      <c r="G26" s="18">
        <f t="shared" si="3"/>
        <v>2.6086956521739129E-2</v>
      </c>
      <c r="H26" s="19"/>
      <c r="I26" s="20"/>
      <c r="J26" s="18">
        <f t="shared" si="4"/>
        <v>0</v>
      </c>
      <c r="K26" s="18">
        <f t="shared" si="5"/>
        <v>0</v>
      </c>
      <c r="L26" s="17"/>
      <c r="M26" s="18">
        <f t="shared" si="6"/>
        <v>0</v>
      </c>
      <c r="N26" s="17"/>
      <c r="O26" s="18">
        <f t="shared" si="7"/>
        <v>0</v>
      </c>
      <c r="P26" s="21"/>
    </row>
    <row r="27" spans="1:16" s="22" customFormat="1" ht="23.15" customHeight="1" x14ac:dyDescent="0.35">
      <c r="A27" s="16" t="s">
        <v>38</v>
      </c>
      <c r="B27" s="17">
        <v>7.5</v>
      </c>
      <c r="C27" s="18">
        <f t="shared" si="0"/>
        <v>3.2608695652173912E-2</v>
      </c>
      <c r="D27" s="17">
        <v>10</v>
      </c>
      <c r="E27" s="18">
        <f t="shared" si="1"/>
        <v>4.3478260869565216E-2</v>
      </c>
      <c r="F27" s="19">
        <f t="shared" si="2"/>
        <v>9.1999999999999993</v>
      </c>
      <c r="G27" s="18">
        <f t="shared" si="3"/>
        <v>3.9999999999999994E-2</v>
      </c>
      <c r="H27" s="19">
        <v>0.8</v>
      </c>
      <c r="I27" s="20"/>
      <c r="J27" s="18">
        <f t="shared" si="4"/>
        <v>0.8</v>
      </c>
      <c r="K27" s="18">
        <f t="shared" si="5"/>
        <v>3.4782608695652175E-3</v>
      </c>
      <c r="L27" s="17">
        <v>0.8</v>
      </c>
      <c r="M27" s="18">
        <f t="shared" si="6"/>
        <v>3.4782608695652175E-3</v>
      </c>
      <c r="N27" s="17"/>
      <c r="O27" s="18">
        <f t="shared" si="7"/>
        <v>0</v>
      </c>
      <c r="P27" s="21"/>
    </row>
    <row r="28" spans="1:16" s="22" customFormat="1" ht="23.15" customHeight="1" x14ac:dyDescent="0.35">
      <c r="A28" s="16" t="s">
        <v>39</v>
      </c>
      <c r="B28" s="17">
        <v>5</v>
      </c>
      <c r="C28" s="18">
        <f t="shared" si="0"/>
        <v>2.1739130434782608E-2</v>
      </c>
      <c r="D28" s="17">
        <v>6.4</v>
      </c>
      <c r="E28" s="18">
        <f t="shared" si="1"/>
        <v>2.782608695652174E-2</v>
      </c>
      <c r="F28" s="19">
        <f t="shared" si="2"/>
        <v>6.4</v>
      </c>
      <c r="G28" s="18">
        <f t="shared" si="3"/>
        <v>2.782608695652174E-2</v>
      </c>
      <c r="H28" s="19"/>
      <c r="I28" s="20"/>
      <c r="J28" s="18">
        <f t="shared" si="4"/>
        <v>0</v>
      </c>
      <c r="K28" s="18">
        <f t="shared" si="5"/>
        <v>0</v>
      </c>
      <c r="L28" s="17"/>
      <c r="M28" s="18">
        <f t="shared" si="6"/>
        <v>0</v>
      </c>
      <c r="N28" s="17"/>
      <c r="O28" s="18">
        <f t="shared" si="7"/>
        <v>0</v>
      </c>
      <c r="P28" s="21"/>
    </row>
    <row r="29" spans="1:16" s="22" customFormat="1" ht="23.15" customHeight="1" x14ac:dyDescent="0.35">
      <c r="A29" s="16" t="s">
        <v>40</v>
      </c>
      <c r="B29" s="17">
        <v>5</v>
      </c>
      <c r="C29" s="18">
        <f t="shared" si="0"/>
        <v>2.1739130434782608E-2</v>
      </c>
      <c r="D29" s="17">
        <v>5</v>
      </c>
      <c r="E29" s="18">
        <f t="shared" si="1"/>
        <v>2.1739130434782608E-2</v>
      </c>
      <c r="F29" s="19">
        <f t="shared" si="2"/>
        <v>5</v>
      </c>
      <c r="G29" s="18">
        <f t="shared" si="3"/>
        <v>2.1739130434782608E-2</v>
      </c>
      <c r="H29" s="19"/>
      <c r="I29" s="20"/>
      <c r="J29" s="18">
        <f t="shared" si="4"/>
        <v>0</v>
      </c>
      <c r="K29" s="18">
        <f t="shared" si="5"/>
        <v>0</v>
      </c>
      <c r="L29" s="17"/>
      <c r="M29" s="18">
        <f t="shared" si="6"/>
        <v>0</v>
      </c>
      <c r="N29" s="17"/>
      <c r="O29" s="18">
        <f t="shared" si="7"/>
        <v>0</v>
      </c>
      <c r="P29" s="21"/>
    </row>
    <row r="30" spans="1:16" s="22" customFormat="1" ht="23.15" customHeight="1" x14ac:dyDescent="0.35">
      <c r="A30" s="16" t="s">
        <v>41</v>
      </c>
      <c r="B30" s="17">
        <v>5</v>
      </c>
      <c r="C30" s="18">
        <f t="shared" si="0"/>
        <v>2.1739130434782608E-2</v>
      </c>
      <c r="D30" s="17">
        <v>6</v>
      </c>
      <c r="E30" s="18">
        <f t="shared" si="1"/>
        <v>2.6086956521739129E-2</v>
      </c>
      <c r="F30" s="19">
        <f t="shared" si="2"/>
        <v>5.2</v>
      </c>
      <c r="G30" s="18">
        <f t="shared" si="3"/>
        <v>2.2608695652173914E-2</v>
      </c>
      <c r="H30" s="19">
        <v>0.8</v>
      </c>
      <c r="I30" s="20"/>
      <c r="J30" s="18">
        <f t="shared" si="4"/>
        <v>0.8</v>
      </c>
      <c r="K30" s="18">
        <f t="shared" si="5"/>
        <v>3.4782608695652175E-3</v>
      </c>
      <c r="L30" s="17">
        <v>0.8</v>
      </c>
      <c r="M30" s="18">
        <f t="shared" si="6"/>
        <v>3.4782608695652175E-3</v>
      </c>
      <c r="N30" s="17"/>
      <c r="O30" s="18">
        <f t="shared" si="7"/>
        <v>0</v>
      </c>
      <c r="P30" s="21"/>
    </row>
    <row r="31" spans="1:16" s="28" customFormat="1" ht="23.15" customHeight="1" x14ac:dyDescent="0.35">
      <c r="A31" s="23"/>
      <c r="B31" s="24">
        <f>SUM(B4:B30)</f>
        <v>221</v>
      </c>
      <c r="C31" s="25">
        <f t="shared" si="0"/>
        <v>0.96086956521739131</v>
      </c>
      <c r="D31" s="24">
        <f>SUM(D4:D30)</f>
        <v>227.4</v>
      </c>
      <c r="E31" s="25">
        <f t="shared" si="1"/>
        <v>0.98869565217391309</v>
      </c>
      <c r="F31" s="26">
        <f t="shared" si="2"/>
        <v>199.8</v>
      </c>
      <c r="G31" s="25">
        <f t="shared" si="3"/>
        <v>0.86869565217391309</v>
      </c>
      <c r="H31" s="24">
        <f>SUM(H4:H30)</f>
        <v>9.8000000000000025</v>
      </c>
      <c r="I31" s="24">
        <f>SUM(I4:I30)</f>
        <v>17.8</v>
      </c>
      <c r="J31" s="25">
        <f t="shared" si="4"/>
        <v>27.6</v>
      </c>
      <c r="K31" s="25">
        <f t="shared" si="5"/>
        <v>0.12000000000000001</v>
      </c>
      <c r="L31" s="24">
        <f>SUM(L4:L30)</f>
        <v>17.600000000000001</v>
      </c>
      <c r="M31" s="25">
        <f t="shared" si="6"/>
        <v>7.6521739130434793E-2</v>
      </c>
      <c r="N31" s="24">
        <f>SUM(N4:N30)</f>
        <v>10</v>
      </c>
      <c r="O31" s="25">
        <f t="shared" si="7"/>
        <v>4.3478260869565216E-2</v>
      </c>
      <c r="P31" s="27"/>
    </row>
    <row r="32" spans="1:16" s="22" customFormat="1" ht="23.15" customHeight="1" x14ac:dyDescent="0.35">
      <c r="A32" s="29" t="s">
        <v>42</v>
      </c>
      <c r="B32" s="30"/>
      <c r="C32" s="18"/>
      <c r="D32" s="17"/>
      <c r="E32" s="18"/>
      <c r="F32" s="19"/>
      <c r="G32" s="18"/>
      <c r="H32" s="19"/>
      <c r="I32" s="20"/>
      <c r="J32" s="30"/>
      <c r="K32" s="18"/>
      <c r="L32" s="17"/>
      <c r="M32" s="18"/>
      <c r="N32" s="17"/>
      <c r="O32" s="18"/>
      <c r="P32" s="21"/>
    </row>
    <row r="33" spans="1:16" s="22" customFormat="1" ht="23.15" customHeight="1" x14ac:dyDescent="0.35">
      <c r="A33" s="16" t="s">
        <v>43</v>
      </c>
      <c r="B33" s="30">
        <v>7.5</v>
      </c>
      <c r="C33" s="18">
        <f t="shared" ref="C33:C51" si="8">B33/230</f>
        <v>3.2608695652173912E-2</v>
      </c>
      <c r="D33" s="30">
        <v>8</v>
      </c>
      <c r="E33" s="18">
        <f t="shared" ref="E33:E51" si="9">D33/230</f>
        <v>3.4782608695652174E-2</v>
      </c>
      <c r="F33" s="19">
        <f t="shared" ref="F33:F51" si="10">+D33-J33</f>
        <v>7.3</v>
      </c>
      <c r="G33" s="18">
        <f t="shared" ref="G33:G51" si="11">F33/230</f>
        <v>3.173913043478261E-2</v>
      </c>
      <c r="H33" s="19">
        <v>0.7</v>
      </c>
      <c r="I33" s="20"/>
      <c r="J33" s="18">
        <f t="shared" ref="J33:J51" si="12">I33+H33</f>
        <v>0.7</v>
      </c>
      <c r="K33" s="18">
        <f t="shared" ref="K33:K51" si="13">J33/230</f>
        <v>3.0434782608695652E-3</v>
      </c>
      <c r="L33" s="17">
        <v>0.7</v>
      </c>
      <c r="M33" s="18">
        <f t="shared" ref="M33:M51" si="14">L33/230</f>
        <v>3.0434782608695652E-3</v>
      </c>
      <c r="N33" s="17"/>
      <c r="O33" s="18">
        <f t="shared" ref="O33:O51" si="15">N33/230</f>
        <v>0</v>
      </c>
      <c r="P33" s="21"/>
    </row>
    <row r="34" spans="1:16" s="22" customFormat="1" ht="23.15" customHeight="1" x14ac:dyDescent="0.35">
      <c r="A34" s="16" t="s">
        <v>44</v>
      </c>
      <c r="B34" s="30">
        <v>10</v>
      </c>
      <c r="C34" s="18">
        <f t="shared" si="8"/>
        <v>4.3478260869565216E-2</v>
      </c>
      <c r="D34" s="30">
        <v>10</v>
      </c>
      <c r="E34" s="18">
        <f t="shared" si="9"/>
        <v>4.3478260869565216E-2</v>
      </c>
      <c r="F34" s="19">
        <f t="shared" si="10"/>
        <v>9</v>
      </c>
      <c r="G34" s="18">
        <f t="shared" si="11"/>
        <v>3.9130434782608699E-2</v>
      </c>
      <c r="H34" s="19">
        <v>1</v>
      </c>
      <c r="I34" s="20"/>
      <c r="J34" s="18">
        <f t="shared" si="12"/>
        <v>1</v>
      </c>
      <c r="K34" s="18">
        <f t="shared" si="13"/>
        <v>4.3478260869565218E-3</v>
      </c>
      <c r="L34" s="17">
        <v>1</v>
      </c>
      <c r="M34" s="18">
        <f t="shared" si="14"/>
        <v>4.3478260869565218E-3</v>
      </c>
      <c r="N34" s="17"/>
      <c r="O34" s="18">
        <f t="shared" si="15"/>
        <v>0</v>
      </c>
      <c r="P34" s="21"/>
    </row>
    <row r="35" spans="1:16" s="22" customFormat="1" ht="23.15" customHeight="1" x14ac:dyDescent="0.35">
      <c r="A35" s="16" t="s">
        <v>45</v>
      </c>
      <c r="B35" s="30">
        <v>2</v>
      </c>
      <c r="C35" s="18">
        <f t="shared" si="8"/>
        <v>8.6956521739130436E-3</v>
      </c>
      <c r="D35" s="30">
        <v>2</v>
      </c>
      <c r="E35" s="18">
        <f t="shared" si="9"/>
        <v>8.6956521739130436E-3</v>
      </c>
      <c r="F35" s="19">
        <f t="shared" si="10"/>
        <v>2</v>
      </c>
      <c r="G35" s="18">
        <f t="shared" si="11"/>
        <v>8.6956521739130436E-3</v>
      </c>
      <c r="H35" s="19"/>
      <c r="I35" s="20"/>
      <c r="J35" s="18">
        <f t="shared" si="12"/>
        <v>0</v>
      </c>
      <c r="K35" s="18">
        <f t="shared" si="13"/>
        <v>0</v>
      </c>
      <c r="L35" s="17"/>
      <c r="M35" s="18">
        <f t="shared" si="14"/>
        <v>0</v>
      </c>
      <c r="N35" s="17"/>
      <c r="O35" s="18">
        <f t="shared" si="15"/>
        <v>0</v>
      </c>
      <c r="P35" s="21"/>
    </row>
    <row r="36" spans="1:16" s="22" customFormat="1" ht="23.15" customHeight="1" x14ac:dyDescent="0.35">
      <c r="A36" s="16" t="s">
        <v>46</v>
      </c>
      <c r="B36" s="30">
        <v>6</v>
      </c>
      <c r="C36" s="18">
        <f t="shared" si="8"/>
        <v>2.6086956521739129E-2</v>
      </c>
      <c r="D36" s="30">
        <v>8</v>
      </c>
      <c r="E36" s="18">
        <f t="shared" si="9"/>
        <v>3.4782608695652174E-2</v>
      </c>
      <c r="F36" s="19">
        <f t="shared" si="10"/>
        <v>7.7</v>
      </c>
      <c r="G36" s="18">
        <f t="shared" si="11"/>
        <v>3.3478260869565221E-2</v>
      </c>
      <c r="H36" s="19">
        <v>0.3</v>
      </c>
      <c r="I36" s="20"/>
      <c r="J36" s="18">
        <f t="shared" si="12"/>
        <v>0.3</v>
      </c>
      <c r="K36" s="18">
        <f t="shared" si="13"/>
        <v>1.3043478260869564E-3</v>
      </c>
      <c r="L36" s="17">
        <v>0.3</v>
      </c>
      <c r="M36" s="18">
        <f t="shared" si="14"/>
        <v>1.3043478260869564E-3</v>
      </c>
      <c r="N36" s="17"/>
      <c r="O36" s="18">
        <f t="shared" si="15"/>
        <v>0</v>
      </c>
      <c r="P36" s="21"/>
    </row>
    <row r="37" spans="1:16" s="22" customFormat="1" ht="23.15" customHeight="1" x14ac:dyDescent="0.35">
      <c r="A37" s="16" t="s">
        <v>47</v>
      </c>
      <c r="B37" s="30">
        <v>6</v>
      </c>
      <c r="C37" s="18">
        <f t="shared" si="8"/>
        <v>2.6086956521739129E-2</v>
      </c>
      <c r="D37" s="30">
        <v>6</v>
      </c>
      <c r="E37" s="18">
        <f t="shared" si="9"/>
        <v>2.6086956521739129E-2</v>
      </c>
      <c r="F37" s="19">
        <f t="shared" si="10"/>
        <v>5.5</v>
      </c>
      <c r="G37" s="18">
        <f t="shared" si="11"/>
        <v>2.391304347826087E-2</v>
      </c>
      <c r="H37" s="19">
        <v>0.5</v>
      </c>
      <c r="I37" s="20"/>
      <c r="J37" s="18">
        <f t="shared" si="12"/>
        <v>0.5</v>
      </c>
      <c r="K37" s="18">
        <f t="shared" si="13"/>
        <v>2.1739130434782609E-3</v>
      </c>
      <c r="L37" s="17">
        <v>0.5</v>
      </c>
      <c r="M37" s="18">
        <f t="shared" si="14"/>
        <v>2.1739130434782609E-3</v>
      </c>
      <c r="N37" s="17"/>
      <c r="O37" s="18">
        <f t="shared" si="15"/>
        <v>0</v>
      </c>
      <c r="P37" s="21"/>
    </row>
    <row r="38" spans="1:16" s="22" customFormat="1" ht="23.15" customHeight="1" x14ac:dyDescent="0.35">
      <c r="A38" s="16" t="s">
        <v>48</v>
      </c>
      <c r="B38" s="30">
        <v>4</v>
      </c>
      <c r="C38" s="18">
        <f t="shared" si="8"/>
        <v>1.7391304347826087E-2</v>
      </c>
      <c r="D38" s="30">
        <v>4</v>
      </c>
      <c r="E38" s="18">
        <f t="shared" si="9"/>
        <v>1.7391304347826087E-2</v>
      </c>
      <c r="F38" s="19">
        <f t="shared" si="10"/>
        <v>2.4</v>
      </c>
      <c r="G38" s="18">
        <f t="shared" si="11"/>
        <v>1.0434782608695651E-2</v>
      </c>
      <c r="H38" s="19">
        <v>0.6</v>
      </c>
      <c r="I38" s="20">
        <v>1</v>
      </c>
      <c r="J38" s="18">
        <f t="shared" si="12"/>
        <v>1.6</v>
      </c>
      <c r="K38" s="18">
        <f t="shared" si="13"/>
        <v>6.956521739130435E-3</v>
      </c>
      <c r="L38" s="17">
        <v>1.6</v>
      </c>
      <c r="M38" s="18">
        <f t="shared" si="14"/>
        <v>6.956521739130435E-3</v>
      </c>
      <c r="N38" s="17"/>
      <c r="O38" s="18">
        <f t="shared" si="15"/>
        <v>0</v>
      </c>
      <c r="P38" s="21"/>
    </row>
    <row r="39" spans="1:16" s="15" customFormat="1" ht="23.15" customHeight="1" x14ac:dyDescent="0.35">
      <c r="A39" s="31" t="s">
        <v>49</v>
      </c>
      <c r="B39" s="30">
        <v>4</v>
      </c>
      <c r="C39" s="18">
        <f t="shared" si="8"/>
        <v>1.7391304347826087E-2</v>
      </c>
      <c r="D39" s="30">
        <v>4</v>
      </c>
      <c r="E39" s="18">
        <f t="shared" si="9"/>
        <v>1.7391304347826087E-2</v>
      </c>
      <c r="F39" s="19">
        <f t="shared" si="10"/>
        <v>3.7</v>
      </c>
      <c r="G39" s="18">
        <f t="shared" si="11"/>
        <v>1.6086956521739131E-2</v>
      </c>
      <c r="H39" s="32">
        <v>0.3</v>
      </c>
      <c r="I39" s="33"/>
      <c r="J39" s="18">
        <f t="shared" si="12"/>
        <v>0.3</v>
      </c>
      <c r="K39" s="18">
        <f t="shared" si="13"/>
        <v>1.3043478260869564E-3</v>
      </c>
      <c r="L39" s="17">
        <v>0.3</v>
      </c>
      <c r="M39" s="18">
        <f t="shared" si="14"/>
        <v>1.3043478260869564E-3</v>
      </c>
      <c r="N39" s="34"/>
      <c r="O39" s="18">
        <f t="shared" si="15"/>
        <v>0</v>
      </c>
      <c r="P39" s="35"/>
    </row>
    <row r="40" spans="1:16" s="15" customFormat="1" ht="23.15" customHeight="1" x14ac:dyDescent="0.35">
      <c r="A40" s="31" t="s">
        <v>50</v>
      </c>
      <c r="B40" s="30">
        <v>7.5</v>
      </c>
      <c r="C40" s="18">
        <f t="shared" si="8"/>
        <v>3.2608695652173912E-2</v>
      </c>
      <c r="D40" s="30">
        <v>10</v>
      </c>
      <c r="E40" s="18">
        <f t="shared" si="9"/>
        <v>4.3478260869565216E-2</v>
      </c>
      <c r="F40" s="19">
        <f t="shared" si="10"/>
        <v>10</v>
      </c>
      <c r="G40" s="18">
        <f t="shared" si="11"/>
        <v>4.3478260869565216E-2</v>
      </c>
      <c r="H40" s="32"/>
      <c r="I40" s="33"/>
      <c r="J40" s="18">
        <f t="shared" si="12"/>
        <v>0</v>
      </c>
      <c r="K40" s="18">
        <f t="shared" si="13"/>
        <v>0</v>
      </c>
      <c r="L40" s="17"/>
      <c r="M40" s="18">
        <f t="shared" si="14"/>
        <v>0</v>
      </c>
      <c r="N40" s="34"/>
      <c r="O40" s="18">
        <f t="shared" si="15"/>
        <v>0</v>
      </c>
      <c r="P40" s="35"/>
    </row>
    <row r="41" spans="1:16" s="15" customFormat="1" ht="23.15" customHeight="1" x14ac:dyDescent="0.35">
      <c r="A41" s="31" t="s">
        <v>51</v>
      </c>
      <c r="B41" s="30">
        <v>5</v>
      </c>
      <c r="C41" s="18">
        <f t="shared" si="8"/>
        <v>2.1739130434782608E-2</v>
      </c>
      <c r="D41" s="30">
        <v>5</v>
      </c>
      <c r="E41" s="18">
        <f t="shared" si="9"/>
        <v>2.1739130434782608E-2</v>
      </c>
      <c r="F41" s="19">
        <f t="shared" si="10"/>
        <v>4.8</v>
      </c>
      <c r="G41" s="18">
        <f t="shared" si="11"/>
        <v>2.0869565217391303E-2</v>
      </c>
      <c r="H41" s="32">
        <v>0.2</v>
      </c>
      <c r="I41" s="33"/>
      <c r="J41" s="18">
        <f t="shared" si="12"/>
        <v>0.2</v>
      </c>
      <c r="K41" s="18">
        <f t="shared" si="13"/>
        <v>8.6956521739130438E-4</v>
      </c>
      <c r="L41" s="17">
        <v>0.2</v>
      </c>
      <c r="M41" s="18">
        <f t="shared" si="14"/>
        <v>8.6956521739130438E-4</v>
      </c>
      <c r="N41" s="34"/>
      <c r="O41" s="18">
        <f t="shared" si="15"/>
        <v>0</v>
      </c>
      <c r="P41" s="35"/>
    </row>
    <row r="42" spans="1:16" s="15" customFormat="1" ht="23.15" customHeight="1" x14ac:dyDescent="0.35">
      <c r="A42" s="31" t="s">
        <v>52</v>
      </c>
      <c r="B42" s="30">
        <v>5</v>
      </c>
      <c r="C42" s="18">
        <f t="shared" si="8"/>
        <v>2.1739130434782608E-2</v>
      </c>
      <c r="D42" s="30">
        <v>4</v>
      </c>
      <c r="E42" s="18">
        <f t="shared" si="9"/>
        <v>1.7391304347826087E-2</v>
      </c>
      <c r="F42" s="19">
        <f t="shared" si="10"/>
        <v>3.7</v>
      </c>
      <c r="G42" s="18">
        <f t="shared" si="11"/>
        <v>1.6086956521739131E-2</v>
      </c>
      <c r="H42" s="32">
        <v>0.3</v>
      </c>
      <c r="I42" s="33"/>
      <c r="J42" s="18">
        <f t="shared" si="12"/>
        <v>0.3</v>
      </c>
      <c r="K42" s="18">
        <f t="shared" si="13"/>
        <v>1.3043478260869564E-3</v>
      </c>
      <c r="L42" s="17">
        <v>0.3</v>
      </c>
      <c r="M42" s="18">
        <f t="shared" si="14"/>
        <v>1.3043478260869564E-3</v>
      </c>
      <c r="N42" s="34"/>
      <c r="O42" s="18">
        <f t="shared" si="15"/>
        <v>0</v>
      </c>
      <c r="P42" s="35"/>
    </row>
    <row r="43" spans="1:16" s="15" customFormat="1" ht="23.15" customHeight="1" x14ac:dyDescent="0.35">
      <c r="A43" s="31" t="s">
        <v>53</v>
      </c>
      <c r="B43" s="30">
        <v>7.5</v>
      </c>
      <c r="C43" s="18">
        <f t="shared" si="8"/>
        <v>3.2608695652173912E-2</v>
      </c>
      <c r="D43" s="30">
        <v>7</v>
      </c>
      <c r="E43" s="18">
        <f t="shared" si="9"/>
        <v>3.0434782608695653E-2</v>
      </c>
      <c r="F43" s="19">
        <f t="shared" si="10"/>
        <v>6.5</v>
      </c>
      <c r="G43" s="18">
        <f t="shared" si="11"/>
        <v>2.8260869565217391E-2</v>
      </c>
      <c r="H43" s="32">
        <v>0.5</v>
      </c>
      <c r="I43" s="33"/>
      <c r="J43" s="18">
        <f t="shared" si="12"/>
        <v>0.5</v>
      </c>
      <c r="K43" s="18">
        <f t="shared" si="13"/>
        <v>2.1739130434782609E-3</v>
      </c>
      <c r="L43" s="17">
        <v>0.5</v>
      </c>
      <c r="M43" s="18">
        <f t="shared" si="14"/>
        <v>2.1739130434782609E-3</v>
      </c>
      <c r="N43" s="34"/>
      <c r="O43" s="18">
        <f t="shared" si="15"/>
        <v>0</v>
      </c>
      <c r="P43" s="35"/>
    </row>
    <row r="44" spans="1:16" s="15" customFormat="1" ht="23.15" customHeight="1" x14ac:dyDescent="0.35">
      <c r="A44" s="31" t="s">
        <v>54</v>
      </c>
      <c r="B44" s="30">
        <v>2</v>
      </c>
      <c r="C44" s="18">
        <f t="shared" si="8"/>
        <v>8.6956521739130436E-3</v>
      </c>
      <c r="D44" s="30">
        <v>2</v>
      </c>
      <c r="E44" s="18">
        <f t="shared" si="9"/>
        <v>8.6956521739130436E-3</v>
      </c>
      <c r="F44" s="19">
        <f t="shared" si="10"/>
        <v>2</v>
      </c>
      <c r="G44" s="18">
        <f t="shared" si="11"/>
        <v>8.6956521739130436E-3</v>
      </c>
      <c r="H44" s="32"/>
      <c r="I44" s="33"/>
      <c r="J44" s="18">
        <f t="shared" si="12"/>
        <v>0</v>
      </c>
      <c r="K44" s="18">
        <f t="shared" si="13"/>
        <v>0</v>
      </c>
      <c r="L44" s="17"/>
      <c r="M44" s="18">
        <f t="shared" si="14"/>
        <v>0</v>
      </c>
      <c r="N44" s="34"/>
      <c r="O44" s="18">
        <f t="shared" si="15"/>
        <v>0</v>
      </c>
      <c r="P44" s="35"/>
    </row>
    <row r="45" spans="1:16" s="15" customFormat="1" ht="23.15" customHeight="1" x14ac:dyDescent="0.35">
      <c r="A45" s="31" t="s">
        <v>55</v>
      </c>
      <c r="B45" s="30">
        <v>15</v>
      </c>
      <c r="C45" s="18">
        <f t="shared" si="8"/>
        <v>6.5217391304347824E-2</v>
      </c>
      <c r="D45" s="30">
        <v>14</v>
      </c>
      <c r="E45" s="18">
        <f t="shared" si="9"/>
        <v>6.0869565217391307E-2</v>
      </c>
      <c r="F45" s="19">
        <f t="shared" si="10"/>
        <v>14</v>
      </c>
      <c r="G45" s="18">
        <f t="shared" si="11"/>
        <v>6.0869565217391307E-2</v>
      </c>
      <c r="H45" s="32"/>
      <c r="I45" s="33"/>
      <c r="J45" s="18">
        <f t="shared" si="12"/>
        <v>0</v>
      </c>
      <c r="K45" s="18">
        <f t="shared" si="13"/>
        <v>0</v>
      </c>
      <c r="L45" s="17"/>
      <c r="M45" s="18">
        <f t="shared" si="14"/>
        <v>0</v>
      </c>
      <c r="N45" s="34"/>
      <c r="O45" s="18">
        <f t="shared" si="15"/>
        <v>0</v>
      </c>
      <c r="P45" s="35"/>
    </row>
    <row r="46" spans="1:16" s="15" customFormat="1" ht="23.15" customHeight="1" x14ac:dyDescent="0.35">
      <c r="A46" s="31" t="s">
        <v>56</v>
      </c>
      <c r="B46" s="30">
        <v>0.5</v>
      </c>
      <c r="C46" s="18">
        <f t="shared" si="8"/>
        <v>2.1739130434782609E-3</v>
      </c>
      <c r="D46" s="30">
        <v>0.5</v>
      </c>
      <c r="E46" s="18">
        <f t="shared" si="9"/>
        <v>2.1739130434782609E-3</v>
      </c>
      <c r="F46" s="19">
        <f t="shared" si="10"/>
        <v>0.5</v>
      </c>
      <c r="G46" s="18">
        <f t="shared" si="11"/>
        <v>2.1739130434782609E-3</v>
      </c>
      <c r="H46" s="32"/>
      <c r="I46" s="33"/>
      <c r="J46" s="18">
        <f t="shared" si="12"/>
        <v>0</v>
      </c>
      <c r="K46" s="18">
        <f t="shared" si="13"/>
        <v>0</v>
      </c>
      <c r="L46" s="17"/>
      <c r="M46" s="18">
        <f t="shared" si="14"/>
        <v>0</v>
      </c>
      <c r="N46" s="34"/>
      <c r="O46" s="18">
        <f t="shared" si="15"/>
        <v>0</v>
      </c>
      <c r="P46" s="35"/>
    </row>
    <row r="47" spans="1:16" s="15" customFormat="1" ht="23.15" customHeight="1" x14ac:dyDescent="0.35">
      <c r="A47" s="31" t="s">
        <v>57</v>
      </c>
      <c r="B47" s="30">
        <v>0.5</v>
      </c>
      <c r="C47" s="18">
        <f t="shared" si="8"/>
        <v>2.1739130434782609E-3</v>
      </c>
      <c r="D47" s="30">
        <v>0.5</v>
      </c>
      <c r="E47" s="18">
        <f t="shared" si="9"/>
        <v>2.1739130434782609E-3</v>
      </c>
      <c r="F47" s="19">
        <f t="shared" si="10"/>
        <v>0.5</v>
      </c>
      <c r="G47" s="18">
        <f t="shared" si="11"/>
        <v>2.1739130434782609E-3</v>
      </c>
      <c r="H47" s="32"/>
      <c r="I47" s="33"/>
      <c r="J47" s="18">
        <f t="shared" si="12"/>
        <v>0</v>
      </c>
      <c r="K47" s="18">
        <f t="shared" si="13"/>
        <v>0</v>
      </c>
      <c r="L47" s="17"/>
      <c r="M47" s="18">
        <f t="shared" si="14"/>
        <v>0</v>
      </c>
      <c r="N47" s="34"/>
      <c r="O47" s="18">
        <f t="shared" si="15"/>
        <v>0</v>
      </c>
      <c r="P47" s="35"/>
    </row>
    <row r="48" spans="1:16" s="15" customFormat="1" ht="23.15" customHeight="1" x14ac:dyDescent="0.35">
      <c r="A48" s="31" t="s">
        <v>58</v>
      </c>
      <c r="B48" s="30">
        <v>2</v>
      </c>
      <c r="C48" s="18">
        <f t="shared" si="8"/>
        <v>8.6956521739130436E-3</v>
      </c>
      <c r="D48" s="30">
        <v>1</v>
      </c>
      <c r="E48" s="18">
        <f t="shared" si="9"/>
        <v>4.3478260869565218E-3</v>
      </c>
      <c r="F48" s="19">
        <f t="shared" si="10"/>
        <v>1</v>
      </c>
      <c r="G48" s="18">
        <f t="shared" si="11"/>
        <v>4.3478260869565218E-3</v>
      </c>
      <c r="H48" s="32"/>
      <c r="I48" s="33"/>
      <c r="J48" s="18">
        <f t="shared" si="12"/>
        <v>0</v>
      </c>
      <c r="K48" s="18">
        <f t="shared" si="13"/>
        <v>0</v>
      </c>
      <c r="L48" s="17"/>
      <c r="M48" s="18">
        <f t="shared" si="14"/>
        <v>0</v>
      </c>
      <c r="N48" s="34"/>
      <c r="O48" s="18">
        <f t="shared" si="15"/>
        <v>0</v>
      </c>
      <c r="P48" s="35"/>
    </row>
    <row r="49" spans="1:16" s="15" customFormat="1" ht="23.15" customHeight="1" x14ac:dyDescent="0.35">
      <c r="A49" s="16" t="s">
        <v>59</v>
      </c>
      <c r="B49" s="30">
        <v>2.5</v>
      </c>
      <c r="C49" s="18">
        <f t="shared" si="8"/>
        <v>1.0869565217391304E-2</v>
      </c>
      <c r="D49" s="30">
        <v>3</v>
      </c>
      <c r="E49" s="18">
        <f t="shared" si="9"/>
        <v>1.3043478260869565E-2</v>
      </c>
      <c r="F49" s="19">
        <f t="shared" si="10"/>
        <v>3</v>
      </c>
      <c r="G49" s="18">
        <f t="shared" si="11"/>
        <v>1.3043478260869565E-2</v>
      </c>
      <c r="H49" s="32"/>
      <c r="I49" s="33"/>
      <c r="J49" s="18">
        <f t="shared" si="12"/>
        <v>0</v>
      </c>
      <c r="K49" s="18">
        <f t="shared" si="13"/>
        <v>0</v>
      </c>
      <c r="L49" s="17"/>
      <c r="M49" s="18">
        <f t="shared" si="14"/>
        <v>0</v>
      </c>
      <c r="N49" s="34"/>
      <c r="O49" s="18">
        <f t="shared" si="15"/>
        <v>0</v>
      </c>
      <c r="P49" s="35"/>
    </row>
    <row r="50" spans="1:16" s="15" customFormat="1" ht="23.15" customHeight="1" x14ac:dyDescent="0.35">
      <c r="A50" s="16" t="s">
        <v>60</v>
      </c>
      <c r="B50" s="30">
        <v>8</v>
      </c>
      <c r="C50" s="18">
        <f t="shared" si="8"/>
        <v>3.4782608695652174E-2</v>
      </c>
      <c r="D50" s="30">
        <v>12</v>
      </c>
      <c r="E50" s="18">
        <f t="shared" si="9"/>
        <v>5.2173913043478258E-2</v>
      </c>
      <c r="F50" s="19">
        <f t="shared" si="10"/>
        <v>12</v>
      </c>
      <c r="G50" s="18">
        <f t="shared" si="11"/>
        <v>5.2173913043478258E-2</v>
      </c>
      <c r="H50" s="32"/>
      <c r="I50" s="33"/>
      <c r="J50" s="18">
        <f t="shared" si="12"/>
        <v>0</v>
      </c>
      <c r="K50" s="18">
        <f t="shared" si="13"/>
        <v>0</v>
      </c>
      <c r="L50" s="17"/>
      <c r="M50" s="18">
        <f t="shared" si="14"/>
        <v>0</v>
      </c>
      <c r="N50" s="34"/>
      <c r="O50" s="18">
        <f t="shared" si="15"/>
        <v>0</v>
      </c>
      <c r="P50" s="35"/>
    </row>
    <row r="51" spans="1:16" s="39" customFormat="1" ht="23.15" customHeight="1" x14ac:dyDescent="0.35">
      <c r="A51" s="36"/>
      <c r="B51" s="37">
        <f>SUM(B33:B50)</f>
        <v>95</v>
      </c>
      <c r="C51" s="25">
        <f t="shared" si="8"/>
        <v>0.41304347826086957</v>
      </c>
      <c r="D51" s="37">
        <f>SUM(D33:D50)</f>
        <v>101</v>
      </c>
      <c r="E51" s="25">
        <f t="shared" si="9"/>
        <v>0.43913043478260871</v>
      </c>
      <c r="F51" s="26">
        <f t="shared" si="10"/>
        <v>95.6</v>
      </c>
      <c r="G51" s="25">
        <f t="shared" si="11"/>
        <v>0.41565217391304343</v>
      </c>
      <c r="H51" s="37">
        <f>SUM(H33:H50)</f>
        <v>4.4000000000000004</v>
      </c>
      <c r="I51" s="37">
        <f>SUM(I33:I50)</f>
        <v>1</v>
      </c>
      <c r="J51" s="25">
        <f t="shared" si="12"/>
        <v>5.4</v>
      </c>
      <c r="K51" s="25">
        <f t="shared" si="13"/>
        <v>2.3478260869565219E-2</v>
      </c>
      <c r="L51" s="37">
        <f>SUM(L33:L50)</f>
        <v>5.3999999999999995</v>
      </c>
      <c r="M51" s="25">
        <f t="shared" si="14"/>
        <v>2.3478260869565216E-2</v>
      </c>
      <c r="N51" s="37">
        <f>SUM(N33:N50)</f>
        <v>0</v>
      </c>
      <c r="O51" s="25">
        <f t="shared" si="15"/>
        <v>0</v>
      </c>
      <c r="P51" s="38"/>
    </row>
    <row r="52" spans="1:16" s="43" customFormat="1" ht="23.15" customHeight="1" x14ac:dyDescent="0.35">
      <c r="A52" s="40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2"/>
    </row>
    <row r="53" spans="1:16" ht="23.15" customHeight="1" x14ac:dyDescent="0.35">
      <c r="A53" s="44" t="s">
        <v>61</v>
      </c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6"/>
      <c r="M53" s="45"/>
      <c r="N53" s="46"/>
      <c r="O53" s="47"/>
    </row>
    <row r="54" spans="1:16" ht="23.15" customHeight="1" x14ac:dyDescent="0.35">
      <c r="A54" s="48" t="s">
        <v>62</v>
      </c>
      <c r="B54" s="49" t="s">
        <v>63</v>
      </c>
      <c r="C54" s="50" t="s">
        <v>64</v>
      </c>
      <c r="D54" s="51" t="s">
        <v>65</v>
      </c>
      <c r="E54" s="50" t="s">
        <v>66</v>
      </c>
      <c r="F54" s="52" t="s">
        <v>67</v>
      </c>
      <c r="G54" s="53"/>
      <c r="H54" s="53"/>
      <c r="I54" s="53"/>
      <c r="J54" s="53"/>
      <c r="K54" s="47"/>
      <c r="L54" s="46"/>
      <c r="M54" s="46"/>
      <c r="N54" s="46"/>
      <c r="O54" s="45"/>
    </row>
    <row r="55" spans="1:16" ht="23.15" customHeight="1" x14ac:dyDescent="0.35">
      <c r="A55" s="54" t="s">
        <v>68</v>
      </c>
      <c r="B55" s="55">
        <f>B31+B51</f>
        <v>316</v>
      </c>
      <c r="C55" s="56">
        <v>0</v>
      </c>
      <c r="D55" s="57">
        <v>0</v>
      </c>
      <c r="E55" s="52">
        <f>SUM(B55:D55)</f>
        <v>316</v>
      </c>
      <c r="F55" s="52">
        <f>E55/230</f>
        <v>1.3739130434782609</v>
      </c>
      <c r="G55" s="58"/>
      <c r="H55" s="58"/>
      <c r="I55" s="58"/>
      <c r="J55" s="58"/>
      <c r="K55" s="45"/>
      <c r="L55" s="46"/>
      <c r="M55" s="46"/>
      <c r="N55" s="46"/>
      <c r="O55" s="45"/>
    </row>
    <row r="56" spans="1:16" s="15" customFormat="1" ht="23.15" customHeight="1" x14ac:dyDescent="0.35">
      <c r="A56" s="54" t="s">
        <v>69</v>
      </c>
      <c r="B56" s="55">
        <f>D31+D51</f>
        <v>328.4</v>
      </c>
      <c r="C56" s="56">
        <v>0</v>
      </c>
      <c r="D56" s="57">
        <v>0</v>
      </c>
      <c r="E56" s="52">
        <f>SUM(B56:D56)</f>
        <v>328.4</v>
      </c>
      <c r="F56" s="52">
        <f>E56/230</f>
        <v>1.4278260869565216</v>
      </c>
      <c r="G56" s="45"/>
      <c r="H56" s="47"/>
      <c r="I56" s="45"/>
      <c r="J56" s="45"/>
      <c r="K56" s="45"/>
      <c r="L56" s="46"/>
      <c r="M56" s="59"/>
      <c r="N56" s="45"/>
      <c r="O56" s="45"/>
    </row>
    <row r="57" spans="1:16" s="15" customFormat="1" ht="23.15" customHeight="1" x14ac:dyDescent="0.35">
      <c r="A57" s="54" t="s">
        <v>70</v>
      </c>
      <c r="B57" s="55">
        <f>J31+J51</f>
        <v>33</v>
      </c>
      <c r="C57" s="56">
        <v>0</v>
      </c>
      <c r="D57" s="55">
        <v>0</v>
      </c>
      <c r="E57" s="52">
        <f>SUM(B57:D57)</f>
        <v>33</v>
      </c>
      <c r="F57" s="52">
        <f>E57/230</f>
        <v>0.14347826086956522</v>
      </c>
      <c r="G57" s="47"/>
      <c r="H57" s="47"/>
      <c r="I57" s="47"/>
      <c r="J57" s="47"/>
      <c r="K57" s="45"/>
      <c r="L57" s="45"/>
      <c r="M57" s="45"/>
      <c r="N57" s="45"/>
      <c r="O57" s="45"/>
    </row>
    <row r="58" spans="1:16" s="15" customFormat="1" ht="23.15" customHeight="1" x14ac:dyDescent="0.35">
      <c r="A58" s="48" t="s">
        <v>71</v>
      </c>
      <c r="B58" s="60">
        <f>B56-B57</f>
        <v>295.39999999999998</v>
      </c>
      <c r="C58" s="60">
        <f>C56-C57</f>
        <v>0</v>
      </c>
      <c r="D58" s="60">
        <f>D56-D57</f>
        <v>0</v>
      </c>
      <c r="E58" s="57">
        <f>E56-E57</f>
        <v>295.39999999999998</v>
      </c>
      <c r="F58" s="52">
        <f>E58/230</f>
        <v>1.2843478260869565</v>
      </c>
      <c r="G58" s="45"/>
      <c r="H58" s="45"/>
      <c r="I58" s="45"/>
      <c r="J58" s="45"/>
      <c r="K58" s="45"/>
      <c r="L58" s="45"/>
      <c r="M58" s="45"/>
      <c r="N58" s="45"/>
      <c r="O58" s="45"/>
    </row>
    <row r="59" spans="1:16" s="15" customFormat="1" ht="6" customHeight="1" x14ac:dyDescent="0.35">
      <c r="A59" s="48"/>
      <c r="B59" s="60"/>
      <c r="C59" s="60"/>
      <c r="D59" s="60"/>
      <c r="E59" s="57"/>
      <c r="F59" s="52"/>
      <c r="G59" s="45"/>
      <c r="H59" s="45"/>
      <c r="I59" s="45"/>
      <c r="J59" s="45"/>
      <c r="K59" s="45"/>
      <c r="L59" s="45"/>
      <c r="M59" s="45"/>
      <c r="N59" s="45"/>
      <c r="O59" s="45"/>
    </row>
    <row r="60" spans="1:16" s="15" customFormat="1" ht="23.15" customHeight="1" x14ac:dyDescent="0.35">
      <c r="A60" s="61" t="s">
        <v>72</v>
      </c>
      <c r="B60" s="62">
        <f>H31+H51</f>
        <v>14.200000000000003</v>
      </c>
      <c r="C60" s="63">
        <v>0</v>
      </c>
      <c r="D60" s="64">
        <v>0</v>
      </c>
      <c r="E60" s="65">
        <f>SUM(B60:D60)</f>
        <v>14.200000000000003</v>
      </c>
      <c r="F60" s="66">
        <f>E60/230</f>
        <v>6.1739130434782623E-2</v>
      </c>
      <c r="G60" s="45"/>
      <c r="H60" s="45"/>
      <c r="I60" s="45"/>
      <c r="J60" s="45"/>
      <c r="K60" s="45"/>
      <c r="L60" s="45"/>
      <c r="M60" s="45"/>
      <c r="N60" s="45"/>
      <c r="O60" s="45"/>
    </row>
    <row r="61" spans="1:16" s="15" customFormat="1" ht="23.15" customHeight="1" x14ac:dyDescent="0.35">
      <c r="A61" s="61" t="s">
        <v>73</v>
      </c>
      <c r="B61" s="62">
        <f>I31+I51</f>
        <v>18.8</v>
      </c>
      <c r="C61" s="63">
        <v>0</v>
      </c>
      <c r="D61" s="64">
        <v>0</v>
      </c>
      <c r="E61" s="65">
        <f>SUM(B61:D61)</f>
        <v>18.8</v>
      </c>
      <c r="F61" s="66">
        <f>E61/230</f>
        <v>8.1739130434782606E-2</v>
      </c>
      <c r="G61" s="45"/>
      <c r="H61" s="45"/>
      <c r="I61" s="45"/>
      <c r="J61" s="45"/>
      <c r="K61" s="45"/>
      <c r="L61" s="45"/>
      <c r="M61" s="45"/>
      <c r="N61" s="45"/>
      <c r="O61" s="45"/>
    </row>
    <row r="62" spans="1:16" s="15" customFormat="1" ht="23.15" customHeight="1" x14ac:dyDescent="0.35">
      <c r="A62" s="67" t="s">
        <v>74</v>
      </c>
      <c r="B62" s="60">
        <f>N31+N51</f>
        <v>10</v>
      </c>
      <c r="C62" s="68">
        <f>C57</f>
        <v>0</v>
      </c>
      <c r="D62" s="55">
        <f>D57</f>
        <v>0</v>
      </c>
      <c r="E62" s="69">
        <f>SUM(B62:D62)</f>
        <v>10</v>
      </c>
      <c r="F62" s="52">
        <f>E62/230</f>
        <v>4.3478260869565216E-2</v>
      </c>
      <c r="G62" s="45"/>
      <c r="H62" s="45"/>
      <c r="I62" s="45"/>
      <c r="J62" s="45"/>
      <c r="K62" s="45"/>
      <c r="L62" s="45"/>
      <c r="M62" s="45"/>
      <c r="N62" s="45"/>
      <c r="O62" s="45"/>
    </row>
    <row r="63" spans="1:16" s="15" customFormat="1" ht="23.15" customHeight="1" x14ac:dyDescent="0.35">
      <c r="F63" s="35"/>
    </row>
    <row r="64" spans="1:16" s="15" customFormat="1" ht="23.15" customHeight="1" x14ac:dyDescent="0.35">
      <c r="A64" s="70" t="s">
        <v>75</v>
      </c>
      <c r="B64" s="71" t="s">
        <v>76</v>
      </c>
      <c r="C64" s="71" t="s">
        <v>77</v>
      </c>
      <c r="F64" s="35"/>
    </row>
    <row r="65" spans="1:6" s="15" customFormat="1" ht="23.15" customHeight="1" x14ac:dyDescent="0.35">
      <c r="A65" s="72" t="s">
        <v>78</v>
      </c>
      <c r="B65" s="73">
        <f>H31+H51</f>
        <v>14.200000000000003</v>
      </c>
      <c r="C65" s="74">
        <f>B65/$B$69</f>
        <v>4.323995127892815E-2</v>
      </c>
    </row>
    <row r="66" spans="1:6" ht="23.15" customHeight="1" x14ac:dyDescent="0.35">
      <c r="A66" s="75" t="s">
        <v>79</v>
      </c>
      <c r="B66" s="76">
        <f>I31+I51</f>
        <v>18.8</v>
      </c>
      <c r="C66" s="74">
        <f>B66/$B$69</f>
        <v>5.7247259439707682E-2</v>
      </c>
    </row>
    <row r="67" spans="1:6" ht="23.15" customHeight="1" x14ac:dyDescent="0.35">
      <c r="A67" s="75" t="s">
        <v>4</v>
      </c>
      <c r="B67" s="76">
        <f>B66+B65</f>
        <v>33</v>
      </c>
      <c r="C67" s="77">
        <f>B67/$B$69</f>
        <v>0.10048721071863581</v>
      </c>
      <c r="E67" s="78"/>
    </row>
    <row r="68" spans="1:6" ht="23.15" customHeight="1" x14ac:dyDescent="0.35">
      <c r="A68" s="79" t="s">
        <v>5</v>
      </c>
      <c r="B68" s="80">
        <f>+L31+L51</f>
        <v>23</v>
      </c>
      <c r="C68" s="81">
        <f>B68/$B$69</f>
        <v>7.0036540803897693E-2</v>
      </c>
      <c r="D68" s="82">
        <f>23000/230</f>
        <v>100</v>
      </c>
      <c r="E68" s="83" t="s">
        <v>80</v>
      </c>
      <c r="F68" s="84"/>
    </row>
    <row r="69" spans="1:6" ht="23.15" customHeight="1" x14ac:dyDescent="0.35">
      <c r="A69" s="75" t="s">
        <v>81</v>
      </c>
      <c r="B69" s="76">
        <f>D31+D51</f>
        <v>328.4</v>
      </c>
      <c r="C69" s="75"/>
    </row>
    <row r="71" spans="1:6" x14ac:dyDescent="0.35">
      <c r="A71" s="85" t="s">
        <v>82</v>
      </c>
      <c r="B71" s="86"/>
      <c r="C71" s="87">
        <v>552000</v>
      </c>
    </row>
    <row r="72" spans="1:6" x14ac:dyDescent="0.35">
      <c r="A72" s="85" t="s">
        <v>83</v>
      </c>
      <c r="B72" s="86"/>
      <c r="C72" s="87">
        <v>2783</v>
      </c>
    </row>
    <row r="73" spans="1:6" x14ac:dyDescent="0.35">
      <c r="A73" s="85" t="s">
        <v>84</v>
      </c>
      <c r="B73" s="86"/>
      <c r="C73" s="88">
        <f>C72/C71%</f>
        <v>0.50416666666666665</v>
      </c>
    </row>
    <row r="97" spans="6:6" x14ac:dyDescent="0.35">
      <c r="F97" s="89"/>
    </row>
    <row r="102" spans="6:6" x14ac:dyDescent="0.35">
      <c r="F102" s="89"/>
    </row>
  </sheetData>
  <mergeCells count="8">
    <mergeCell ref="A1:O1"/>
    <mergeCell ref="A2:A3"/>
    <mergeCell ref="B2:C2"/>
    <mergeCell ref="D2:E2"/>
    <mergeCell ref="F2:G2"/>
    <mergeCell ref="H2:K2"/>
    <mergeCell ref="L2:M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sahara</vt:lpstr>
      <vt:lpstr>sitara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Controller Acc</dc:creator>
  <cp:lastModifiedBy>Controller Acc</cp:lastModifiedBy>
  <dcterms:created xsi:type="dcterms:W3CDTF">2015-06-05T18:17:20Z</dcterms:created>
  <dcterms:modified xsi:type="dcterms:W3CDTF">2026-10-08T10:41:31Z</dcterms:modified>
</cp:coreProperties>
</file>